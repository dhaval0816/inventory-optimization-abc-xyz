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Weekly_Demand" sheetId="3" state="visible" r:id="rId5"/>
    <sheet name="SKU_Policy" sheetId="4" state="visible" r:id="rId6"/>
    <sheet name="ABC_XYZ_Matrix" sheetId="5" state="visible" r:id="rId7"/>
    <sheet name="Service_Level_Scenario" sheetId="6" state="visible" r:id="rId8"/>
    <sheet name="Summary" sheetId="7" state="visible" r:id="rId9"/>
    <sheet name="Spot_Check" sheetId="8" state="visible" r:id="rId10"/>
    <sheet name="Data_Prep" sheetId="9" state="visible" r:id="rId11"/>
  </sheets>
  <definedNames>
    <definedName function="false" hidden="true" localSheetId="3" name="_xlnm._FilterDatabase" vbProcedure="false">SKU_Policy!$A$4:$AF$504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Row 5 is the format example: SKU as text (e.g. 85123A), weekly units as whole numbers (0 = no sales that week), price in £.</t>
        </r>
      </text>
    </comment>
    <comment ref="E4" authorId="0">
      <text>
        <r>
          <rPr>
            <sz val="10"/>
            <rFont val="Arial"/>
            <family val="2"/>
          </rPr>
          <t xml:space="preserve">SIMULATED. Bucket table on Assumptions rows 23-26.</t>
        </r>
      </text>
    </comment>
    <comment ref="F4" authorId="0">
      <text>
        <r>
          <rPr>
            <sz val="10"/>
            <rFont val="Arial"/>
            <family val="2"/>
          </rPr>
          <t xml:space="preserve">SIMULATED stock snapshot (values). How it was created: Assumptions rows 28-31.</t>
        </r>
      </text>
    </comment>
  </commentList>
</comments>
</file>

<file path=xl/sharedStrings.xml><?xml version="1.0" encoding="utf-8"?>
<sst xmlns="http://schemas.openxmlformats.org/spreadsheetml/2006/main" count="1625" uniqueCount="1514">
  <si>
    <t xml:space="preserve">Inventory Policy Calculator — ABC-XYZ, Safety Stock, Reorder Point &amp; EOQ</t>
  </si>
  <si>
    <t xml:space="preserve">Segments 500 real SKUs by value and demand predictability, then sets safety stock, reorder point and order quantity per SKU and prices the cost of higher service.</t>
  </si>
  <si>
    <t xml:space="preserve">1. Business scenario</t>
  </si>
  <si>
    <t xml:space="preserve">Role</t>
  </si>
  <si>
    <t xml:space="preserve">Junior inventory analyst, UK-based online retailer of all-occasion gift-ware selling largely to wholesale customers.</t>
  </si>
  <si>
    <t xml:space="preserve">The ask</t>
  </si>
  <si>
    <t xml:space="preserve">"We have too much cash tied up in stock that doesn't sell, and we keep running out of our best sellers. Build a stocking policy for every SKU — how much to hold and when to reorder — and show me what it costs to raise our service level." — Operations Director</t>
  </si>
  <si>
    <t xml:space="preserve">Deliverables</t>
  </si>
  <si>
    <t xml:space="preserve">Segment SKUs (ABC-XYZ) · safety stock, reorder point and EOQ per SKU · flag reorder-now and excess SKUs · service level vs. inventory cost trade-off · policy per segment</t>
  </si>
  <si>
    <t xml:space="preserve">2. Data source</t>
  </si>
  <si>
    <t xml:space="preserve">Dataset</t>
  </si>
  <si>
    <t xml:space="preserve">Chen, D. (2012). Online Retail II [Dataset]. UCI Machine Learning Repository. https://doi.org/10.24432/C5CG6D</t>
  </si>
  <si>
    <t xml:space="preserve">Licence</t>
  </si>
  <si>
    <t xml:space="preserve">CC BY 4.0 — https://archive.ics.uci.edu/dataset/502/online+retail+ii</t>
  </si>
  <si>
    <t xml:space="preserve">Scope used</t>
  </si>
  <si>
    <t xml:space="preserve">52 complete weeks (6 Dec 2010 – 4 Dec 2011), top 500 SKUs by revenue (67.5% of product revenue). Currency: GBP (£), as in the source.</t>
  </si>
  <si>
    <t xml:space="preserve">NOT in the data</t>
  </si>
  <si>
    <t xml:space="preserve">Unit cost, supplier lead time and on-hand stock. These are ASSUMED or SIMULATED and labelled everywhere they appear (see section 6).</t>
  </si>
  <si>
    <t xml:space="preserve">3. How to use this file</t>
  </si>
  <si>
    <t xml:space="preserve">Tabs in order</t>
  </si>
  <si>
    <t xml:space="preserve">README → Assumptions → Weekly_Demand → SKU_Policy → ABC_XYZ_Matrix → Service_Level_Scenario → Summary → Spot_Check → Data_Prep</t>
  </si>
  <si>
    <t xml:space="preserve">Paste new data</t>
  </si>
  <si>
    <t xml:space="preserve">Only into Weekly_Demand, rows 5–504: A–B (SKU, Description), F (On Hand snapshot), G–BF (W1–W52) and BG (median price). Columns C–E are formulas. Row 5 is the format example. Data comes from the Power Query steps on the Data_Prep tab.</t>
  </si>
  <si>
    <t xml:space="preserve">Safe to edit</t>
  </si>
  <si>
    <t xml:space="preserve">Orange text on light-yellow fill: Assumptions inputs (parameters, margin, lead-time shock, lead-time buckets, category keywords), Service_Level_Scenario levels and extra lead-time weeks, Spot_Check SKU codes.</t>
  </si>
  <si>
    <t xml:space="preserve">Do not overwrite</t>
  </si>
  <si>
    <t xml:space="preserve">Everything in black or green text — they are formulas. SKU_Policy, ABC_XYZ_Matrix and Summary update automatically.</t>
  </si>
  <si>
    <t xml:space="preserve">Scenario test</t>
  </si>
  <si>
    <t xml:space="preserve">Set Assumptions!B19 (lead-time shock) to 2 → watch Summary safety stock value and SKUs to reorder jump. Change A service level to 99% → see the cost.</t>
  </si>
  <si>
    <t xml:space="preserve">4. Colour legend</t>
  </si>
  <si>
    <t xml:space="preserve">Orange text</t>
  </si>
  <si>
    <t xml:space="preserve">Input or assumption you can change</t>
  </si>
  <si>
    <t xml:space="preserve">Black text</t>
  </si>
  <si>
    <t xml:space="preserve">Formula — do not overwrite</t>
  </si>
  <si>
    <t xml:space="preserve">Green text</t>
  </si>
  <si>
    <t xml:space="preserve">Formula pulling a value from another tab</t>
  </si>
  <si>
    <t xml:space="preserve">Light-yellow fill</t>
  </si>
  <si>
    <t xml:space="preserve">Key assumption to review</t>
  </si>
  <si>
    <t xml:space="preserve">Red status</t>
  </si>
  <si>
    <t xml:space="preserve">Below Safety Stock — stock-out risk, expedite</t>
  </si>
  <si>
    <t xml:space="preserve">Amber status</t>
  </si>
  <si>
    <t xml:space="preserve">Reorder Now — at/below reorder point</t>
  </si>
  <si>
    <t xml:space="preserve">Green status</t>
  </si>
  <si>
    <t xml:space="preserve">Healthy</t>
  </si>
  <si>
    <t xml:space="preserve">Purple status</t>
  </si>
  <si>
    <t xml:space="preserve">Excess — above reorder point + EOQ, cash tied up</t>
  </si>
  <si>
    <t xml:space="preserve">5. Key formulas in plain English</t>
  </si>
  <si>
    <t xml:space="preserve">Metric</t>
  </si>
  <si>
    <t xml:space="preserve">Formula</t>
  </si>
  <si>
    <t xml:space="preserve">Business meaning</t>
  </si>
  <si>
    <t xml:space="preserve">CV (coefficient of variation)</t>
  </si>
  <si>
    <t xml:space="preserve">Std Dev of weekly demand ÷ Avg weekly demand</t>
  </si>
  <si>
    <t xml:space="preserve">How unpredictable demand is, independent of volume — 0.3 is steady, 1.5 is lumpy.</t>
  </si>
  <si>
    <t xml:space="preserve">ABC class</t>
  </si>
  <si>
    <t xml:space="preserve">Rank SKUs by annual consumption value (demand × unit cost); cumulative share ≤ 80% → A, ≤ 95% → B, else C</t>
  </si>
  <si>
    <t xml:space="preserve">Where the money is — A items deserve the most planner attention.</t>
  </si>
  <si>
    <t xml:space="preserve">XYZ class</t>
  </si>
  <si>
    <t xml:space="preserve">CV ≤ 0.5 → X, ≤ 1.0 → Y, else Z</t>
  </si>
  <si>
    <t xml:space="preserve">How forecastable demand is — X can be automated, Z needs human judgement.</t>
  </si>
  <si>
    <t xml:space="preserve">Z-score</t>
  </si>
  <si>
    <t xml:space="preserve">NORMSINV(target service level)</t>
  </si>
  <si>
    <t xml:space="preserve">How many standard deviations of buffer are needed to hit the service level (95% → 1.645).</t>
  </si>
  <si>
    <t xml:space="preserve">Safety stock</t>
  </si>
  <si>
    <t xml:space="preserve">Z × Std Dev weekly demand × √(Lead time in weeks), rounded up</t>
  </si>
  <si>
    <t xml:space="preserve">Buffer stock that protects against demand swings while waiting for the supplier.</t>
  </si>
  <si>
    <t xml:space="preserve">Reorder point (ROP)</t>
  </si>
  <si>
    <t xml:space="preserve">Avg weekly demand × Lead time + Safety stock, rounded up</t>
  </si>
  <si>
    <t xml:space="preserve">When stock falls to this level, place an order.</t>
  </si>
  <si>
    <t xml:space="preserve">EOQ</t>
  </si>
  <si>
    <t xml:space="preserve">√(2 × Annual demand × Ordering cost ÷ (Holding cost % × Unit cost))</t>
  </si>
  <si>
    <t xml:space="preserve">The order size that minimises the combined cost of ordering and holding stock.</t>
  </si>
  <si>
    <t xml:space="preserve">Stock status</t>
  </si>
  <si>
    <t xml:space="preserve">On Hand ≤ SS → Below Safety Stock; ≤ ROP → Reorder Now; &gt; ROP + EOQ → Excess; else Healthy</t>
  </si>
  <si>
    <t xml:space="preserve">The planner action list.</t>
  </si>
  <si>
    <t xml:space="preserve">Inventory turns / days on hand</t>
  </si>
  <si>
    <t xml:space="preserve">Annual consumption value ÷ On-hand value; 365 ÷ turns</t>
  </si>
  <si>
    <t xml:space="preserve">How fast stock converts to sales; lower days = less cash tied up.</t>
  </si>
  <si>
    <t xml:space="preserve">6. Assumptions (labelled — change on the Assumptions tab)</t>
  </si>
  <si>
    <t xml:space="preserve">Unit Cost — ASSUMPTION</t>
  </si>
  <si>
    <t xml:space="preserve">Median selling price × (1 − 40% gross margin) = 60% of price. Margin is Assumptions!B18.</t>
  </si>
  <si>
    <t xml:space="preserve">Lead Time — SIMULATED</t>
  </si>
  <si>
    <t xml:space="preserve">2, 4, 6 or 8 weeks, picked by formula from the StockCode (MOD of first 5 digits, 4) using the bucket table on Assumptions. Reproducible, not random. Optional shock in Assumptions!B19.</t>
  </si>
  <si>
    <t xml:space="preserve">On Hand — SIMULATED</t>
  </si>
  <si>
    <t xml:space="preserve">Deterministic snapshot = Avg weekly demand × weeks of cover (1–4, 6–16 or 26–52 weeks chosen by a StockCode hash) to create a realistic mix of under-, normal and over-stocked SKUs. Rule on Assumptions tab.</t>
  </si>
  <si>
    <t xml:space="preserve">Ordering / holding cost — ASSUMPTION</t>
  </si>
  <si>
    <t xml:space="preserve">£50 per order; 25% of unit cost per year.</t>
  </si>
  <si>
    <t xml:space="preserve">Category — DERIVED</t>
  </si>
  <si>
    <t xml:space="preserve">Formula on Description using the keyword table on Assumptions (whole words): BAG(S) → Bags; CANDLE(S)/LIGHT(S) → Lighting; MUG(S)/CAKE(S)/CAKESTAND/TIN(S) → Kitchen; CARD(S) → Cards/Gifts; else Other.</t>
  </si>
  <si>
    <t xml:space="preserve">7. Model limitations</t>
  </si>
  <si>
    <t xml:space="preserve">Normal demand</t>
  </si>
  <si>
    <t xml:space="preserve">Safety stock assumes weekly demand is roughly normally distributed. This is weak for lumpy Z-class items (most of this range, because wholesale orders are large and irregular) — treat their safety stock as indicative and review manually.</t>
  </si>
  <si>
    <t xml:space="preserve">Fixed lead time</t>
  </si>
  <si>
    <t xml:space="preserve">Lead time is a single fixed number per SKU. A fuller model adds lead-time variability: SS = Z × √(LT × σd² + d̄² × σLT²).</t>
  </si>
  <si>
    <t xml:space="preserve">Simulated inputs</t>
  </si>
  <si>
    <t xml:space="preserve">Unit cost, lead time and on-hand figures are simulated assumptions, not observed data. The METHOD is real; £ values and stock-status counts illustrate it.</t>
  </si>
  <si>
    <t xml:space="preserve">History = forecast</t>
  </si>
  <si>
    <t xml:space="preserve">Uses the last 52 weeks as the demand estimate (no trend or seasonality forecast). Gift-ware has a strong Q4 peak, so a seasonal policy would hold more stock before Christmas.</t>
  </si>
  <si>
    <t xml:space="preserve">Scope</t>
  </si>
  <si>
    <t xml:space="preserve">Top 500 SKUs by revenue only; the long tail of ~3,275 SKUs is excluded from this workbook. ABC classes are relative to these 500.</t>
  </si>
  <si>
    <t xml:space="preserve">Sample std dev</t>
  </si>
  <si>
    <t xml:space="preserve">STDEV (sample, n−1) over 52 weeks including zero-sales weeks.</t>
  </si>
  <si>
    <t xml:space="preserve">Data preparation (Power Query ribbon steps and row counts): Data_Prep tab. Reconciliation of 3 SKUs: Spot_Check tab.</t>
  </si>
  <si>
    <t xml:space="preserve">Assumptions &amp; Parameters</t>
  </si>
  <si>
    <t xml:space="preserve">Cells with orange text on light-yellow fill are inputs. Every formula in the workbook points to these cells; no numbers are typed inside formulas.</t>
  </si>
  <si>
    <t xml:space="preserve">Parameter</t>
  </si>
  <si>
    <t xml:space="preserve">Value</t>
  </si>
  <si>
    <t xml:space="preserve">Unit</t>
  </si>
  <si>
    <t xml:space="preserve">What it drives / notes</t>
  </si>
  <si>
    <t xml:space="preserve">Ordering cost per order</t>
  </si>
  <si>
    <t xml:space="preserve">£ per order</t>
  </si>
  <si>
    <t xml:space="preserve">EOQ. Assumption: admin + receiving cost of placing one purchase order.</t>
  </si>
  <si>
    <t xml:space="preserve">Annual holding cost %</t>
  </si>
  <si>
    <t xml:space="preserve">% of unit cost per year</t>
  </si>
  <si>
    <t xml:space="preserve">EOQ. Assumption: cost of capital, storage, insurance, obsolescence.</t>
  </si>
  <si>
    <t xml:space="preserve">Weeks per year</t>
  </si>
  <si>
    <t xml:space="preserve">weeks</t>
  </si>
  <si>
    <t xml:space="preserve">Avg Weekly Demand = Annual Demand ÷ this. Matches the 52 weekly columns.</t>
  </si>
  <si>
    <t xml:space="preserve">ABC cut-off A — cumulative value share</t>
  </si>
  <si>
    <t xml:space="preserve">fraction</t>
  </si>
  <si>
    <t xml:space="preserve">SKUs whose cumulative value share ≤ this are class A.</t>
  </si>
  <si>
    <t xml:space="preserve">ABC cut-off B — cumulative value share</t>
  </si>
  <si>
    <t xml:space="preserve">SKUs above the A cut-off and ≤ this are class B; the rest are C.</t>
  </si>
  <si>
    <t xml:space="preserve">XYZ cut-off X — max coefficient of variation</t>
  </si>
  <si>
    <t xml:space="preserve">CV</t>
  </si>
  <si>
    <t xml:space="preserve">CV ≤ this → X (steady demand).</t>
  </si>
  <si>
    <t xml:space="preserve">XYZ cut-off Y — max coefficient of variation</t>
  </si>
  <si>
    <t xml:space="preserve">CV ≤ this → Y (variable); above → Z (lumpy).</t>
  </si>
  <si>
    <t xml:space="preserve">Target service level — A items</t>
  </si>
  <si>
    <t xml:space="preserve">cycle service level</t>
  </si>
  <si>
    <t xml:space="preserve">Probability of not stocking out during a replenishment cycle.</t>
  </si>
  <si>
    <t xml:space="preserve">Target service level — B items</t>
  </si>
  <si>
    <t xml:space="preserve">Target service level — C items</t>
  </si>
  <si>
    <t xml:space="preserve">Days per year</t>
  </si>
  <si>
    <t xml:space="preserve">days</t>
  </si>
  <si>
    <t xml:space="preserve">Days on Hand = this ÷ Inventory Turns (Summary tab).</t>
  </si>
  <si>
    <t xml:space="preserve">Assumptions for data the source does not contain (cost, lead time, stock)</t>
  </si>
  <si>
    <t xml:space="preserve">ASSUMPTION — Gross margin used to derive unit cost</t>
  </si>
  <si>
    <t xml:space="preserve">fraction of selling price</t>
  </si>
  <si>
    <t xml:space="preserve">Unit Cost = Median selling price × (1 − this). 40% margin → cost = 60% of price. Drives Weekly_Demand column D and every £ figure.</t>
  </si>
  <si>
    <t xml:space="preserve">ASSUMPTION — Lead-time shock (weeks added to every SKU)</t>
  </si>
  <si>
    <t xml:space="preserve">Supplier-delay stress test (tariff changes, border holds, port congestion). 0 = base case. Added in SKU_Policy column D.</t>
  </si>
  <si>
    <t xml:space="preserve">SIMULATED — Lead time buckets (weeks)</t>
  </si>
  <si>
    <t xml:space="preserve">Bucket</t>
  </si>
  <si>
    <t xml:space="preserve">Lead time</t>
  </si>
  <si>
    <t xml:space="preserve">Rule</t>
  </si>
  <si>
    <t xml:space="preserve">Bucket 1  (MOD of first 5 digits of StockCode, 4 = 0)</t>
  </si>
  <si>
    <t xml:space="preserve">Weekly_Demand!E: =INDEX(Assumptions!$B$23:$B$26, MOD(VALUE(LEFT(SKU,5)),4)+1). Same result every time the file is opened.</t>
  </si>
  <si>
    <t xml:space="preserve">Bucket 2  (MOD of first 5 digits of StockCode, 4 = 1)</t>
  </si>
  <si>
    <t xml:space="preserve">Bucket 3  (MOD of first 5 digits of StockCode, 4 = 2)</t>
  </si>
  <si>
    <t xml:space="preserve">Bucket 4  (MOD of first 5 digits of StockCode, 4 = 3)</t>
  </si>
  <si>
    <t xml:space="preserve">SIMULATED — How the On Hand snapshot was created</t>
  </si>
  <si>
    <t xml:space="preserve">A stock snapshot should not move when demand history changes, so On Hand was created once with the Excel formula below (row 5 example), then Copy → Paste Values into Weekly_Demand column F:</t>
  </si>
  <si>
    <t xml:space="preserve">Formula (row 5):   =ROUND(AVERAGE(G5:BF5) * IF(MOD(VALUE(LEFT(A5,5))*37+LEN(A5)*11,100)&lt;20, 1+MOD(MOD(VALUE(LEFT(A5,5))*37+LEN(A5)*11,100),4), IF(MOD(VALUE(LEFT(A5,5))*37+LEN(A5)*11,100)&lt;75, 6+MOD(MOD(VALUE(LEFT(A5,5))*37+LEN(A5)*11,100),11), 26+MOD(MOD(VALUE(LEFT(A5,5))*37+LEN(A5)*11,100),27))), 0)</t>
  </si>
  <si>
    <t xml:space="preserve">In words: a code-based number h (0–99) sets weeks of cover — h below 20 → 1–4 weeks (understocked), 20–74 → 6–16 weeks (normal), 75+ → 26–52 weeks (overstocked). On Hand = average weekly demand × weeks of cover. No RAND(), so anyone can reproduce it.</t>
  </si>
  <si>
    <t xml:space="preserve">Service level lookup (formula — used by SKU_Policy)</t>
  </si>
  <si>
    <t xml:space="preserve">ABC Class</t>
  </si>
  <si>
    <t xml:space="preserve">Target Service Level</t>
  </si>
  <si>
    <t xml:space="preserve">A</t>
  </si>
  <si>
    <t xml:space="preserve">B</t>
  </si>
  <si>
    <t xml:space="preserve">C</t>
  </si>
  <si>
    <t xml:space="preserve">Category keyword table (checked top to bottom — first keyword found in the Description wins)</t>
  </si>
  <si>
    <t xml:space="preserve">Keyword (whole word)</t>
  </si>
  <si>
    <t xml:space="preserve">Category</t>
  </si>
  <si>
    <t xml:space="preserve">BAG</t>
  </si>
  <si>
    <t xml:space="preserve">Bags</t>
  </si>
  <si>
    <t xml:space="preserve">BAGS</t>
  </si>
  <si>
    <t xml:space="preserve">CANDLE</t>
  </si>
  <si>
    <t xml:space="preserve">Lighting</t>
  </si>
  <si>
    <t xml:space="preserve">CANDLES</t>
  </si>
  <si>
    <t xml:space="preserve">LIGHT</t>
  </si>
  <si>
    <t xml:space="preserve">LIGHTS</t>
  </si>
  <si>
    <t xml:space="preserve">MUG</t>
  </si>
  <si>
    <t xml:space="preserve">Kitchen</t>
  </si>
  <si>
    <t xml:space="preserve">MUGS</t>
  </si>
  <si>
    <t xml:space="preserve">CAKE</t>
  </si>
  <si>
    <t xml:space="preserve">CAKES</t>
  </si>
  <si>
    <t xml:space="preserve">CAKESTAND</t>
  </si>
  <si>
    <t xml:space="preserve">TIN</t>
  </si>
  <si>
    <t xml:space="preserve">TINS</t>
  </si>
  <si>
    <t xml:space="preserve">CARD</t>
  </si>
  <si>
    <t xml:space="preserve">Cards/Gifts</t>
  </si>
  <si>
    <t xml:space="preserve">CARDS</t>
  </si>
  <si>
    <t xml:space="preserve">To add a keyword, insert a row INSIDE this table (above the last row) so the formula range expands. Anything with no match = "Other".</t>
  </si>
  <si>
    <t xml:space="preserve">Weekly_Demand — input data (the only tab where new data is pasted)</t>
  </si>
  <si>
    <t xml:space="preserve">Paste values from row 5: A SKU · B Description · G:BF weekly units W1–W52 · BG Median Sell Price · F On Hand snapshot. Columns C, D, E are formulas (gold headers) — do not paste over them. Row 5 is the format example. Capacity 500 SKUs (rows 5–504).</t>
  </si>
  <si>
    <t xml:space="preserve">Week starting (Mon) →</t>
  </si>
  <si>
    <t xml:space="preserve">SKU (StockCode)</t>
  </si>
  <si>
    <t xml:space="preserve">Description</t>
  </si>
  <si>
    <t xml:space="preserve">Category (keyword formula)</t>
  </si>
  <si>
    <t xml:space="preserve">Unit Cost (£) ASSUMPTION</t>
  </si>
  <si>
    <t xml:space="preserve">Lead Time (weeks) SIMULATED</t>
  </si>
  <si>
    <t xml:space="preserve">On Hand (simulated) units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</si>
  <si>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</si>
  <si>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</si>
  <si>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</si>
  <si>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</si>
  <si>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</si>
  <si>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</si>
  <si>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</si>
  <si>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</si>
  <si>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</si>
  <si>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</si>
  <si>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</si>
  <si>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</si>
  <si>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</si>
  <si>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</si>
  <si>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</si>
  <si>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</si>
  <si>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</si>
  <si>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</si>
  <si>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</si>
  <si>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</si>
  <si>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</si>
  <si>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</si>
  <si>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</si>
  <si>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</si>
  <si>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</si>
  <si>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</si>
  <si>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</si>
  <si>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</si>
  <si>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</si>
  <si>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</si>
  <si>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</si>
  <si>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</si>
  <si>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</si>
  <si>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</si>
  <si>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</si>
  <si>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W36</t>
  </si>
  <si>
    <t xml:space="preserve">W37</t>
  </si>
  <si>
    <t xml:space="preserve">W38</t>
  </si>
  <si>
    <t xml:space="preserve">W39</t>
  </si>
  <si>
    <t xml:space="preserve">W40</t>
  </si>
  <si>
    <t xml:space="preserve">W41</t>
  </si>
  <si>
    <t xml:space="preserve">W42</t>
  </si>
  <si>
    <t xml:space="preserve">W43</t>
  </si>
  <si>
    <t xml:space="preserve">W44</t>
  </si>
  <si>
    <t xml:space="preserve">W45</t>
  </si>
  <si>
    <t xml:space="preserve">W46</t>
  </si>
  <si>
    <t xml:space="preserve">W47</t>
  </si>
  <si>
    <t xml:space="preserve">W48</t>
  </si>
  <si>
    <t xml:space="preserve">W49</t>
  </si>
  <si>
    <t xml:space="preserve">W50</t>
  </si>
  <si>
    <t xml:space="preserve">W51</t>
  </si>
  <si>
    <t xml:space="preserve">W52</t>
  </si>
  <si>
    <t xml:space="preserve">Median Sell Price (£)</t>
  </si>
  <si>
    <t xml:space="preserve">22423</t>
  </si>
  <si>
    <t xml:space="preserve">REGENCY CAKESTAND 3 TIER</t>
  </si>
  <si>
    <t xml:space="preserve">← format example: SKU as text, whole-number units, price in £</t>
  </si>
  <si>
    <t xml:space="preserve">85123A</t>
  </si>
  <si>
    <t xml:space="preserve">WHITE HANGING HEART T-LIGHT HOLDER</t>
  </si>
  <si>
    <t xml:space="preserve">47566</t>
  </si>
  <si>
    <t xml:space="preserve">PARTY BUNTING</t>
  </si>
  <si>
    <t xml:space="preserve">85099B</t>
  </si>
  <si>
    <t xml:space="preserve">JUMBO BAG RED RETROSPOT</t>
  </si>
  <si>
    <t xml:space="preserve">23084</t>
  </si>
  <si>
    <t xml:space="preserve">RABBIT NIGHT LIGHT</t>
  </si>
  <si>
    <t xml:space="preserve">22086</t>
  </si>
  <si>
    <t xml:space="preserve">PAPER CHAIN KIT 50'S CHRISTMAS</t>
  </si>
  <si>
    <t xml:space="preserve">84879</t>
  </si>
  <si>
    <t xml:space="preserve">ASSORTED COLOUR BIRD ORNAMENT</t>
  </si>
  <si>
    <t xml:space="preserve">22502</t>
  </si>
  <si>
    <t xml:space="preserve">PICNIC BASKET WICKER SMALL</t>
  </si>
  <si>
    <t xml:space="preserve">79321</t>
  </si>
  <si>
    <t xml:space="preserve">CHILLI LIGHTS</t>
  </si>
  <si>
    <t xml:space="preserve">22197</t>
  </si>
  <si>
    <t xml:space="preserve">POPCORN HOLDER</t>
  </si>
  <si>
    <t xml:space="preserve">23298</t>
  </si>
  <si>
    <t xml:space="preserve">SPOTTY BUNTING</t>
  </si>
  <si>
    <t xml:space="preserve">22386</t>
  </si>
  <si>
    <t xml:space="preserve">JUMBO BAG PINK POLKADOT</t>
  </si>
  <si>
    <t xml:space="preserve">23203</t>
  </si>
  <si>
    <t xml:space="preserve">JUMBO BAG VINTAGE DOILY</t>
  </si>
  <si>
    <t xml:space="preserve">22720</t>
  </si>
  <si>
    <t xml:space="preserve">SET OF 3 CAKE TINS PANTRY DESIGN</t>
  </si>
  <si>
    <t xml:space="preserve">23284</t>
  </si>
  <si>
    <t xml:space="preserve">DOORMAT KEEP CALM AND COME IN</t>
  </si>
  <si>
    <t xml:space="preserve">22960</t>
  </si>
  <si>
    <t xml:space="preserve">JAM MAKING SET WITH JARS</t>
  </si>
  <si>
    <t xml:space="preserve">20725</t>
  </si>
  <si>
    <t xml:space="preserve">LUNCH BAG RED RETROSPOT</t>
  </si>
  <si>
    <t xml:space="preserve">82484</t>
  </si>
  <si>
    <t xml:space="preserve">WOOD BLACK BOARD ANT WHITE FINISH</t>
  </si>
  <si>
    <t xml:space="preserve">21137</t>
  </si>
  <si>
    <t xml:space="preserve">BLACK RECORD COVER FRAME</t>
  </si>
  <si>
    <t xml:space="preserve">85099F</t>
  </si>
  <si>
    <t xml:space="preserve">JUMBO BAG STRAWBERRY</t>
  </si>
  <si>
    <t xml:space="preserve">22178</t>
  </si>
  <si>
    <t xml:space="preserve">VICTORIAN GLASS HANGING T-LIGHT</t>
  </si>
  <si>
    <t xml:space="preserve">22469</t>
  </si>
  <si>
    <t xml:space="preserve">HEART OF WICKER SMALL</t>
  </si>
  <si>
    <t xml:space="preserve">23199</t>
  </si>
  <si>
    <t xml:space="preserve">JUMBO BAG APPLES</t>
  </si>
  <si>
    <t xml:space="preserve">21931</t>
  </si>
  <si>
    <t xml:space="preserve">JUMBO STORAGE BAG SUKI</t>
  </si>
  <si>
    <t xml:space="preserve">23245</t>
  </si>
  <si>
    <t xml:space="preserve">SET OF 3 REGENCY CAKE TINS</t>
  </si>
  <si>
    <t xml:space="preserve">22112</t>
  </si>
  <si>
    <t xml:space="preserve">CHOCOLATE HOT WATER BOTTLE</t>
  </si>
  <si>
    <t xml:space="preserve">22470</t>
  </si>
  <si>
    <t xml:space="preserve">HEART OF WICKER LARGE</t>
  </si>
  <si>
    <t xml:space="preserve">22910</t>
  </si>
  <si>
    <t xml:space="preserve">PAPER CHAIN KIT VINTAGE CHRISTMAS</t>
  </si>
  <si>
    <t xml:space="preserve">22114</t>
  </si>
  <si>
    <t xml:space="preserve">HOT WATER BOTTLE TEA AND SYMPATHY</t>
  </si>
  <si>
    <t xml:space="preserve">22699</t>
  </si>
  <si>
    <t xml:space="preserve">ROSES REGENCY TEACUP AND SAUCER</t>
  </si>
  <si>
    <t xml:space="preserve">22411</t>
  </si>
  <si>
    <t xml:space="preserve">JUMBO SHOPPER VINTAGE RED PAISLEY</t>
  </si>
  <si>
    <t xml:space="preserve">23201</t>
  </si>
  <si>
    <t xml:space="preserve">JUMBO BAG ALPHABET</t>
  </si>
  <si>
    <t xml:space="preserve">22355</t>
  </si>
  <si>
    <t xml:space="preserve">CHARLOTTE BAG SUKI DESIGN</t>
  </si>
  <si>
    <t xml:space="preserve">85099C</t>
  </si>
  <si>
    <t xml:space="preserve">JUMBO  BAG BAROQUE BLACK WHITE</t>
  </si>
  <si>
    <t xml:space="preserve">20685</t>
  </si>
  <si>
    <t xml:space="preserve">DOORMAT RED RETROSPOT</t>
  </si>
  <si>
    <t xml:space="preserve">22727</t>
  </si>
  <si>
    <t xml:space="preserve">ALARM CLOCK BAKELIKE RED</t>
  </si>
  <si>
    <t xml:space="preserve">21175</t>
  </si>
  <si>
    <t xml:space="preserve">GIN + TONIC DIET METAL SIGN</t>
  </si>
  <si>
    <t xml:space="preserve">23355</t>
  </si>
  <si>
    <t xml:space="preserve">HOT WATER BOTTLE KEEP CALM</t>
  </si>
  <si>
    <t xml:space="preserve">22457</t>
  </si>
  <si>
    <t xml:space="preserve">NATURAL SLATE HEART CHALKBOARD</t>
  </si>
  <si>
    <t xml:space="preserve">22726</t>
  </si>
  <si>
    <t xml:space="preserve">ALARM CLOCK BAKELIKE GREEN</t>
  </si>
  <si>
    <t xml:space="preserve">48138</t>
  </si>
  <si>
    <t xml:space="preserve">DOORMAT UNION FLAG</t>
  </si>
  <si>
    <t xml:space="preserve">22629</t>
  </si>
  <si>
    <t xml:space="preserve">SPACEBOY LUNCH BOX</t>
  </si>
  <si>
    <t xml:space="preserve">84946</t>
  </si>
  <si>
    <t xml:space="preserve">ANTIQUE SILVER T-LIGHT GLASS</t>
  </si>
  <si>
    <t xml:space="preserve">21915</t>
  </si>
  <si>
    <t xml:space="preserve">RED  HARMONICA IN BOX</t>
  </si>
  <si>
    <t xml:space="preserve">23173</t>
  </si>
  <si>
    <t xml:space="preserve">REGENCY TEAPOT ROSES</t>
  </si>
  <si>
    <t xml:space="preserve">22666</t>
  </si>
  <si>
    <t xml:space="preserve">RECIPE BOX PANTRY YELLOW DESIGN</t>
  </si>
  <si>
    <t xml:space="preserve">21621</t>
  </si>
  <si>
    <t xml:space="preserve">VINTAGE UNION JACK BUNTING</t>
  </si>
  <si>
    <t xml:space="preserve">22722</t>
  </si>
  <si>
    <t xml:space="preserve">SET OF 6 SPICE TINS PANTRY DESIGN</t>
  </si>
  <si>
    <t xml:space="preserve">21181</t>
  </si>
  <si>
    <t xml:space="preserve">PLEASE ONE PERSON METAL SIGN</t>
  </si>
  <si>
    <t xml:space="preserve">48185</t>
  </si>
  <si>
    <t xml:space="preserve">DOORMAT FAIRY CAKE</t>
  </si>
  <si>
    <t xml:space="preserve">48187</t>
  </si>
  <si>
    <t xml:space="preserve">DOORMAT NEW ENGLAND</t>
  </si>
  <si>
    <t xml:space="preserve">22961</t>
  </si>
  <si>
    <t xml:space="preserve">JAM MAKING SET PRINTED</t>
  </si>
  <si>
    <t xml:space="preserve">22326</t>
  </si>
  <si>
    <t xml:space="preserve">ROUND SNACK BOXES SET OF4 WOODLAND</t>
  </si>
  <si>
    <t xml:space="preserve">23243</t>
  </si>
  <si>
    <t xml:space="preserve">SET OF TEA COFFEE SUGAR TINS PANTRY</t>
  </si>
  <si>
    <t xml:space="preserve">22138</t>
  </si>
  <si>
    <t xml:space="preserve">BAKING SET 9 PIECE RETROSPOT</t>
  </si>
  <si>
    <t xml:space="preserve">84347</t>
  </si>
  <si>
    <t xml:space="preserve">ROTATING SILVER ANGELS T-LIGHT HLDR</t>
  </si>
  <si>
    <t xml:space="preserve">15056N</t>
  </si>
  <si>
    <t xml:space="preserve">EDWARDIAN PARASOL NATURAL</t>
  </si>
  <si>
    <t xml:space="preserve">21929</t>
  </si>
  <si>
    <t xml:space="preserve">JUMBO BAG PINK VINTAGE PAISLEY</t>
  </si>
  <si>
    <t xml:space="preserve">82482</t>
  </si>
  <si>
    <t xml:space="preserve">WOODEN PICTURE FRAME WHITE FINISH</t>
  </si>
  <si>
    <t xml:space="preserve">21731</t>
  </si>
  <si>
    <t xml:space="preserve">RED TOADSTOOL LED NIGHT LIGHT</t>
  </si>
  <si>
    <t xml:space="preserve">20713</t>
  </si>
  <si>
    <t xml:space="preserve">JUMBO BAG OWLS</t>
  </si>
  <si>
    <t xml:space="preserve">22090</t>
  </si>
  <si>
    <t xml:space="preserve">PAPER BUNTING RETROSPOT</t>
  </si>
  <si>
    <t xml:space="preserve">21623</t>
  </si>
  <si>
    <t xml:space="preserve">VINTAGE UNION JACK MEMOBOARD</t>
  </si>
  <si>
    <t xml:space="preserve">23344</t>
  </si>
  <si>
    <t xml:space="preserve">JUMBO BAG 50'S CHRISTMAS</t>
  </si>
  <si>
    <t xml:space="preserve">21733</t>
  </si>
  <si>
    <t xml:space="preserve">RED HANGING HEART T-LIGHT HOLDER</t>
  </si>
  <si>
    <t xml:space="preserve">22383</t>
  </si>
  <si>
    <t xml:space="preserve">LUNCH BAG SUKI DESIGN</t>
  </si>
  <si>
    <t xml:space="preserve">22111</t>
  </si>
  <si>
    <t xml:space="preserve">SCOTTIE DOG HOT WATER BOTTLE</t>
  </si>
  <si>
    <t xml:space="preserve">84997D</t>
  </si>
  <si>
    <t xml:space="preserve">CHILDRENS CUTLERY POLKADOT PINK</t>
  </si>
  <si>
    <t xml:space="preserve">22189</t>
  </si>
  <si>
    <t xml:space="preserve">CREAM HEART CARD HOLDER</t>
  </si>
  <si>
    <t xml:space="preserve">22139</t>
  </si>
  <si>
    <t xml:space="preserve">RETROSPOT TEA SET CERAMIC 11 PC</t>
  </si>
  <si>
    <t xml:space="preserve">85066</t>
  </si>
  <si>
    <t xml:space="preserve">CREAM SWEETHEART MINI CHEST</t>
  </si>
  <si>
    <t xml:space="preserve">20727</t>
  </si>
  <si>
    <t xml:space="preserve">LUNCH BAG  BLACK SKULL.</t>
  </si>
  <si>
    <t xml:space="preserve">20712</t>
  </si>
  <si>
    <t xml:space="preserve">JUMBO BAG WOODLAND ANIMALS</t>
  </si>
  <si>
    <t xml:space="preserve">22697</t>
  </si>
  <si>
    <t xml:space="preserve">GREEN REGENCY TEACUP AND SAUCER</t>
  </si>
  <si>
    <t xml:space="preserve">48194</t>
  </si>
  <si>
    <t xml:space="preserve">DOORMAT HEARTS</t>
  </si>
  <si>
    <t xml:space="preserve">20728</t>
  </si>
  <si>
    <t xml:space="preserve">LUNCH BAG CARS BLUE</t>
  </si>
  <si>
    <t xml:space="preserve">22630</t>
  </si>
  <si>
    <t xml:space="preserve">DOLLY GIRL LUNCH BOX</t>
  </si>
  <si>
    <t xml:space="preserve">23202</t>
  </si>
  <si>
    <t xml:space="preserve">JUMBO BAG VINTAGE LEAF</t>
  </si>
  <si>
    <t xml:space="preserve">23209</t>
  </si>
  <si>
    <t xml:space="preserve">LUNCH BAG VINTAGE DOILY</t>
  </si>
  <si>
    <t xml:space="preserve">82494L</t>
  </si>
  <si>
    <t xml:space="preserve">WOODEN FRAME ANTIQUE WHITE</t>
  </si>
  <si>
    <t xml:space="preserve">20724</t>
  </si>
  <si>
    <t xml:space="preserve">RED RETROSPOT CHARLOTTE BAG</t>
  </si>
  <si>
    <t xml:space="preserve">21523</t>
  </si>
  <si>
    <t xml:space="preserve">DOORMAT FANCY FONT HOME SWEET HOME</t>
  </si>
  <si>
    <t xml:space="preserve">23206</t>
  </si>
  <si>
    <t xml:space="preserve">LUNCH BAG APPLE DESIGN</t>
  </si>
  <si>
    <t xml:space="preserve">21928</t>
  </si>
  <si>
    <t xml:space="preserve">JUMBO BAG SCANDINAVIAN BLUE PAISLEY</t>
  </si>
  <si>
    <t xml:space="preserve">21212</t>
  </si>
  <si>
    <t xml:space="preserve">PACK OF 72 RETROSPOT CAKE CASES</t>
  </si>
  <si>
    <t xml:space="preserve">21843</t>
  </si>
  <si>
    <t xml:space="preserve">RED RETROSPOT CAKE STAND</t>
  </si>
  <si>
    <t xml:space="preserve">21166</t>
  </si>
  <si>
    <t xml:space="preserve">COOK WITH WINE METAL SIGN</t>
  </si>
  <si>
    <t xml:space="preserve">22659</t>
  </si>
  <si>
    <t xml:space="preserve">LUNCH BOX I LOVE LONDON</t>
  </si>
  <si>
    <t xml:space="preserve">22728</t>
  </si>
  <si>
    <t xml:space="preserve">ALARM CLOCK BAKELIKE PINK</t>
  </si>
  <si>
    <t xml:space="preserve">22501</t>
  </si>
  <si>
    <t xml:space="preserve">PICNIC BASKET WICKER LARGE</t>
  </si>
  <si>
    <t xml:space="preserve">84997B</t>
  </si>
  <si>
    <t xml:space="preserve">CHILDRENS CUTLERY RETROSPOT RED</t>
  </si>
  <si>
    <t xml:space="preserve">22328</t>
  </si>
  <si>
    <t xml:space="preserve">ROUND SNACK BOXES SET OF 4 FRUITS</t>
  </si>
  <si>
    <t xml:space="preserve">71477</t>
  </si>
  <si>
    <t xml:space="preserve">COLOUR GLASS. STAR T-LIGHT HOLDER</t>
  </si>
  <si>
    <t xml:space="preserve">15036</t>
  </si>
  <si>
    <t xml:space="preserve">ASSORTED COLOURS SILK FAN</t>
  </si>
  <si>
    <t xml:space="preserve">84029E</t>
  </si>
  <si>
    <t xml:space="preserve">RED WOOLLY HOTTIE WHITE HEART.</t>
  </si>
  <si>
    <t xml:space="preserve">22467</t>
  </si>
  <si>
    <t xml:space="preserve">GUMBALL COAT RACK</t>
  </si>
  <si>
    <t xml:space="preserve">22969</t>
  </si>
  <si>
    <t xml:space="preserve">HOMEMADE JAM SCENTED CANDLES</t>
  </si>
  <si>
    <t xml:space="preserve">21479</t>
  </si>
  <si>
    <t xml:space="preserve">WHITE SKULL HOT WATER BOTTLE</t>
  </si>
  <si>
    <t xml:space="preserve">22382</t>
  </si>
  <si>
    <t xml:space="preserve">LUNCH BAG SPACEBOY DESIGN</t>
  </si>
  <si>
    <t xml:space="preserve">20726</t>
  </si>
  <si>
    <t xml:space="preserve">LUNCH BAG WOODLAND</t>
  </si>
  <si>
    <t xml:space="preserve">21108</t>
  </si>
  <si>
    <t xml:space="preserve">FAIRY CAKE FLANNEL ASSORTED COLOUR</t>
  </si>
  <si>
    <t xml:space="preserve">82486</t>
  </si>
  <si>
    <t xml:space="preserve">WOOD S/3 CABINET ANT WHITE FINISH</t>
  </si>
  <si>
    <t xml:space="preserve">22693</t>
  </si>
  <si>
    <t xml:space="preserve">GROW A FLYTRAP OR SUNFLOWER IN TIN</t>
  </si>
  <si>
    <t xml:space="preserve">20914</t>
  </si>
  <si>
    <t xml:space="preserve">SET/5 RED RETROSPOT LID GLASS BOWLS</t>
  </si>
  <si>
    <t xml:space="preserve">22384</t>
  </si>
  <si>
    <t xml:space="preserve">LUNCH BAG PINK POLKADOT</t>
  </si>
  <si>
    <t xml:space="preserve">22698</t>
  </si>
  <si>
    <t xml:space="preserve">PINK REGENCY TEACUP AND SAUCER</t>
  </si>
  <si>
    <t xml:space="preserve">22385</t>
  </si>
  <si>
    <t xml:space="preserve">JUMBO BAG SPACEBOY DESIGN</t>
  </si>
  <si>
    <t xml:space="preserve">82583</t>
  </si>
  <si>
    <t xml:space="preserve">HOT BATHS METAL SIGN</t>
  </si>
  <si>
    <t xml:space="preserve">22835</t>
  </si>
  <si>
    <t xml:space="preserve">HOT WATER BOTTLE I AM SO POORLY</t>
  </si>
  <si>
    <t xml:space="preserve">21485</t>
  </si>
  <si>
    <t xml:space="preserve">RETROSPOT HEART HOT WATER BOTTLE</t>
  </si>
  <si>
    <t xml:space="preserve">84997C</t>
  </si>
  <si>
    <t xml:space="preserve">CHILDRENS CUTLERY POLKADOT BLUE</t>
  </si>
  <si>
    <t xml:space="preserve">22492</t>
  </si>
  <si>
    <t xml:space="preserve">MINI PAINT SET VINTAGE</t>
  </si>
  <si>
    <t xml:space="preserve">23240</t>
  </si>
  <si>
    <t xml:space="preserve">SET OF 4 KNICK KNACK TINS DOILY</t>
  </si>
  <si>
    <t xml:space="preserve">22077</t>
  </si>
  <si>
    <t xml:space="preserve">6 RIBBONS RUSTIC CHARM</t>
  </si>
  <si>
    <t xml:space="preserve">21754</t>
  </si>
  <si>
    <t xml:space="preserve">HOME BUILDING BLOCK WORD</t>
  </si>
  <si>
    <t xml:space="preserve">84078A</t>
  </si>
  <si>
    <t xml:space="preserve">SET/4 WHITE RETRO STORAGE CUBES</t>
  </si>
  <si>
    <t xml:space="preserve">84978</t>
  </si>
  <si>
    <t xml:space="preserve">HANGING HEART JAR T-LIGHT HOLDER</t>
  </si>
  <si>
    <t xml:space="preserve">22993</t>
  </si>
  <si>
    <t xml:space="preserve">SET OF 4 PANTRY JELLY MOULDS</t>
  </si>
  <si>
    <t xml:space="preserve">15056BL</t>
  </si>
  <si>
    <t xml:space="preserve">EDWARDIAN PARASOL BLACK</t>
  </si>
  <si>
    <t xml:space="preserve">20719</t>
  </si>
  <si>
    <t xml:space="preserve">WOODLAND CHARLOTTE BAG</t>
  </si>
  <si>
    <t xml:space="preserve">22624</t>
  </si>
  <si>
    <t xml:space="preserve">IVORY KITCHEN SCALES</t>
  </si>
  <si>
    <t xml:space="preserve">22379</t>
  </si>
  <si>
    <t xml:space="preserve">RECYCLING BAG RETROSPOT</t>
  </si>
  <si>
    <t xml:space="preserve">22865</t>
  </si>
  <si>
    <t xml:space="preserve">HAND WARMER OWL DESIGN</t>
  </si>
  <si>
    <t xml:space="preserve">23301</t>
  </si>
  <si>
    <t xml:space="preserve">GARDENERS KNEELING PAD KEEP CALM</t>
  </si>
  <si>
    <t xml:space="preserve">22084</t>
  </si>
  <si>
    <t xml:space="preserve">PAPER CHAIN KIT EMPIRE</t>
  </si>
  <si>
    <t xml:space="preserve">21232</t>
  </si>
  <si>
    <t xml:space="preserve">STRAWBERRY CERAMIC TRINKET BOX</t>
  </si>
  <si>
    <t xml:space="preserve">23313</t>
  </si>
  <si>
    <t xml:space="preserve">VINTAGE CHRISTMAS BUNTING</t>
  </si>
  <si>
    <t xml:space="preserve">82483</t>
  </si>
  <si>
    <t xml:space="preserve">WOOD 2 DRAWER CABINET WHITE FINISH</t>
  </si>
  <si>
    <t xml:space="preserve">85152</t>
  </si>
  <si>
    <t xml:space="preserve">HAND OVER THE CHOCOLATE   SIGN</t>
  </si>
  <si>
    <t xml:space="preserve">22900</t>
  </si>
  <si>
    <t xml:space="preserve">SET 2 TEA TOWELS I LOVE LONDON</t>
  </si>
  <si>
    <t xml:space="preserve">23200</t>
  </si>
  <si>
    <t xml:space="preserve">JUMBO BAG PEARS</t>
  </si>
  <si>
    <t xml:space="preserve">22847</t>
  </si>
  <si>
    <t xml:space="preserve">BREAD BIN DINER STYLE IVORY</t>
  </si>
  <si>
    <t xml:space="preserve">84029G</t>
  </si>
  <si>
    <t xml:space="preserve">KNITTED UNION FLAG HOT WATER BOTTLE</t>
  </si>
  <si>
    <t xml:space="preserve">22507</t>
  </si>
  <si>
    <t xml:space="preserve">MEMO BOARD RETROSPOT  DESIGN</t>
  </si>
  <si>
    <t xml:space="preserve">48184</t>
  </si>
  <si>
    <t xml:space="preserve">DOORMAT ENGLISH ROSE</t>
  </si>
  <si>
    <t xml:space="preserve">22083</t>
  </si>
  <si>
    <t xml:space="preserve">PAPER CHAIN KIT RETROSPOT</t>
  </si>
  <si>
    <t xml:space="preserve">22171</t>
  </si>
  <si>
    <t xml:space="preserve">3 HOOK PHOTO SHELF ANTIQUE WHITE</t>
  </si>
  <si>
    <t xml:space="preserve">22625</t>
  </si>
  <si>
    <t xml:space="preserve">RED KITCHEN SCALES</t>
  </si>
  <si>
    <t xml:space="preserve">22622</t>
  </si>
  <si>
    <t xml:space="preserve">BOX OF VINTAGE ALPHABET BLOCKS</t>
  </si>
  <si>
    <t xml:space="preserve">21930</t>
  </si>
  <si>
    <t xml:space="preserve">JUMBO STORAGE BAG SKULLS</t>
  </si>
  <si>
    <t xml:space="preserve">20971</t>
  </si>
  <si>
    <t xml:space="preserve">PINK BLUE FELT CRAFT TRINKET BOX</t>
  </si>
  <si>
    <t xml:space="preserve">23207</t>
  </si>
  <si>
    <t xml:space="preserve">LUNCH BAG ALPHABET DESIGN</t>
  </si>
  <si>
    <t xml:space="preserve">23077</t>
  </si>
  <si>
    <t xml:space="preserve">DOUGHNUT LIP GLOSS</t>
  </si>
  <si>
    <t xml:space="preserve">21524</t>
  </si>
  <si>
    <t xml:space="preserve">DOORMAT SPOTTY HOME SWEET HOME</t>
  </si>
  <si>
    <t xml:space="preserve">22551</t>
  </si>
  <si>
    <t xml:space="preserve">PLASTERS IN TIN SPACEBOY</t>
  </si>
  <si>
    <t xml:space="preserve">23108</t>
  </si>
  <si>
    <t xml:space="preserve">SET OF 10 LED DOLLY LIGHTS</t>
  </si>
  <si>
    <t xml:space="preserve">22554</t>
  </si>
  <si>
    <t xml:space="preserve">PLASTERS IN TIN WOODLAND ANIMALS</t>
  </si>
  <si>
    <t xml:space="preserve">84077</t>
  </si>
  <si>
    <t xml:space="preserve">WORLD WAR 2 GLIDERS ASSTD DESIGNS</t>
  </si>
  <si>
    <t xml:space="preserve">23356</t>
  </si>
  <si>
    <t xml:space="preserve">LOVE HOT WATER BOTTLE</t>
  </si>
  <si>
    <t xml:space="preserve">47566B</t>
  </si>
  <si>
    <t xml:space="preserve">TEA TIME PARTY BUNTING</t>
  </si>
  <si>
    <t xml:space="preserve">23343</t>
  </si>
  <si>
    <t xml:space="preserve">JUMBO BAG VINTAGE CHRISTMAS</t>
  </si>
  <si>
    <t xml:space="preserve">22776</t>
  </si>
  <si>
    <t xml:space="preserve">SWEETHEART CAKESTAND 3 TIER</t>
  </si>
  <si>
    <t xml:space="preserve">22499</t>
  </si>
  <si>
    <t xml:space="preserve">WOODEN UNION JACK BUNTING</t>
  </si>
  <si>
    <t xml:space="preserve">22558</t>
  </si>
  <si>
    <t xml:space="preserve">CLOTHES PEGS RETROSPOT PACK 24</t>
  </si>
  <si>
    <t xml:space="preserve">22427</t>
  </si>
  <si>
    <t xml:space="preserve">ENAMEL FLOWER JUG CREAM</t>
  </si>
  <si>
    <t xml:space="preserve">82600</t>
  </si>
  <si>
    <t xml:space="preserve">NO SINGING METAL SIGN</t>
  </si>
  <si>
    <t xml:space="preserve">22607</t>
  </si>
  <si>
    <t xml:space="preserve">WOODEN ROUNDERS GARDEN SET</t>
  </si>
  <si>
    <t xml:space="preserve">23328</t>
  </si>
  <si>
    <t xml:space="preserve">SET 6 SCHOOL MILK BOTTLES IN CRATE</t>
  </si>
  <si>
    <t xml:space="preserve">23174</t>
  </si>
  <si>
    <t xml:space="preserve">REGENCY SUGAR BOWL GREEN</t>
  </si>
  <si>
    <t xml:space="preserve">21755</t>
  </si>
  <si>
    <t xml:space="preserve">LOVE BUILDING BLOCK WORD</t>
  </si>
  <si>
    <t xml:space="preserve">22149</t>
  </si>
  <si>
    <t xml:space="preserve">FELTCRAFT 6 FLOWER FRIENDS</t>
  </si>
  <si>
    <t xml:space="preserve">22941</t>
  </si>
  <si>
    <t xml:space="preserve">CHRISTMAS LIGHTS 10 REINDEER</t>
  </si>
  <si>
    <t xml:space="preserve">48188</t>
  </si>
  <si>
    <t xml:space="preserve">DOORMAT WELCOME PUPPIES</t>
  </si>
  <si>
    <t xml:space="preserve">47590B</t>
  </si>
  <si>
    <t xml:space="preserve">PINK HAPPY BIRTHDAY BUNTING</t>
  </si>
  <si>
    <t xml:space="preserve">20750</t>
  </si>
  <si>
    <t xml:space="preserve">RED RETROSPOT MINI CASES</t>
  </si>
  <si>
    <t xml:space="preserve">22568</t>
  </si>
  <si>
    <t xml:space="preserve">FELTCRAFT CUSHION OWL</t>
  </si>
  <si>
    <t xml:space="preserve">22866</t>
  </si>
  <si>
    <t xml:space="preserve">HAND WARMER SCOTTY DOG DESIGN</t>
  </si>
  <si>
    <t xml:space="preserve">20723</t>
  </si>
  <si>
    <t xml:space="preserve">STRAWBERRY CHARLOTTE BAG</t>
  </si>
  <si>
    <t xml:space="preserve">21790</t>
  </si>
  <si>
    <t xml:space="preserve">VINTAGE SNAP CARDS</t>
  </si>
  <si>
    <t xml:space="preserve">22113</t>
  </si>
  <si>
    <t xml:space="preserve">GREY HEART HOT WATER BOTTLE</t>
  </si>
  <si>
    <t xml:space="preserve">21977</t>
  </si>
  <si>
    <t xml:space="preserve">PACK OF 60 PINK PAISLEY CAKE CASES</t>
  </si>
  <si>
    <t xml:space="preserve">22424</t>
  </si>
  <si>
    <t xml:space="preserve">ENAMEL BREAD BIN CREAM</t>
  </si>
  <si>
    <t xml:space="preserve">22273</t>
  </si>
  <si>
    <t xml:space="preserve">FELTCRAFT DOLL MOLLY</t>
  </si>
  <si>
    <t xml:space="preserve">22087</t>
  </si>
  <si>
    <t xml:space="preserve">PAPER BUNTING WHITE LACE</t>
  </si>
  <si>
    <t xml:space="preserve">22191</t>
  </si>
  <si>
    <t xml:space="preserve">IVORY DINER WALL CLOCK</t>
  </si>
  <si>
    <t xml:space="preserve">22752</t>
  </si>
  <si>
    <t xml:space="preserve">SET 7 BABUSHKA NESTING BOXES</t>
  </si>
  <si>
    <t xml:space="preserve">21936</t>
  </si>
  <si>
    <t xml:space="preserve">RED RETROSPOT PICNIC BAG</t>
  </si>
  <si>
    <t xml:space="preserve">22158</t>
  </si>
  <si>
    <t xml:space="preserve">3 HEARTS HANGING DECORATION RUSTIC</t>
  </si>
  <si>
    <t xml:space="preserve">22193</t>
  </si>
  <si>
    <t xml:space="preserve">RED DINER WALL CLOCK</t>
  </si>
  <si>
    <t xml:space="preserve">21430</t>
  </si>
  <si>
    <t xml:space="preserve">SET/3 RED GINGHAM ROSE STORAGE BOX</t>
  </si>
  <si>
    <t xml:space="preserve">22867</t>
  </si>
  <si>
    <t xml:space="preserve">HAND WARMER BIRD DESIGN</t>
  </si>
  <si>
    <t xml:space="preserve">22692</t>
  </si>
  <si>
    <t xml:space="preserve">DOORMAT WELCOME TO OUR HOME</t>
  </si>
  <si>
    <t xml:space="preserve">22188</t>
  </si>
  <si>
    <t xml:space="preserve">BLACK HEART CARD HOLDER</t>
  </si>
  <si>
    <t xml:space="preserve">20749</t>
  </si>
  <si>
    <t xml:space="preserve">ASSORTED COLOUR MINI CASES</t>
  </si>
  <si>
    <t xml:space="preserve">23300</t>
  </si>
  <si>
    <t xml:space="preserve">GARDENERS KNEELING PAD CUP OF TEA</t>
  </si>
  <si>
    <t xml:space="preserve">21340</t>
  </si>
  <si>
    <t xml:space="preserve">CLASSIC METAL BIRDCAGE PLANT HOLDER</t>
  </si>
  <si>
    <t xml:space="preserve">21216</t>
  </si>
  <si>
    <t xml:space="preserve">SET 3 RETROSPOT TEA,COFFEE,SUGAR</t>
  </si>
  <si>
    <t xml:space="preserve">22570</t>
  </si>
  <si>
    <t xml:space="preserve">FELTCRAFT CUSHION RABBIT</t>
  </si>
  <si>
    <t xml:space="preserve">85014B</t>
  </si>
  <si>
    <t xml:space="preserve">RED RETROSPOT UMBRELLA</t>
  </si>
  <si>
    <t xml:space="preserve">22605</t>
  </si>
  <si>
    <t xml:space="preserve">WOODEN CROQUET GARDEN SET</t>
  </si>
  <si>
    <t xml:space="preserve">23170</t>
  </si>
  <si>
    <t xml:space="preserve">REGENCY TEA PLATE ROSES</t>
  </si>
  <si>
    <t xml:space="preserve">22662</t>
  </si>
  <si>
    <t xml:space="preserve">LUNCH BAG DOLLY GIRL DESIGN</t>
  </si>
  <si>
    <t xml:space="preserve">20711</t>
  </si>
  <si>
    <t xml:space="preserve">JUMBO BAG TOYS</t>
  </si>
  <si>
    <t xml:space="preserve">22356</t>
  </si>
  <si>
    <t xml:space="preserve">CHARLOTTE BAG PINK POLKADOT</t>
  </si>
  <si>
    <t xml:space="preserve">22730</t>
  </si>
  <si>
    <t xml:space="preserve">ALARM CLOCK BAKELIKE IVORY</t>
  </si>
  <si>
    <t xml:space="preserve">21080</t>
  </si>
  <si>
    <t xml:space="preserve">SET/20 RED RETROSPOT PAPER NAPKINS</t>
  </si>
  <si>
    <t xml:space="preserve">23581</t>
  </si>
  <si>
    <t xml:space="preserve">JUMBO BAG PAISLEY PARK</t>
  </si>
  <si>
    <t xml:space="preserve">21217</t>
  </si>
  <si>
    <t xml:space="preserve">RED RETROSPOT ROUND CAKE TINS</t>
  </si>
  <si>
    <t xml:space="preserve">21481</t>
  </si>
  <si>
    <t xml:space="preserve">FAWN BLUE HOT WATER BOTTLE</t>
  </si>
  <si>
    <t xml:space="preserve">22041</t>
  </si>
  <si>
    <t xml:space="preserve">RECORD FRAME 7" SINGLE SIZE</t>
  </si>
  <si>
    <t xml:space="preserve">71459</t>
  </si>
  <si>
    <t xml:space="preserve">HANGING JAM JAR T-LIGHT HOLDER</t>
  </si>
  <si>
    <t xml:space="preserve">84997A</t>
  </si>
  <si>
    <t xml:space="preserve">CHILDRENS CUTLERY POLKADOT GREEN</t>
  </si>
  <si>
    <t xml:space="preserve">84755</t>
  </si>
  <si>
    <t xml:space="preserve">COLOUR GLASS T-LIGHT HOLDER HANGING</t>
  </si>
  <si>
    <t xml:space="preserve">85048</t>
  </si>
  <si>
    <t xml:space="preserve">15CM CHRISTMAS GLASS BALL 20 LIGHTS</t>
  </si>
  <si>
    <t xml:space="preserve">22988</t>
  </si>
  <si>
    <t xml:space="preserve">SOLDIERS EGG CUP</t>
  </si>
  <si>
    <t xml:space="preserve">21891</t>
  </si>
  <si>
    <t xml:space="preserve">TRADITIONAL WOODEN SKIPPING ROPE</t>
  </si>
  <si>
    <t xml:space="preserve">22992</t>
  </si>
  <si>
    <t xml:space="preserve">REVOLVER WOODEN RULER</t>
  </si>
  <si>
    <t xml:space="preserve">48173C</t>
  </si>
  <si>
    <t xml:space="preserve">DOORMAT BLACK FLOCK</t>
  </si>
  <si>
    <t xml:space="preserve">47590A</t>
  </si>
  <si>
    <t xml:space="preserve">BLUE HAPPY BIRTHDAY BUNTING</t>
  </si>
  <si>
    <t xml:space="preserve">22734</t>
  </si>
  <si>
    <t xml:space="preserve">SET OF 6 RIBBONS VINTAGE CHRISTMAS</t>
  </si>
  <si>
    <t xml:space="preserve">22846</t>
  </si>
  <si>
    <t xml:space="preserve">BREAD BIN DINER STYLE RED</t>
  </si>
  <si>
    <t xml:space="preserve">22970</t>
  </si>
  <si>
    <t xml:space="preserve">LONDON BUS COFFEE MUG</t>
  </si>
  <si>
    <t xml:space="preserve">23208</t>
  </si>
  <si>
    <t xml:space="preserve">LUNCH BAG VINTAGE LEAF DESIGN</t>
  </si>
  <si>
    <t xml:space="preserve">22617</t>
  </si>
  <si>
    <t xml:space="preserve">BAKING SET SPACEBOY DESIGN</t>
  </si>
  <si>
    <t xml:space="preserve">23171</t>
  </si>
  <si>
    <t xml:space="preserve">REGENCY TEA PLATE GREEN</t>
  </si>
  <si>
    <t xml:space="preserve">22569</t>
  </si>
  <si>
    <t xml:space="preserve">FELTCRAFT CUSHION BUTTERFLY</t>
  </si>
  <si>
    <t xml:space="preserve">84947</t>
  </si>
  <si>
    <t xml:space="preserve">ANTIQUE SILVER TEA GLASS ENGRAVED</t>
  </si>
  <si>
    <t xml:space="preserve">23076</t>
  </si>
  <si>
    <t xml:space="preserve">ICE CREAM SUNDAE LIP GLOSS</t>
  </si>
  <si>
    <t xml:space="preserve">22690</t>
  </si>
  <si>
    <t xml:space="preserve">DOORMAT HOME SWEET HOME BLUE</t>
  </si>
  <si>
    <t xml:space="preserve">21218</t>
  </si>
  <si>
    <t xml:space="preserve">RED SPOTTY BISCUIT TIN</t>
  </si>
  <si>
    <t xml:space="preserve">21791</t>
  </si>
  <si>
    <t xml:space="preserve">VINTAGE HEADS AND TAILS CARD GAME</t>
  </si>
  <si>
    <t xml:space="preserve">22556</t>
  </si>
  <si>
    <t xml:space="preserve">PLASTERS IN TIN CIRCUS PARADE</t>
  </si>
  <si>
    <t xml:space="preserve">22766</t>
  </si>
  <si>
    <t xml:space="preserve">PHOTO FRAME CORNICE</t>
  </si>
  <si>
    <t xml:space="preserve">22169</t>
  </si>
  <si>
    <t xml:space="preserve">FAMILY ALBUM WHITE PICTURE FRAME</t>
  </si>
  <si>
    <t xml:space="preserve">21914</t>
  </si>
  <si>
    <t xml:space="preserve">BLUE HARMONICA IN BOX</t>
  </si>
  <si>
    <t xml:space="preserve">22621</t>
  </si>
  <si>
    <t xml:space="preserve">TRADITIONAL KNITTING NANCY</t>
  </si>
  <si>
    <t xml:space="preserve">21559</t>
  </si>
  <si>
    <t xml:space="preserve">STRAWBERRY LUNCH BOX WITH CUTLERY</t>
  </si>
  <si>
    <t xml:space="preserve">22978</t>
  </si>
  <si>
    <t xml:space="preserve">PANTRY ROLLING PIN</t>
  </si>
  <si>
    <t xml:space="preserve">23175</t>
  </si>
  <si>
    <t xml:space="preserve">REGENCY MILK JUG PINK</t>
  </si>
  <si>
    <t xml:space="preserve">22838</t>
  </si>
  <si>
    <t xml:space="preserve">3 TIER CAKE TIN RED AND CREAM</t>
  </si>
  <si>
    <t xml:space="preserve">22791</t>
  </si>
  <si>
    <t xml:space="preserve">T-LIGHT GLASS FLUTED ANTIQUE</t>
  </si>
  <si>
    <t xml:space="preserve">22844</t>
  </si>
  <si>
    <t xml:space="preserve">VINTAGE CREAM DOG FOOD CONTAINER</t>
  </si>
  <si>
    <t xml:space="preserve">22561</t>
  </si>
  <si>
    <t xml:space="preserve">WOODEN SCHOOL COLOURING SET</t>
  </si>
  <si>
    <t xml:space="preserve">23582</t>
  </si>
  <si>
    <t xml:space="preserve">VINTAGE DOILY JUMBO BAG RED</t>
  </si>
  <si>
    <t xml:space="preserve">22555</t>
  </si>
  <si>
    <t xml:space="preserve">PLASTERS IN TIN STRONGMAN</t>
  </si>
  <si>
    <t xml:space="preserve">22456</t>
  </si>
  <si>
    <t xml:space="preserve">NATURAL SLATE CHALKBOARD LARGE</t>
  </si>
  <si>
    <t xml:space="preserve">20679</t>
  </si>
  <si>
    <t xml:space="preserve">EDWARDIAN PARASOL RED</t>
  </si>
  <si>
    <t xml:space="preserve">22654</t>
  </si>
  <si>
    <t xml:space="preserve">DELUXE SEWING KIT</t>
  </si>
  <si>
    <t xml:space="preserve">85150</t>
  </si>
  <si>
    <t xml:space="preserve">LADIES &amp; GENTLEMEN METAL SIGN</t>
  </si>
  <si>
    <t xml:space="preserve">21155</t>
  </si>
  <si>
    <t xml:space="preserve">RED RETROSPOT PEG BAG</t>
  </si>
  <si>
    <t xml:space="preserve">21314</t>
  </si>
  <si>
    <t xml:space="preserve">SMALL GLASS HEART TRINKET POT</t>
  </si>
  <si>
    <t xml:space="preserve">35970</t>
  </si>
  <si>
    <t xml:space="preserve">ZINC FOLKART SLEIGH BELLS</t>
  </si>
  <si>
    <t xml:space="preserve">21174</t>
  </si>
  <si>
    <t xml:space="preserve">POTTERING IN THE SHED METAL SIGN</t>
  </si>
  <si>
    <t xml:space="preserve">22144</t>
  </si>
  <si>
    <t xml:space="preserve">CHRISTMAS CRAFT LITTLE FRIENDS</t>
  </si>
  <si>
    <t xml:space="preserve">84991</t>
  </si>
  <si>
    <t xml:space="preserve">60 TEATIME FAIRY CAKE CASES</t>
  </si>
  <si>
    <t xml:space="preserve">23319</t>
  </si>
  <si>
    <t xml:space="preserve">BOX OF 6 MINI 50'S CRACKERS</t>
  </si>
  <si>
    <t xml:space="preserve">22759</t>
  </si>
  <si>
    <t xml:space="preserve">SET OF 3 NOTEBOOKS IN PARCEL</t>
  </si>
  <si>
    <t xml:space="preserve">22729</t>
  </si>
  <si>
    <t xml:space="preserve">ALARM CLOCK BAKELIKE ORANGE</t>
  </si>
  <si>
    <t xml:space="preserve">48116</t>
  </si>
  <si>
    <t xml:space="preserve">DOORMAT MULTICOLOUR STRIPE</t>
  </si>
  <si>
    <t xml:space="preserve">22952</t>
  </si>
  <si>
    <t xml:space="preserve">60 CAKE CASES VINTAGE CHRISTMAS</t>
  </si>
  <si>
    <t xml:space="preserve">22989</t>
  </si>
  <si>
    <t xml:space="preserve">SET 2 PANTRY DESIGN TEA TOWELS</t>
  </si>
  <si>
    <t xml:space="preserve">20972</t>
  </si>
  <si>
    <t xml:space="preserve">PINK CREAM FELT CRAFT TRINKET BOX</t>
  </si>
  <si>
    <t xml:space="preserve">22619</t>
  </si>
  <si>
    <t xml:space="preserve">SET OF 6 SOLDIER SKITTLES</t>
  </si>
  <si>
    <t xml:space="preserve">22771</t>
  </si>
  <si>
    <t xml:space="preserve">CLEAR DRAWER KNOB ACRYLIC EDWARDIAN</t>
  </si>
  <si>
    <t xml:space="preserve">22966</t>
  </si>
  <si>
    <t xml:space="preserve">GINGERBREAD MAN COOKIE CUTTER</t>
  </si>
  <si>
    <t xml:space="preserve">84375</t>
  </si>
  <si>
    <t xml:space="preserve">SET OF 20 KIDS COOKIE CUTTERS</t>
  </si>
  <si>
    <t xml:space="preserve">23322</t>
  </si>
  <si>
    <t xml:space="preserve">LARGE WHITE HEART OF WICKER</t>
  </si>
  <si>
    <t xml:space="preserve">23318</t>
  </si>
  <si>
    <t xml:space="preserve">BOX OF 6 MINI VINTAGE CRACKERS</t>
  </si>
  <si>
    <t xml:space="preserve">22749</t>
  </si>
  <si>
    <t xml:space="preserve">FELTCRAFT PRINCESS CHARLOTTE DOLL</t>
  </si>
  <si>
    <t xml:space="preserve">82582</t>
  </si>
  <si>
    <t xml:space="preserve">AREA PATROLLED METAL SIGN</t>
  </si>
  <si>
    <t xml:space="preserve">23078</t>
  </si>
  <si>
    <t xml:space="preserve">ICE CREAM PEN LIP GLOSS</t>
  </si>
  <si>
    <t xml:space="preserve">21889</t>
  </si>
  <si>
    <t xml:space="preserve">WOODEN BOX OF DOMINOES</t>
  </si>
  <si>
    <t xml:space="preserve">22633</t>
  </si>
  <si>
    <t xml:space="preserve">HAND WARMER UNION JACK</t>
  </si>
  <si>
    <t xml:space="preserve">22947</t>
  </si>
  <si>
    <t xml:space="preserve">WOODEN ADVENT CALENDAR RED</t>
  </si>
  <si>
    <t xml:space="preserve">22560</t>
  </si>
  <si>
    <t xml:space="preserve">TRADITIONAL MODELLING CLAY</t>
  </si>
  <si>
    <t xml:space="preserve">22147</t>
  </si>
  <si>
    <t xml:space="preserve">FELTCRAFT BUTTERFLY HEARTS</t>
  </si>
  <si>
    <t xml:space="preserve">22652</t>
  </si>
  <si>
    <t xml:space="preserve">TRAVEL SEWING KIT</t>
  </si>
  <si>
    <t xml:space="preserve">84945</t>
  </si>
  <si>
    <t xml:space="preserve">MULTI COLOUR SILVER T-LIGHT HOLDER</t>
  </si>
  <si>
    <t xml:space="preserve">23439</t>
  </si>
  <si>
    <t xml:space="preserve">HAND WARMER RED LOVE HEART</t>
  </si>
  <si>
    <t xml:space="preserve">84378</t>
  </si>
  <si>
    <t xml:space="preserve">SET OF 3 HEART COOKIE CUTTERS</t>
  </si>
  <si>
    <t xml:space="preserve">23321</t>
  </si>
  <si>
    <t xml:space="preserve">SMALL WHITE HEART OF WICKER</t>
  </si>
  <si>
    <t xml:space="preserve">23082</t>
  </si>
  <si>
    <t xml:space="preserve">SET 6 PAPER TABLE LANTERN HEARTS</t>
  </si>
  <si>
    <t xml:space="preserve">21213</t>
  </si>
  <si>
    <t xml:space="preserve">PACK OF 72 SKULL CAKE CASES</t>
  </si>
  <si>
    <t xml:space="preserve">23256</t>
  </si>
  <si>
    <t xml:space="preserve">CHILDRENS CUTLERY SPACEBOY</t>
  </si>
  <si>
    <t xml:space="preserve">23534</t>
  </si>
  <si>
    <t xml:space="preserve">WALL ART STOP FOR TEA</t>
  </si>
  <si>
    <t xml:space="preserve">21210</t>
  </si>
  <si>
    <t xml:space="preserve">SET OF 72 RETROSPOT PAPER  DOILIES</t>
  </si>
  <si>
    <t xml:space="preserve">21035</t>
  </si>
  <si>
    <t xml:space="preserve">SET/2 RED RETROSPOT TEA TOWELS</t>
  </si>
  <si>
    <t xml:space="preserve">23493</t>
  </si>
  <si>
    <t xml:space="preserve">VINTAGE DOILY TRAVEL SEWING KIT</t>
  </si>
  <si>
    <t xml:space="preserve">22795</t>
  </si>
  <si>
    <t xml:space="preserve">SWEETHEART RECIPE BOOK STAND</t>
  </si>
  <si>
    <t xml:space="preserve">22804</t>
  </si>
  <si>
    <t xml:space="preserve">CANDLEHOLDER PINK HANGING HEART</t>
  </si>
  <si>
    <t xml:space="preserve">71053</t>
  </si>
  <si>
    <t xml:space="preserve">WHITE METAL LANTERN</t>
  </si>
  <si>
    <t xml:space="preserve">22192</t>
  </si>
  <si>
    <t xml:space="preserve">BLUE DINER WALL CLOCK</t>
  </si>
  <si>
    <t xml:space="preserve">84380</t>
  </si>
  <si>
    <t xml:space="preserve">SET OF 3 BUTTERFLY COOKIE CUTTERS</t>
  </si>
  <si>
    <t xml:space="preserve">22655</t>
  </si>
  <si>
    <t xml:space="preserve">VINTAGE RED KITCHEN CABINET</t>
  </si>
  <si>
    <t xml:space="preserve">21770</t>
  </si>
  <si>
    <t xml:space="preserve">OPEN CLOSED METAL SIGN</t>
  </si>
  <si>
    <t xml:space="preserve">84970S</t>
  </si>
  <si>
    <t xml:space="preserve">HANGING HEART ZINC T-LIGHT HOLDER</t>
  </si>
  <si>
    <t xml:space="preserve">72741</t>
  </si>
  <si>
    <t xml:space="preserve">GRAND CHOCOLATECANDLE</t>
  </si>
  <si>
    <t xml:space="preserve">22725</t>
  </si>
  <si>
    <t xml:space="preserve">ALARM CLOCK BAKELIKE CHOCOLATE</t>
  </si>
  <si>
    <t xml:space="preserve">21136</t>
  </si>
  <si>
    <t xml:space="preserve">PAINTED METAL PEARS ASSORTED</t>
  </si>
  <si>
    <t xml:space="preserve">22487</t>
  </si>
  <si>
    <t xml:space="preserve">WHITE WOOD GARDEN PLANT LADDER</t>
  </si>
  <si>
    <t xml:space="preserve">21484</t>
  </si>
  <si>
    <t xml:space="preserve">CHICK GREY HOT WATER BOTTLE</t>
  </si>
  <si>
    <t xml:space="preserve">22352</t>
  </si>
  <si>
    <t xml:space="preserve">LUNCH BOX WITH CUTLERY RETROSPOT</t>
  </si>
  <si>
    <t xml:space="preserve">23007</t>
  </si>
  <si>
    <t xml:space="preserve">SPACEBOY BABY GIFT SET</t>
  </si>
  <si>
    <t xml:space="preserve">22616</t>
  </si>
  <si>
    <t xml:space="preserve">PACK OF 12 LONDON TISSUES</t>
  </si>
  <si>
    <t xml:space="preserve">22768</t>
  </si>
  <si>
    <t xml:space="preserve">FAMILY PHOTO FRAME CORNICE</t>
  </si>
  <si>
    <t xml:space="preserve">22667</t>
  </si>
  <si>
    <t xml:space="preserve">RECIPE BOX RETROSPOT</t>
  </si>
  <si>
    <t xml:space="preserve">22632</t>
  </si>
  <si>
    <t xml:space="preserve">HAND WARMER RED RETROSPOT</t>
  </si>
  <si>
    <t xml:space="preserve">21121</t>
  </si>
  <si>
    <t xml:space="preserve">SET/10 RED POLKADOT PARTY CANDLES</t>
  </si>
  <si>
    <t xml:space="preserve">22991</t>
  </si>
  <si>
    <t xml:space="preserve">GIRAFFE WOODEN RULER</t>
  </si>
  <si>
    <t xml:space="preserve">22173</t>
  </si>
  <si>
    <t xml:space="preserve">METAL 4 HOOK HANGER FRENCH CHATEAU</t>
  </si>
  <si>
    <t xml:space="preserve">21908</t>
  </si>
  <si>
    <t xml:space="preserve">CHOCOLATE THIS WAY METAL SIGN</t>
  </si>
  <si>
    <t xml:space="preserve">21668</t>
  </si>
  <si>
    <t xml:space="preserve">RED STRIPE CERAMIC DRAWER KNOB</t>
  </si>
  <si>
    <t xml:space="preserve">23204</t>
  </si>
  <si>
    <t xml:space="preserve">CHARLOTTE BAG APPLES DESIGN</t>
  </si>
  <si>
    <t xml:space="preserve">22557</t>
  </si>
  <si>
    <t xml:space="preserve">PLASTERS IN TIN VINTAGE PAISLEY</t>
  </si>
  <si>
    <t xml:space="preserve">48111</t>
  </si>
  <si>
    <t xml:space="preserve">DOORMAT 3 SMILEY CATS</t>
  </si>
  <si>
    <t xml:space="preserve">21955</t>
  </si>
  <si>
    <t xml:space="preserve">DOORMAT UNION JACK GUNS AND ROSES</t>
  </si>
  <si>
    <t xml:space="preserve">22909</t>
  </si>
  <si>
    <t xml:space="preserve">SET OF 20 VINTAGE CHRISTMAS NAPKINS</t>
  </si>
  <si>
    <t xml:space="preserve">21231</t>
  </si>
  <si>
    <t xml:space="preserve">SWEETHEART CERAMIC TRINKET BOX</t>
  </si>
  <si>
    <t xml:space="preserve">22968</t>
  </si>
  <si>
    <t xml:space="preserve">ROSE COTTAGE KEEPSAKE BOX</t>
  </si>
  <si>
    <t xml:space="preserve">22940</t>
  </si>
  <si>
    <t xml:space="preserve">FELTCRAFT CHRISTMAS FAIRY</t>
  </si>
  <si>
    <t xml:space="preserve">22381</t>
  </si>
  <si>
    <t xml:space="preserve">TOY TIDY PINK POLKADOT</t>
  </si>
  <si>
    <t xml:space="preserve">84836</t>
  </si>
  <si>
    <t xml:space="preserve">ZINC METAL HEART DECORATION</t>
  </si>
  <si>
    <t xml:space="preserve">23080</t>
  </si>
  <si>
    <t xml:space="preserve">RED METAL BOX TOP SECRET</t>
  </si>
  <si>
    <t xml:space="preserve">23238</t>
  </si>
  <si>
    <t xml:space="preserve">SET OF 4 KNICK KNACK TINS LONDON</t>
  </si>
  <si>
    <t xml:space="preserve">22750</t>
  </si>
  <si>
    <t xml:space="preserve">FELTCRAFT PRINCESS LOLA DOLL</t>
  </si>
  <si>
    <t xml:space="preserve">22367</t>
  </si>
  <si>
    <t xml:space="preserve">CHILDRENS APRON SPACEBOY DESIGN</t>
  </si>
  <si>
    <t xml:space="preserve">22950</t>
  </si>
  <si>
    <t xml:space="preserve">36 DOILIES VINTAGE CHRISTMAS</t>
  </si>
  <si>
    <t xml:space="preserve">22627</t>
  </si>
  <si>
    <t xml:space="preserve">MINT KITCHEN SCALES</t>
  </si>
  <si>
    <t xml:space="preserve">84406B</t>
  </si>
  <si>
    <t xml:space="preserve">CREAM CUPID HEARTS COAT HANGER</t>
  </si>
  <si>
    <t xml:space="preserve">23535</t>
  </si>
  <si>
    <t xml:space="preserve">WALL ART BICYCLE SAFETY</t>
  </si>
  <si>
    <t xml:space="preserve">22741</t>
  </si>
  <si>
    <t xml:space="preserve">FUNKY DIVA PEN</t>
  </si>
  <si>
    <t xml:space="preserve">21787</t>
  </si>
  <si>
    <t xml:space="preserve">RAIN PONCHO RETROSPOT</t>
  </si>
  <si>
    <t xml:space="preserve">22413</t>
  </si>
  <si>
    <t xml:space="preserve">METAL SIGN TAKE IT OR LEAVE IT</t>
  </si>
  <si>
    <t xml:space="preserve">21669</t>
  </si>
  <si>
    <t xml:space="preserve">BLUE STRIPE CERAMIC DRAWER KNOB</t>
  </si>
  <si>
    <t xml:space="preserve">23236</t>
  </si>
  <si>
    <t xml:space="preserve">STORAGE TIN VINTAGE DOILY</t>
  </si>
  <si>
    <t xml:space="preserve">21169</t>
  </si>
  <si>
    <t xml:space="preserve">YOU'RE CONFUSING ME METAL SIGN</t>
  </si>
  <si>
    <t xml:space="preserve">20969</t>
  </si>
  <si>
    <t xml:space="preserve">RED FLORAL FELTCRAFT SHOULDER BAG</t>
  </si>
  <si>
    <t xml:space="preserve">22631</t>
  </si>
  <si>
    <t xml:space="preserve">CIRCUS PARADE LUNCH BOX</t>
  </si>
  <si>
    <t xml:space="preserve">84949</t>
  </si>
  <si>
    <t xml:space="preserve">SILVER HANGING T-LIGHT HOLDER</t>
  </si>
  <si>
    <t xml:space="preserve">22585</t>
  </si>
  <si>
    <t xml:space="preserve">PACK OF 6 BIRDY GIFT TAGS</t>
  </si>
  <si>
    <t xml:space="preserve">22505</t>
  </si>
  <si>
    <t xml:space="preserve">MEMO BOARD COTTAGE DESIGN</t>
  </si>
  <si>
    <t xml:space="preserve">22637</t>
  </si>
  <si>
    <t xml:space="preserve">PIGGY BANK RETROSPOT</t>
  </si>
  <si>
    <t xml:space="preserve">22663</t>
  </si>
  <si>
    <t xml:space="preserve">JUMBO BAG DOLLY GIRL DESIGN</t>
  </si>
  <si>
    <t xml:space="preserve">23083</t>
  </si>
  <si>
    <t xml:space="preserve">SET 6 PAPER TABLE LANTERN STARS</t>
  </si>
  <si>
    <t xml:space="preserve">23215</t>
  </si>
  <si>
    <t xml:space="preserve">JINGLE BELL HEART ANTIQUE SILVER</t>
  </si>
  <si>
    <t xml:space="preserve">22333</t>
  </si>
  <si>
    <t xml:space="preserve">RETROSPOT PARTY BAG + STICKER SET</t>
  </si>
  <si>
    <t xml:space="preserve">22485</t>
  </si>
  <si>
    <t xml:space="preserve">SET OF 2 WOODEN MARKET CRATES</t>
  </si>
  <si>
    <t xml:space="preserve">22767</t>
  </si>
  <si>
    <t xml:space="preserve">TRIPLE PHOTO FRAME CORNICE</t>
  </si>
  <si>
    <t xml:space="preserve">22946</t>
  </si>
  <si>
    <t xml:space="preserve">WOODEN ADVENT CALENDAR CREAM</t>
  </si>
  <si>
    <t xml:space="preserve">21922</t>
  </si>
  <si>
    <t xml:space="preserve">UNION STRIPE WITH FRINGE  HAMMOCK</t>
  </si>
  <si>
    <t xml:space="preserve">22553</t>
  </si>
  <si>
    <t xml:space="preserve">PLASTERS IN TIN SKULLS</t>
  </si>
  <si>
    <t xml:space="preserve">75049L</t>
  </si>
  <si>
    <t xml:space="preserve">LARGE CIRCULAR MIRROR MOBILE</t>
  </si>
  <si>
    <t xml:space="preserve">23254</t>
  </si>
  <si>
    <t xml:space="preserve">CHILDRENS CUTLERY DOLLY GIRL</t>
  </si>
  <si>
    <t xml:space="preserve">21165</t>
  </si>
  <si>
    <t xml:space="preserve">BEWARE OF THE CAT METAL SIGN</t>
  </si>
  <si>
    <t xml:space="preserve">23297</t>
  </si>
  <si>
    <t xml:space="preserve">SET 40 HEART SHAPE PETIT FOUR CASES</t>
  </si>
  <si>
    <t xml:space="preserve">22634</t>
  </si>
  <si>
    <t xml:space="preserve">CHILDS BREAKFAST SET SPACEBOY</t>
  </si>
  <si>
    <t xml:space="preserve">21877</t>
  </si>
  <si>
    <t xml:space="preserve">HOME SWEET HOME MUG</t>
  </si>
  <si>
    <t xml:space="preserve">85014A</t>
  </si>
  <si>
    <t xml:space="preserve">BLACK/BLUE POLKADOT UMBRELLA</t>
  </si>
  <si>
    <t xml:space="preserve">22840</t>
  </si>
  <si>
    <t xml:space="preserve">ROUND CAKE TIN VINTAGE RED</t>
  </si>
  <si>
    <t xml:space="preserve">22839</t>
  </si>
  <si>
    <t xml:space="preserve">3 TIER CAKE TIN GREEN AND CREAM</t>
  </si>
  <si>
    <t xml:space="preserve">23283</t>
  </si>
  <si>
    <t xml:space="preserve">DOORMAT VINTAGE LEAF</t>
  </si>
  <si>
    <t xml:space="preserve">23008</t>
  </si>
  <si>
    <t xml:space="preserve">DOLLY GIRL BABY GIFT SET</t>
  </si>
  <si>
    <t xml:space="preserve">84030E</t>
  </si>
  <si>
    <t xml:space="preserve">ENGLISH ROSE HOT WATER BOTTLE</t>
  </si>
  <si>
    <t xml:space="preserve">23541</t>
  </si>
  <si>
    <t xml:space="preserve">WALL ART CLASSIC PUDDINGS</t>
  </si>
  <si>
    <t xml:space="preserve">23103</t>
  </si>
  <si>
    <t xml:space="preserve">JINGLE BELL HEART DECORATION</t>
  </si>
  <si>
    <t xml:space="preserve">21259</t>
  </si>
  <si>
    <t xml:space="preserve">VICTORIAN SEWING BOX SMALL</t>
  </si>
  <si>
    <t xml:space="preserve">22668</t>
  </si>
  <si>
    <t xml:space="preserve">PINK BABY BUNTING</t>
  </si>
  <si>
    <t xml:space="preserve">21672</t>
  </si>
  <si>
    <t xml:space="preserve">WHITE SPOT RED CERAMIC DRAWER KNOB</t>
  </si>
  <si>
    <t xml:space="preserve">22170</t>
  </si>
  <si>
    <t xml:space="preserve">PICTURE FRAME WOOD TRIPLE PORTRAIT</t>
  </si>
  <si>
    <t xml:space="preserve">23320</t>
  </si>
  <si>
    <t xml:space="preserve">GIANT 50'S CHRISTMAS CRACKER</t>
  </si>
  <si>
    <t xml:space="preserve">22294</t>
  </si>
  <si>
    <t xml:space="preserve">HEART FILIGREE DOVE  SMALL</t>
  </si>
  <si>
    <t xml:space="preserve">22834</t>
  </si>
  <si>
    <t xml:space="preserve">HAND WARMER BABUSHKA DESIGN</t>
  </si>
  <si>
    <t xml:space="preserve">23169</t>
  </si>
  <si>
    <t xml:space="preserve">CLASSIC GLASS COOKIE JAR</t>
  </si>
  <si>
    <t xml:space="preserve">23293</t>
  </si>
  <si>
    <t xml:space="preserve">SET OF 12 FAIRY CAKE BAKING CASES</t>
  </si>
  <si>
    <t xml:space="preserve">21912</t>
  </si>
  <si>
    <t xml:space="preserve">VINTAGE SNAKES &amp; LADDERS</t>
  </si>
  <si>
    <t xml:space="preserve">22179</t>
  </si>
  <si>
    <t xml:space="preserve">SET 10 NIGHT OWL LIGHTS</t>
  </si>
  <si>
    <t xml:space="preserve">22580</t>
  </si>
  <si>
    <t xml:space="preserve">ADVENT CALENDAR GINGHAM SACK</t>
  </si>
  <si>
    <t xml:space="preserve">21888</t>
  </si>
  <si>
    <t xml:space="preserve">BINGO SET</t>
  </si>
  <si>
    <t xml:space="preserve">21094</t>
  </si>
  <si>
    <t xml:space="preserve">SET/6 RED SPOTTY PAPER PLATES</t>
  </si>
  <si>
    <t xml:space="preserve">84988</t>
  </si>
  <si>
    <t xml:space="preserve">SET OF 72 PINK HEART PAPER DOILIES</t>
  </si>
  <si>
    <t xml:space="preserve">84970L</t>
  </si>
  <si>
    <t xml:space="preserve">SINGLE HEART ZINC T-LIGHT HOLDER</t>
  </si>
  <si>
    <t xml:space="preserve">22620</t>
  </si>
  <si>
    <t xml:space="preserve">4 TRADITIONAL SPINNING TOPS</t>
  </si>
  <si>
    <t xml:space="preserve">23247</t>
  </si>
  <si>
    <t xml:space="preserve">BISCUIT TIN 50'S CHRISTMAS</t>
  </si>
  <si>
    <t xml:space="preserve">21326</t>
  </si>
  <si>
    <t xml:space="preserve">AGED GLASS SILVER T-LIGHT HOLDER</t>
  </si>
  <si>
    <t xml:space="preserve">21533</t>
  </si>
  <si>
    <t xml:space="preserve">RETROSPOT LARGE MILK JUG</t>
  </si>
  <si>
    <t xml:space="preserve">82001S</t>
  </si>
  <si>
    <t xml:space="preserve">VINYL RECORD FRAME SILVER</t>
  </si>
  <si>
    <t xml:space="preserve">23134</t>
  </si>
  <si>
    <t xml:space="preserve">LARGE ZINC HEART WALL ORGANISER</t>
  </si>
  <si>
    <t xml:space="preserve">22508</t>
  </si>
  <si>
    <t xml:space="preserve">DOORSTOP RETROSPOT HEART</t>
  </si>
  <si>
    <t xml:space="preserve">23109</t>
  </si>
  <si>
    <t xml:space="preserve">PACK OF SIX LED TEA LIGHTS</t>
  </si>
  <si>
    <t xml:space="preserve">21871</t>
  </si>
  <si>
    <t xml:space="preserve">SAVE THE PLANET MUG</t>
  </si>
  <si>
    <t xml:space="preserve">47591D</t>
  </si>
  <si>
    <t xml:space="preserve">PINK FAIRY CAKE CHILDRENS APRON</t>
  </si>
  <si>
    <t xml:space="preserve">84992</t>
  </si>
  <si>
    <t xml:space="preserve">72 SWEETHEART FAIRY CAKE CASES</t>
  </si>
  <si>
    <t xml:space="preserve">22979</t>
  </si>
  <si>
    <t xml:space="preserve">PANTRY WASHING UP BRUSH</t>
  </si>
  <si>
    <t xml:space="preserve">21380</t>
  </si>
  <si>
    <t xml:space="preserve">WOODEN HAPPY BIRTHDAY GARLAND</t>
  </si>
  <si>
    <t xml:space="preserve">21257</t>
  </si>
  <si>
    <t xml:space="preserve">VICTORIAN SEWING BOX MEDIUM</t>
  </si>
  <si>
    <t xml:space="preserve">22109</t>
  </si>
  <si>
    <t xml:space="preserve">FULL ENGLISH BREAKFAST PLATE</t>
  </si>
  <si>
    <t xml:space="preserve">20676</t>
  </si>
  <si>
    <t xml:space="preserve">RED RETROSPOT BOWL</t>
  </si>
  <si>
    <t xml:space="preserve">23571</t>
  </si>
  <si>
    <t xml:space="preserve">TRADITIONAL NAUGHTS &amp; CROSSES</t>
  </si>
  <si>
    <t xml:space="preserve">23229</t>
  </si>
  <si>
    <t xml:space="preserve">VINTAGE DONKEY TAIL GAME</t>
  </si>
  <si>
    <t xml:space="preserve">22826</t>
  </si>
  <si>
    <t xml:space="preserve">LOVE SEAT ANTIQUE WHITE METAL</t>
  </si>
  <si>
    <t xml:space="preserve">22151</t>
  </si>
  <si>
    <t xml:space="preserve">PLACE SETTING WHITE HEART</t>
  </si>
  <si>
    <t xml:space="preserve">22784</t>
  </si>
  <si>
    <t xml:space="preserve">LANTERN CREAM GAZEBO</t>
  </si>
  <si>
    <t xml:space="preserve">20718</t>
  </si>
  <si>
    <t xml:space="preserve">RED RETROSPOT SHOPPER BAG</t>
  </si>
  <si>
    <t xml:space="preserve">22303</t>
  </si>
  <si>
    <t xml:space="preserve">COFFEE MUG APPLES DESIGN</t>
  </si>
  <si>
    <t xml:space="preserve">22895</t>
  </si>
  <si>
    <t xml:space="preserve">SET OF 2 TEA TOWELS APPLE AND PEARS</t>
  </si>
  <si>
    <t xml:space="preserve">22635</t>
  </si>
  <si>
    <t xml:space="preserve">CHILDS BREAKFAST SET DOLLY GIRL</t>
  </si>
  <si>
    <t xml:space="preserve">23172</t>
  </si>
  <si>
    <t xml:space="preserve">REGENCY TEA PLATE PINK</t>
  </si>
  <si>
    <t xml:space="preserve">23188</t>
  </si>
  <si>
    <t xml:space="preserve">VINTAGE  2 METER FOLDING RULER</t>
  </si>
  <si>
    <t xml:space="preserve">23307</t>
  </si>
  <si>
    <t xml:space="preserve">SET OF 60 PANTRY DESIGN CAKE CASES</t>
  </si>
  <si>
    <t xml:space="preserve">22141</t>
  </si>
  <si>
    <t xml:space="preserve">CHRISTMAS CRAFT TREE TOP ANGEL</t>
  </si>
  <si>
    <t xml:space="preserve">21670</t>
  </si>
  <si>
    <t xml:space="preserve">BLUE SPOT CERAMIC DRAWER KNOB</t>
  </si>
  <si>
    <t xml:space="preserve">47556B</t>
  </si>
  <si>
    <t xml:space="preserve">TEA TIME TEA TOWELS</t>
  </si>
  <si>
    <t xml:space="preserve">21122</t>
  </si>
  <si>
    <t xml:space="preserve">SET/10 PINK POLKADOT PARTY CANDLES</t>
  </si>
  <si>
    <t xml:space="preserve">23480</t>
  </si>
  <si>
    <t xml:space="preserve">MINI LIGHTS WOODLAND MUSHROOMS</t>
  </si>
  <si>
    <t xml:space="preserve">21935</t>
  </si>
  <si>
    <t xml:space="preserve">SUKI  SHOULDER BAG</t>
  </si>
  <si>
    <t xml:space="preserve">23311</t>
  </si>
  <si>
    <t xml:space="preserve">VINTAGE CHRISTMAS STOCKING</t>
  </si>
  <si>
    <t xml:space="preserve">21975</t>
  </si>
  <si>
    <t xml:space="preserve">PACK OF 60 DINOSAUR CAKE CASES</t>
  </si>
  <si>
    <t xml:space="preserve">21258</t>
  </si>
  <si>
    <t xml:space="preserve">VICTORIAN SEWING BOX LARGE</t>
  </si>
  <si>
    <t xml:space="preserve">21535</t>
  </si>
  <si>
    <t xml:space="preserve">RED RETROSPOT SMALL MILK JUG</t>
  </si>
  <si>
    <t xml:space="preserve">23382</t>
  </si>
  <si>
    <t xml:space="preserve">BOX OF 6 CHRISTMAS CAKE DECORATIONS</t>
  </si>
  <si>
    <t xml:space="preserve">21154</t>
  </si>
  <si>
    <t xml:space="preserve">RED RETROSPOT OVEN GLOVE</t>
  </si>
  <si>
    <t xml:space="preserve">23296</t>
  </si>
  <si>
    <t xml:space="preserve">SET OF 6 TEA TIME BAKING CASES</t>
  </si>
  <si>
    <t xml:space="preserve">22366</t>
  </si>
  <si>
    <t xml:space="preserve">DOORMAT AIRMAIL</t>
  </si>
  <si>
    <t xml:space="preserve">23192</t>
  </si>
  <si>
    <t xml:space="preserve">BUNDLE OF 3 ALPHABET EXERCISE BOOKS</t>
  </si>
  <si>
    <t xml:space="preserve">21671</t>
  </si>
  <si>
    <t xml:space="preserve">RED SPOT CERAMIC DRAWER KNOB</t>
  </si>
  <si>
    <t xml:space="preserve">23052</t>
  </si>
  <si>
    <t xml:space="preserve">RECYCLED ACAPULCO MAT TURQUOISE</t>
  </si>
  <si>
    <t xml:space="preserve">22783</t>
  </si>
  <si>
    <t xml:space="preserve">SET 3 WICKER OVAL BASKETS W LIDS</t>
  </si>
  <si>
    <t xml:space="preserve">21673</t>
  </si>
  <si>
    <t xml:space="preserve">WHITE SPOT BLUE CERAMIC DRAWER KNOB</t>
  </si>
  <si>
    <t xml:space="preserve">23113</t>
  </si>
  <si>
    <t xml:space="preserve">PANTRY CHOPPING BOARD</t>
  </si>
  <si>
    <t xml:space="preserve">17003</t>
  </si>
  <si>
    <t xml:space="preserve">BROCADE RING PURSE</t>
  </si>
  <si>
    <t xml:space="preserve">22943</t>
  </si>
  <si>
    <t xml:space="preserve">CHRISTMAS LIGHTS 10 VINTAGE BAUBLES</t>
  </si>
  <si>
    <t xml:space="preserve">22584</t>
  </si>
  <si>
    <t xml:space="preserve">PACK OF 6 PANNETONE GIFT BOXES</t>
  </si>
  <si>
    <t xml:space="preserve">48129</t>
  </si>
  <si>
    <t xml:space="preserve">DOORMAT TOPIARY</t>
  </si>
  <si>
    <t xml:space="preserve">22971</t>
  </si>
  <si>
    <t xml:space="preserve">QUEENS GUARD COFFEE MUG</t>
  </si>
  <si>
    <t xml:space="preserve">23485</t>
  </si>
  <si>
    <t xml:space="preserve">BOTANICAL GARDENS WALL CLOCK</t>
  </si>
  <si>
    <t xml:space="preserve">23312</t>
  </si>
  <si>
    <t xml:space="preserve">VINTAGE CHRISTMAS GIFT SACK</t>
  </si>
  <si>
    <t xml:space="preserve">62018</t>
  </si>
  <si>
    <t xml:space="preserve">SOMBRERO</t>
  </si>
  <si>
    <t xml:space="preserve">22796</t>
  </si>
  <si>
    <t xml:space="preserve">PHOTO FRAME 3 CLASSIC HANGING</t>
  </si>
  <si>
    <t xml:space="preserve">22740</t>
  </si>
  <si>
    <t xml:space="preserve">POLKADOT PEN</t>
  </si>
  <si>
    <t xml:space="preserve">22088</t>
  </si>
  <si>
    <t xml:space="preserve">PAPER BUNTING COLOURED LACE</t>
  </si>
  <si>
    <t xml:space="preserve">23154</t>
  </si>
  <si>
    <t xml:space="preserve">SET OF 4 JAM JAR MAGNETS</t>
  </si>
  <si>
    <t xml:space="preserve">22174</t>
  </si>
  <si>
    <t xml:space="preserve">PHOTO CUBE</t>
  </si>
  <si>
    <t xml:space="preserve">21156</t>
  </si>
  <si>
    <t xml:space="preserve">RETROSPOT CHILDRENS APRON</t>
  </si>
  <si>
    <t xml:space="preserve">22907</t>
  </si>
  <si>
    <t xml:space="preserve">PACK OF 20 NAPKINS PANTRY DESIGN</t>
  </si>
  <si>
    <t xml:space="preserve">23118</t>
  </si>
  <si>
    <t xml:space="preserve">PARISIENNE JEWELLERY DRAWER</t>
  </si>
  <si>
    <t xml:space="preserve">22751</t>
  </si>
  <si>
    <t xml:space="preserve">FELTCRAFT PRINCESS OLIVIA DOLL</t>
  </si>
  <si>
    <t xml:space="preserve">22365</t>
  </si>
  <si>
    <t xml:space="preserve">DOORMAT RESPECTABLE HOUSE</t>
  </si>
  <si>
    <t xml:space="preserve">23205</t>
  </si>
  <si>
    <t xml:space="preserve">CHARLOTTE BAG VINTAGE ALPHABET</t>
  </si>
  <si>
    <t xml:space="preserve">22150</t>
  </si>
  <si>
    <t xml:space="preserve">3 STRIPEY MICE FELTCRAFT</t>
  </si>
  <si>
    <t xml:space="preserve">21242</t>
  </si>
  <si>
    <t xml:space="preserve">RED RETROSPOT PLATE</t>
  </si>
  <si>
    <t xml:space="preserve">21558</t>
  </si>
  <si>
    <t xml:space="preserve">SKULL LUNCH BOX WITH CUTLERY</t>
  </si>
  <si>
    <t xml:space="preserve">22595</t>
  </si>
  <si>
    <t xml:space="preserve">GINGHAM HEART DECORATION</t>
  </si>
  <si>
    <t xml:space="preserve">22488</t>
  </si>
  <si>
    <t xml:space="preserve">NATURAL SLATE RECTANGLE CHALKBOARD</t>
  </si>
  <si>
    <t xml:space="preserve">22429</t>
  </si>
  <si>
    <t xml:space="preserve">ENAMEL MEASURING JUG CREAM</t>
  </si>
  <si>
    <t xml:space="preserve">22904</t>
  </si>
  <si>
    <t xml:space="preserve">CALENDAR PAPER CUT DESIGN</t>
  </si>
  <si>
    <t xml:space="preserve">23133</t>
  </si>
  <si>
    <t xml:space="preserve">LARGE IVORY HEART WALL ORGANISER</t>
  </si>
  <si>
    <t xml:space="preserve">23126</t>
  </si>
  <si>
    <t xml:space="preserve">FELTCRAFT GIRL AMELIE KIT</t>
  </si>
  <si>
    <t xml:space="preserve">23135</t>
  </si>
  <si>
    <t xml:space="preserve">SMALL ZINC HEART WALL ORGANISER</t>
  </si>
  <si>
    <t xml:space="preserve">22349</t>
  </si>
  <si>
    <t xml:space="preserve">DOG BOWL CHASING BALL DESIGN</t>
  </si>
  <si>
    <t xml:space="preserve">23158</t>
  </si>
  <si>
    <t xml:space="preserve">SET OF 5 LUCKY CAT MAGNETS</t>
  </si>
  <si>
    <t xml:space="preserve">22297</t>
  </si>
  <si>
    <t xml:space="preserve">HEART IVORY TRELLIS SMALL</t>
  </si>
  <si>
    <t xml:space="preserve">22418</t>
  </si>
  <si>
    <t xml:space="preserve">10 COLOUR SPACEBOY PEN</t>
  </si>
  <si>
    <t xml:space="preserve">22827</t>
  </si>
  <si>
    <t xml:space="preserve">RUSTIC  SEVENTEEN DRAWER SIDEBOARD</t>
  </si>
  <si>
    <t xml:space="preserve">23526</t>
  </si>
  <si>
    <t xml:space="preserve">WALL ART DOG LICENCE</t>
  </si>
  <si>
    <t xml:space="preserve">22998</t>
  </si>
  <si>
    <t xml:space="preserve">TRAVEL CARD WALLET KEEP CALM</t>
  </si>
  <si>
    <t xml:space="preserve">21172</t>
  </si>
  <si>
    <t xml:space="preserve">PARTY METAL SIGN</t>
  </si>
  <si>
    <t xml:space="preserve">22207</t>
  </si>
  <si>
    <t xml:space="preserve">FRYING PAN UNION FLAG</t>
  </si>
  <si>
    <t xml:space="preserve">22845</t>
  </si>
  <si>
    <t xml:space="preserve">VINTAGE CREAM CAT FOOD CONTAINER</t>
  </si>
  <si>
    <t xml:space="preserve">22646</t>
  </si>
  <si>
    <t xml:space="preserve">CERAMIC STRAWBERRY CAKE MONEY BANK</t>
  </si>
  <si>
    <t xml:space="preserve">23132</t>
  </si>
  <si>
    <t xml:space="preserve">SMALL IVORY HEART WALL ORGANISER</t>
  </si>
  <si>
    <t xml:space="preserve">22120</t>
  </si>
  <si>
    <t xml:space="preserve">WELCOME  WOODEN BLOCK LETTERS</t>
  </si>
  <si>
    <t xml:space="preserve">22689</t>
  </si>
  <si>
    <t xml:space="preserve">DOORMAT MERRY CHRISTMAS RED</t>
  </si>
  <si>
    <t xml:space="preserve">23157</t>
  </si>
  <si>
    <t xml:space="preserve">SET OF 6 NATIVITY MAGNETS</t>
  </si>
  <si>
    <t xml:space="preserve">22964</t>
  </si>
  <si>
    <t xml:space="preserve">3 PIECE SPACEBOY COOKIE CUTTER SET</t>
  </si>
  <si>
    <t xml:space="preserve">22296</t>
  </si>
  <si>
    <t xml:space="preserve">HEART IVORY TRELLIS LARGE</t>
  </si>
  <si>
    <t xml:space="preserve">23162</t>
  </si>
  <si>
    <t xml:space="preserve">REGENCY TEA STRAINER</t>
  </si>
  <si>
    <t xml:space="preserve">22772</t>
  </si>
  <si>
    <t xml:space="preserve">PINK DRAWER KNOB ACRYLIC EDWARDIAN</t>
  </si>
  <si>
    <t xml:space="preserve">22623</t>
  </si>
  <si>
    <t xml:space="preserve">BOX OF VINTAGE JIGSAW BLOCKS</t>
  </si>
  <si>
    <t xml:space="preserve">22665</t>
  </si>
  <si>
    <t xml:space="preserve">RECIPE BOX BLUE SKETCHBOOK DESIGN</t>
  </si>
  <si>
    <t xml:space="preserve">22464</t>
  </si>
  <si>
    <t xml:space="preserve">HANGING METAL HEART LANTERN</t>
  </si>
  <si>
    <t xml:space="preserve">21844</t>
  </si>
  <si>
    <t xml:space="preserve">RED RETROSPOT MUG</t>
  </si>
  <si>
    <t xml:space="preserve">22848</t>
  </si>
  <si>
    <t xml:space="preserve">BREAD BIN DINER STYLE PINK</t>
  </si>
  <si>
    <t xml:space="preserve">22798</t>
  </si>
  <si>
    <t xml:space="preserve">ANTIQUE GLASS DRESSING TABLE POT</t>
  </si>
  <si>
    <t xml:space="preserve">22779</t>
  </si>
  <si>
    <t xml:space="preserve">WOODEN OWLS LIGHT GARLAND</t>
  </si>
  <si>
    <t xml:space="preserve">22957</t>
  </si>
  <si>
    <t xml:space="preserve">SET 3 PAPER VINTAGE CHICK PAPER EGG</t>
  </si>
  <si>
    <t xml:space="preserve">22302</t>
  </si>
  <si>
    <t xml:space="preserve">COFFEE MUG PEARS  DESIGN</t>
  </si>
  <si>
    <t xml:space="preserve">23583</t>
  </si>
  <si>
    <t xml:space="preserve">LUNCH BAG PAISLEY PARK</t>
  </si>
  <si>
    <t xml:space="preserve">22781</t>
  </si>
  <si>
    <t xml:space="preserve">GUMBALL MAGAZINE RACK</t>
  </si>
  <si>
    <t xml:space="preserve">23295</t>
  </si>
  <si>
    <t xml:space="preserve">SET OF 12 MINI LOAF BAKING CASES</t>
  </si>
  <si>
    <t xml:space="preserve">21428</t>
  </si>
  <si>
    <t xml:space="preserve">SET3 BOOK BOX GREEN GINGHAM FLOWER</t>
  </si>
  <si>
    <t xml:space="preserve">23553</t>
  </si>
  <si>
    <t xml:space="preserve">LANDMARK FRAME CAMDEN TOWN</t>
  </si>
  <si>
    <t xml:space="preserve">23397</t>
  </si>
  <si>
    <t xml:space="preserve">FOOT STOOL HOME SWEET HOME</t>
  </si>
  <si>
    <t xml:space="preserve">22849</t>
  </si>
  <si>
    <t xml:space="preserve">BREAD BIN DINER STYLE MINT</t>
  </si>
  <si>
    <t xml:space="preserve">22898</t>
  </si>
  <si>
    <t xml:space="preserve">CHILDRENS APRON APPLES DESIGN</t>
  </si>
  <si>
    <t xml:space="preserve">23263</t>
  </si>
  <si>
    <t xml:space="preserve">SET OF 3 WOODEN HEART DECORATIONS</t>
  </si>
  <si>
    <t xml:space="preserve">21932</t>
  </si>
  <si>
    <t xml:space="preserve">SCANDINAVIAN PAISLEY PICNIC BAG</t>
  </si>
  <si>
    <t xml:space="preserve">37449</t>
  </si>
  <si>
    <t xml:space="preserve">CERAMIC CAKE STAND + HANGING CAKES</t>
  </si>
  <si>
    <t xml:space="preserve">84212</t>
  </si>
  <si>
    <t xml:space="preserve">ASSORTED FLOWER COLOUR "LEIS"</t>
  </si>
  <si>
    <t xml:space="preserve">21937</t>
  </si>
  <si>
    <t xml:space="preserve">STRAWBERRY   PICNIC BAG</t>
  </si>
  <si>
    <t xml:space="preserve">23010</t>
  </si>
  <si>
    <t xml:space="preserve">CIRCUS PARADE BABY GIFT SET</t>
  </si>
  <si>
    <t xml:space="preserve">23310</t>
  </si>
  <si>
    <t xml:space="preserve">BUBBLEGUM RING ASSORTED</t>
  </si>
  <si>
    <t xml:space="preserve">23165</t>
  </si>
  <si>
    <t xml:space="preserve">LARGE CERAMIC TOP STORAGE JAR</t>
  </si>
  <si>
    <t xml:space="preserve">21933</t>
  </si>
  <si>
    <t xml:space="preserve">PINK VINTAGE PAISLEY PICNIC BAG</t>
  </si>
  <si>
    <t xml:space="preserve">21164</t>
  </si>
  <si>
    <t xml:space="preserve">HOME SWEET HOME METAL SIGN</t>
  </si>
  <si>
    <t xml:space="preserve">21907</t>
  </si>
  <si>
    <t xml:space="preserve">I'M ON HOLIDAY METAL SIGN</t>
  </si>
  <si>
    <t xml:space="preserve">23234</t>
  </si>
  <si>
    <t xml:space="preserve">BISCUIT TIN VINTAGE CHRISTMAS</t>
  </si>
  <si>
    <t xml:space="preserve">23556</t>
  </si>
  <si>
    <t xml:space="preserve">LANDMARK FRAME COVENT GARDEN</t>
  </si>
  <si>
    <t xml:space="preserve">22271</t>
  </si>
  <si>
    <t xml:space="preserve">FELTCRAFT DOLL ROSIE</t>
  </si>
  <si>
    <t xml:space="preserve">21124</t>
  </si>
  <si>
    <t xml:space="preserve">SET/10 BLUE POLKADOT PARTY CANDLES</t>
  </si>
  <si>
    <t xml:space="preserve">23531</t>
  </si>
  <si>
    <t xml:space="preserve">WALL ART BIG LOVE</t>
  </si>
  <si>
    <t xml:space="preserve">SKU_Policy — stocking policy per SKU (all formulas)</t>
  </si>
  <si>
    <t xml:space="preserve">Green = pulled from another tab · Black = calculated here · Grey headers = helper columns. Safety stock and reorder point are rounded UP to whole units; EOQ rounded to nearest unit. Unit Cost, Lead Time and On Hand are ASSUMPTIONS / SIMULATED (see Assumptions tab).</t>
  </si>
  <si>
    <t xml:space="preserve">SKU</t>
  </si>
  <si>
    <t xml:space="preserve">Lead Time (wks) SIMULATED + shock</t>
  </si>
  <si>
    <t xml:space="preserve">On Hand (simulated)</t>
  </si>
  <si>
    <t xml:space="preserve">Annual Demand (units)</t>
  </si>
  <si>
    <t xml:space="preserve">Avg Weekly Demand</t>
  </si>
  <si>
    <t xml:space="preserve">Std Dev Weekly Demand</t>
  </si>
  <si>
    <t xml:space="preserve">Annual Consumption Value (£)</t>
  </si>
  <si>
    <t xml:space="preserve">Value Share %</t>
  </si>
  <si>
    <t xml:space="preserve">Cumulative Value Share %</t>
  </si>
  <si>
    <t xml:space="preserve">XYZ Class</t>
  </si>
  <si>
    <t xml:space="preserve">ABC-XYZ</t>
  </si>
  <si>
    <t xml:space="preserve">Z-Score</t>
  </si>
  <si>
    <t xml:space="preserve">Safety Stock (units)</t>
  </si>
  <si>
    <t xml:space="preserve">Reorder Point (units)</t>
  </si>
  <si>
    <t xml:space="preserve">EOQ (units)</t>
  </si>
  <si>
    <t xml:space="preserve">Safety Stock Value (£)</t>
  </si>
  <si>
    <t xml:space="preserve">On Hand Value (£)</t>
  </si>
  <si>
    <t xml:space="preserve">Weeks of Cover</t>
  </si>
  <si>
    <t xml:space="preserve">Max Stock threshold (ROP + EOQ)</t>
  </si>
  <si>
    <t xml:space="preserve">Excess Units</t>
  </si>
  <si>
    <t xml:space="preserve">Excess Value (£)</t>
  </si>
  <si>
    <t xml:space="preserve">Stock Status</t>
  </si>
  <si>
    <t xml:space="preserve">Value Rank (helper)</t>
  </si>
  <si>
    <t xml:space="preserve">Description (helper)</t>
  </si>
  <si>
    <t xml:space="preserve">Std Dev × √LT (helper)</t>
  </si>
  <si>
    <t xml:space="preserve">Std Dev × √LT × Unit Cost (helper)</t>
  </si>
  <si>
    <t xml:space="preserve">Value rounded to 0.01 for ranking (helper — avoids floating-point tie errors)</t>
  </si>
  <si>
    <t xml:space="preserve">TOTAL</t>
  </si>
  <si>
    <t xml:space="preserve">Totals row sums the £ columns. On Hand, Unit Cost and Lead Time are simulated/assumed — see Assumptions.</t>
  </si>
  <si>
    <t xml:space="preserve">ABC-XYZ Segmentation Matrix</t>
  </si>
  <si>
    <t xml:space="preserve">ABC = share of annual consumption value (where the money is). XYZ = coefficient of variation of weekly demand (how predictable). All counts/values are formulas on SKU_Policy.</t>
  </si>
  <si>
    <t xml:space="preserve">1. SKU count per segment</t>
  </si>
  <si>
    <t xml:space="preserve">ABC \ XYZ</t>
  </si>
  <si>
    <t xml:space="preserve">X (steady)</t>
  </si>
  <si>
    <t xml:space="preserve">Y (variable)</t>
  </si>
  <si>
    <t xml:space="preserve">Z (lumpy)</t>
  </si>
  <si>
    <t xml:space="preserve">Total</t>
  </si>
  <si>
    <t xml:space="preserve">2. Annual consumption value (£) per segment</t>
  </si>
  <si>
    <t xml:space="preserve">3. Share of total annual consumption value</t>
  </si>
  <si>
    <t xml:space="preserve">4. Recommended inventory policy by segment</t>
  </si>
  <si>
    <t xml:space="preserve">Segment</t>
  </si>
  <si>
    <t xml:space="preserve">Profile</t>
  </si>
  <si>
    <t xml:space="preserve">Recommended policy</t>
  </si>
  <si>
    <t xml:space="preserve">AX</t>
  </si>
  <si>
    <t xml:space="preserve">High value, steady demand</t>
  </si>
  <si>
    <t xml:space="preserve">Tight, automated continuous-review replenishment (ROP/EOQ). Frequent small orders, low safety stock relative to volume, negotiate VMI or blanket POs. Review parameters monthly.</t>
  </si>
  <si>
    <t xml:space="preserve">AY</t>
  </si>
  <si>
    <t xml:space="preserve">High value, variable demand</t>
  </si>
  <si>
    <t xml:space="preserve">ROP with safety stock as calculated; weekly planner review of forecast vs. actual. Collaborate with key wholesale customers to see large orders early.</t>
  </si>
  <si>
    <t xml:space="preserve">AZ</t>
  </si>
  <si>
    <t xml:space="preserve">High value, unpredictable (lumpy) demand</t>
  </si>
  <si>
    <t xml:space="preserve">Do NOT rely on the normal-distribution safety stock alone. Manual review, make-to-order or supplier-held / consignment stock, customer order lead-time agreements for bulk orders. Highest risk if Canadian/UK import lead times lengthen.</t>
  </si>
  <si>
    <t xml:space="preserve">BX</t>
  </si>
  <si>
    <t xml:space="preserve">Medium value, steady demand</t>
  </si>
  <si>
    <t xml:space="preserve">Automated replenishment, periodic review (e.g. weekly), larger EOQ-based orders to cut ordering cost.</t>
  </si>
  <si>
    <t xml:space="preserve">BY</t>
  </si>
  <si>
    <t xml:space="preserve">Medium value, variable</t>
  </si>
  <si>
    <t xml:space="preserve">Periodic review with calculated safety stock; check seasonality (Q4 gift peak) before each season.</t>
  </si>
  <si>
    <t xml:space="preserve">BZ</t>
  </si>
  <si>
    <t xml:space="preserve">Medium value, lumpy</t>
  </si>
  <si>
    <t xml:space="preserve">Lower service level target or order-on-demand; pool stock with similar items; review for promotional one-offs inflating history.</t>
  </si>
  <si>
    <t xml:space="preserve">CX</t>
  </si>
  <si>
    <t xml:space="preserve">Low value, steady</t>
  </si>
  <si>
    <t xml:space="preserve">Simple two-bin / min-max; order infrequently in bulk — cheap to hold.</t>
  </si>
  <si>
    <t xml:space="preserve">CY</t>
  </si>
  <si>
    <t xml:space="preserve">Low value, variable</t>
  </si>
  <si>
    <t xml:space="preserve">Min-max with generous review period; accept lower service level.</t>
  </si>
  <si>
    <t xml:space="preserve">CZ</t>
  </si>
  <si>
    <t xml:space="preserve">Low value, lumpy</t>
  </si>
  <si>
    <t xml:space="preserve">Candidate to reduce range, move to make/order-to-order, or discontinue. Clear excess stock; do not hold safety stock.</t>
  </si>
  <si>
    <t xml:space="preserve">Service_Level_Scenario — what does higher service cost?</t>
  </si>
  <si>
    <t xml:space="preserve">Applies ONE uniform service level to all SKUs (unlike the live policy, which differentiates A/B/C). Uses unrounded safety stock: Z × Σ(Std Dev × √Lead Time) from SKU_Policy helper columns — independent of the Assumptions service-level cells.</t>
  </si>
  <si>
    <t xml:space="preserve">Service Level (input)</t>
  </si>
  <si>
    <t xml:space="preserve">Total Safety Stock (units)</t>
  </si>
  <si>
    <t xml:space="preserve">Total Safety Stock Value (£)</t>
  </si>
  <si>
    <t xml:space="preserve">Increase vs previous step (£)</t>
  </si>
  <si>
    <t xml:space="preserve">Increase vs 95% (£)</t>
  </si>
  <si>
    <t xml:space="preserve">Increase vs 95% (%)</t>
  </si>
  <si>
    <t xml:space="preserve">Live policy comparison (A/B/C differentiated service levels from Assumptions)</t>
  </si>
  <si>
    <t xml:space="preserve">Measure</t>
  </si>
  <si>
    <t xml:space="preserve">Units</t>
  </si>
  <si>
    <t xml:space="preserve">Value (£)</t>
  </si>
  <si>
    <t xml:space="preserve">Current policy — unrounded (Σ Z × Std Dev × √LT)</t>
  </si>
  <si>
    <t xml:space="preserve">Current policy — rounded up per SKU (SKU_Policy totals)</t>
  </si>
  <si>
    <t xml:space="preserve">Rounding difference</t>
  </si>
  <si>
    <t xml:space="preserve">Note on rounding: SKU_Policy rounds each SKU's safety stock UP to a whole unit (you cannot stock 0.4 of a mug), so its total is slightly higher than the unrounded totals in this scenario table — at most 1 unit × unit cost per SKU. The scenario table stays unrounded so the curve is smooth and comparable across levels.</t>
  </si>
  <si>
    <t xml:space="preserve">Lead-time sensitivity — supplier delay stress test (live A/B/C service levels)</t>
  </si>
  <si>
    <t xml:space="preserve">Why it matters: tariff changes and border/port delays lengthen supplier lead times. Safety stock grows with √LT and reorder-point stock grows linearly with LT. Unrounded; relative to the lead times currently in SKU_Policy.</t>
  </si>
  <si>
    <t xml:space="preserve">Extra lead time (weeks, input)</t>
  </si>
  <si>
    <t xml:space="preserve">Increase vs +0 (£)</t>
  </si>
  <si>
    <t xml:space="preserve">Reorder-Point Inventory Value (£)</t>
  </si>
  <si>
    <t xml:space="preserve">SS increase vs +0 (%)</t>
  </si>
  <si>
    <t xml:space="preserve">Summary — Inventory Health Headline KPIs</t>
  </si>
  <si>
    <t xml:space="preserve">Every value is a formula on other tabs. £ values at ASSUMED unit cost; On Hand is SIMULATED — interpret stock-position KPIs as a demonstration of the method.</t>
  </si>
  <si>
    <t xml:space="preserve">KPI</t>
  </si>
  <si>
    <t xml:space="preserve">How it is calculated</t>
  </si>
  <si>
    <t xml:space="preserve">SKUs analysed</t>
  </si>
  <si>
    <t xml:space="preserve">Count of SKU rows in SKU_Policy</t>
  </si>
  <si>
    <t xml:space="preserve">Annual consumption value (£)</t>
  </si>
  <si>
    <t xml:space="preserve">Σ Annual Demand × Unit Cost (at cost)</t>
  </si>
  <si>
    <t xml:space="preserve">On-hand inventory value (£) — simulated stock</t>
  </si>
  <si>
    <t xml:space="preserve">Σ On Hand × Unit Cost</t>
  </si>
  <si>
    <t xml:space="preserve">Safety stock value (£)</t>
  </si>
  <si>
    <t xml:space="preserve">Σ Safety Stock × Unit Cost (live A/B/C service levels)</t>
  </si>
  <si>
    <t xml:space="preserve">Excess inventory value (£)</t>
  </si>
  <si>
    <t xml:space="preserve">Σ units above Reorder Point + EOQ × Unit Cost</t>
  </si>
  <si>
    <t xml:space="preserve">Excess as % of on-hand value</t>
  </si>
  <si>
    <t xml:space="preserve">Excess value ÷ On-hand value</t>
  </si>
  <si>
    <t xml:space="preserve">Inventory turns (annualised)</t>
  </si>
  <si>
    <t xml:space="preserve">Annual consumption value ÷ On-hand value</t>
  </si>
  <si>
    <t xml:space="preserve">Days on hand</t>
  </si>
  <si>
    <t xml:space="preserve">Days per year (Assumptions) ÷ Turns</t>
  </si>
  <si>
    <t xml:space="preserve">SKUs below safety stock</t>
  </si>
  <si>
    <t xml:space="preserve">Stock Status = Below Safety Stock</t>
  </si>
  <si>
    <t xml:space="preserve">SKUs to reorder now</t>
  </si>
  <si>
    <t xml:space="preserve">Stock Status = Reorder Now (above SS, at/below ROP)</t>
  </si>
  <si>
    <t xml:space="preserve">SKUs in excess</t>
  </si>
  <si>
    <t xml:space="preserve">Stock Status = Excess</t>
  </si>
  <si>
    <t xml:space="preserve">A-class share of value (%)</t>
  </si>
  <si>
    <t xml:space="preserve">Sanity check — should sit just under the A cut-off on Assumptions</t>
  </si>
  <si>
    <t xml:space="preserve">Supporting KPIs</t>
  </si>
  <si>
    <t xml:space="preserve">SKUs healthy</t>
  </si>
  <si>
    <t xml:space="preserve">Stock Status = Healthy</t>
  </si>
  <si>
    <t xml:space="preserve">A-class SKUs (count)</t>
  </si>
  <si>
    <t xml:space="preserve">Number of SKUs making up the A cut-off of value</t>
  </si>
  <si>
    <t xml:space="preserve">A-class SKUs as % of SKUs analysed</t>
  </si>
  <si>
    <t xml:space="preserve">Pareto concentration within the top-500 range</t>
  </si>
  <si>
    <t xml:space="preserve">A-class SKUs below safety stock</t>
  </si>
  <si>
    <t xml:space="preserve">Highest stock-out risk: high value AND below buffer</t>
  </si>
  <si>
    <t xml:space="preserve">Z-class share of SKUs (%)</t>
  </si>
  <si>
    <t xml:space="preserve">Share of SKUs with CV above the Y cut-off</t>
  </si>
  <si>
    <t xml:space="preserve">Cost to raise uniform service level 95% → 98% (£)</t>
  </si>
  <si>
    <t xml:space="preserve">Service_Level_Scenario, unrounded</t>
  </si>
  <si>
    <t xml:space="preserve">Cost to raise uniform service level 95% → 99% (£)</t>
  </si>
  <si>
    <t xml:space="preserve">Extra safety stock value if lead times +2 weeks (£)</t>
  </si>
  <si>
    <t xml:space="preserve">Lead-time sensitivity table (supplier delay stress test)</t>
  </si>
  <si>
    <t xml:space="preserve">By Category (keyword rule on Description)</t>
  </si>
  <si>
    <t xml:space="preserve">SKUs</t>
  </si>
  <si>
    <t xml:space="preserve">On-hand Value (£)</t>
  </si>
  <si>
    <t xml:space="preserve">Excess % of On-hand</t>
  </si>
  <si>
    <t xml:space="preserve">SKUs Below Safety Stock</t>
  </si>
  <si>
    <t xml:space="preserve">Other</t>
  </si>
  <si>
    <t xml:space="preserve">Check: category total SKUs = SKUs analysed →</t>
  </si>
  <si>
    <t xml:space="preserve">Spot_Check — independent hand calculation vs. SKU_Policy</t>
  </si>
  <si>
    <t xml:space="preserve">Change the orange SKU codes to test any SKU. "Hand calc" re-derives each step directly from the raw Weekly_Demand row (INDEX/MATCH on the SKU) — it does not reuse SKU_Policy columns — then compares to the model. Diff should be 0.</t>
  </si>
  <si>
    <t xml:space="preserve">SKU to test →</t>
  </si>
  <si>
    <t xml:space="preserve">Step</t>
  </si>
  <si>
    <t xml:space="preserve">Hand calc</t>
  </si>
  <si>
    <t xml:space="preserve">SKU_Policy</t>
  </si>
  <si>
    <t xml:space="preserve">Diff</t>
  </si>
  <si>
    <t xml:space="preserve">Worksheet row (MATCH)</t>
  </si>
  <si>
    <t xml:space="preserve">ABC-XYZ (from model)</t>
  </si>
  <si>
    <t xml:space="preserve">Unit Cost (£) = median price × (1−margin)</t>
  </si>
  <si>
    <t xml:space="preserve">Lead Time (wks, incl. shock)</t>
  </si>
  <si>
    <t xml:space="preserve">Annual Demand = Σ W1..W52</t>
  </si>
  <si>
    <t xml:space="preserve">Avg Weekly = Annual ÷ 52</t>
  </si>
  <si>
    <t xml:space="preserve">Std Dev Weekly (sample)</t>
  </si>
  <si>
    <t xml:space="preserve">CV = Std Dev ÷ Avg</t>
  </si>
  <si>
    <t xml:space="preserve">Cumulative value share (Σ value ≥ this SKU ÷ total)</t>
  </si>
  <si>
    <t xml:space="preserve">Z = NORMSINV(SL)</t>
  </si>
  <si>
    <t xml:space="preserve">Safety Stock = ROUNDUP(Z × σ × √LT)</t>
  </si>
  <si>
    <t xml:space="preserve">Reorder Point = ROUNDUP(Avg × LT + SS)</t>
  </si>
  <si>
    <t xml:space="preserve">EOQ = ROUND(√(2 × D × S ÷ (H × C)))</t>
  </si>
  <si>
    <t xml:space="preserve">Excess Units = MAX(0, On Hand − (ROP+EOQ))</t>
  </si>
  <si>
    <t xml:space="preserve">Worked arithmetic (live text)</t>
  </si>
  <si>
    <t xml:space="preserve">Data_Prep — Power Query cleaning steps (ribbon clicks) and row counts</t>
  </si>
  <si>
    <t xml:space="preserve">Built with the Power Query Editor ribbon in Excel (Data → Get Data). Row counts are the recorded result of these steps on online_retail_II.xlsx — a static log, not formulas. Tip to see a row count at any step: Transform → Count Rows, note the number, then delete that step.</t>
  </si>
  <si>
    <t xml:space="preserve">#</t>
  </si>
  <si>
    <t xml:space="preserve">Query</t>
  </si>
  <si>
    <t xml:space="preserve">Action in Power Query Editor (ribbon)</t>
  </si>
  <si>
    <t xml:space="preserve">Settings</t>
  </si>
  <si>
    <t xml:space="preserve">Rows after step</t>
  </si>
  <si>
    <t xml:space="preserve">Why</t>
  </si>
  <si>
    <t xml:space="preserve">Q1 · Sales_2009_2010</t>
  </si>
  <si>
    <t xml:space="preserve">Sales_2009_2010</t>
  </si>
  <si>
    <t xml:space="preserve">Data → Get Data → From File → From Workbook → online_retail_II.xlsx → tick sheet "Year 2009-2010" → Transform Data</t>
  </si>
  <si>
    <t xml:space="preserve">—</t>
  </si>
  <si>
    <t xml:space="preserve">Raw source sheet 1 (1 Dec 2009 – 9 Dec 2010).</t>
  </si>
  <si>
    <t xml:space="preserve">Applied Steps: delete "Changed Type". Select columns → Home → Data Type</t>
  </si>
  <si>
    <t xml:space="preserve">Invoice, StockCode, Description, Country = Text · Quantity = Whole Number · InvoiceDate = Date/Time · Price = Decimal Number · Customer ID = Whole Number</t>
  </si>
  <si>
    <t xml:space="preserve">Setting StockCode to Text first stops codes like 85123A turning into errors.</t>
  </si>
  <si>
    <t xml:space="preserve">InvoiceDate filter arrow → Date/Time Filters → Before…</t>
  </si>
  <si>
    <t xml:space="preserve">before 01/12/2010 00:00</t>
  </si>
  <si>
    <t xml:space="preserve">The two sheets overlap: 22,523 identical rows dated 1–9 Dec 2010 are in BOTH sheets. Keep them from sheet 2 only, or Week 1 demand is double-counted.</t>
  </si>
  <si>
    <t xml:space="preserve">Home → Close &amp; Load To… → Only Create Connection</t>
  </si>
  <si>
    <t xml:space="preserve">1M+ rows will not fit on a worksheet (limit 1,048,576), so intermediate queries stay as connections.</t>
  </si>
  <si>
    <t xml:space="preserve">Q2 · Sales_2010_2011</t>
  </si>
  <si>
    <t xml:space="preserve">Sales_2010_2011</t>
  </si>
  <si>
    <t xml:space="preserve">Repeat steps 1, 2 and 4 for sheet "Year 2010-2011" (no date filter)</t>
  </si>
  <si>
    <t xml:space="preserve">same data types as step 2</t>
  </si>
  <si>
    <t xml:space="preserve">Raw source sheet 2 (1 Dec 2010 – 9 Dec 2011).</t>
  </si>
  <si>
    <t xml:space="preserve">Q3 · Sales_Clean</t>
  </si>
  <si>
    <t xml:space="preserve">Sales_Clean</t>
  </si>
  <si>
    <t xml:space="preserve">Data → Get Data → Combine Queries → Append → Two tables</t>
  </si>
  <si>
    <t xml:space="preserve">Sales_2009_2010 + Sales_2010_2011</t>
  </si>
  <si>
    <t xml:space="preserve">One combined sales table.</t>
  </si>
  <si>
    <t xml:space="preserve">Invoice filter arrow → Text Filters → Does Not Begin With…</t>
  </si>
  <si>
    <t xml:space="preserve">Invoices starting with C are cancellations/returns, not demand.</t>
  </si>
  <si>
    <t xml:space="preserve">Quantity filter arrow → Number Filters → Greater Than…</t>
  </si>
  <si>
    <t xml:space="preserve">0</t>
  </si>
  <si>
    <t xml:space="preserve">Zero/negative quantities are adjustments.</t>
  </si>
  <si>
    <t xml:space="preserve">Price filter arrow → Number Filters → Greater Than…</t>
  </si>
  <si>
    <t xml:space="preserve">Zero-price lines are samples, damages or write-offs.</t>
  </si>
  <si>
    <t xml:space="preserve">Select StockCode → Transform → Format → Trim, then Format → UPPERCASE. Do the same Trim on Description</t>
  </si>
  <si>
    <t xml:space="preserve">So "85123a" and "85123A " become one SKU.</t>
  </si>
  <si>
    <t xml:space="preserve">Select StockCode → Add Column → Extract → First Characters → 5. Set the new column to Whole Number → Home → Remove Rows → Remove Errors → delete the helper column</t>
  </si>
  <si>
    <t xml:space="preserve">Count = 5</t>
  </si>
  <si>
    <t xml:space="preserve">Real products start with 5 digits. POST, DOT, M, D, C2, BANK CHARGES, AMAZONFEE etc. fail the number conversion and are removed.</t>
  </si>
  <si>
    <t xml:space="preserve">Invoice filter arrow → Text Filters → Does Not Equal…</t>
  </si>
  <si>
    <t xml:space="preserve">541431</t>
  </si>
  <si>
    <t xml:space="preserve">Outlier decision: one 74,215-unit order (SKU 23166) was cancelled minutes later by C541433. Step 7 removes the cancellation but not the order, which would create false demand.</t>
  </si>
  <si>
    <t xml:space="preserve">Select InvoiceDate → Add Column → Custom Column. Name: WeekStart, then set type Date. Check with Add Column → Date → Day → Name of Day (Monday only), then delete the helper</t>
  </si>
  <si>
    <t xml:space="preserve">Formula: Date.StartOfWeek([InvoiceDate], Day.Monday). The ribbon Start of Week button always uses Sunday, whatever the locale</t>
  </si>
  <si>
    <t xml:space="preserve">Monday of the invoice week — same idea as Excel =INT(A2)-WEEKDAY(A2,3). The only typed formula in the whole process.</t>
  </si>
  <si>
    <t xml:space="preserve">WeekStart filter arrow → Date Filters → Between…</t>
  </si>
  <si>
    <t xml:space="preserve">is after or equal to 06/12/2010 AND is before or equal to 28/11/2011</t>
  </si>
  <si>
    <t xml:space="preserve">Exactly 52 complete Monday-starting weeks; partial weeks at either end excluded.</t>
  </si>
  <si>
    <t xml:space="preserve">Select Quantity, Ctrl+click Price → Add Column → Standard → Multiply. Rename column to LineRevenue</t>
  </si>
  <si>
    <t xml:space="preserve">Revenue per invoice line.</t>
  </si>
  <si>
    <t xml:space="preserve">Q4 · Weekly_Sold</t>
  </si>
  <si>
    <t xml:space="preserve">Weekly_Sold</t>
  </si>
  <si>
    <t xml:space="preserve">Queries pane: right-click Sales_Clean → Reference. Home → Group By → Advanced</t>
  </si>
  <si>
    <t xml:space="preserve">Group by StockCode, WeekStart · Units = Sum of Quantity · Revenue = Sum of LineRevenue</t>
  </si>
  <si>
    <t xml:space="preserve">One row per SKU per week that had sales.</t>
  </si>
  <si>
    <t xml:space="preserve">Q5 · Top500</t>
  </si>
  <si>
    <t xml:space="preserve">Top500</t>
  </si>
  <si>
    <t xml:space="preserve">Reference Weekly_Sold → Home → Group By</t>
  </si>
  <si>
    <t xml:space="preserve">Group by StockCode · Revenue52w = Sum of Revenue</t>
  </si>
  <si>
    <t xml:space="preserve">3,775 distinct product SKUs in the 52 weeks.</t>
  </si>
  <si>
    <t xml:space="preserve">Revenue52w filter arrow → Sort Descending → Home → Keep Rows → Keep Top Rows</t>
  </si>
  <si>
    <t xml:space="preserve">500</t>
  </si>
  <si>
    <t xml:space="preserve">Workbook capacity is 500 SKUs; these are 67.5% of product revenue (£6.43M of £9.53M).</t>
  </si>
  <si>
    <t xml:space="preserve">Q6 · SKU_Details</t>
  </si>
  <si>
    <t xml:space="preserve">Desc_Counts</t>
  </si>
  <si>
    <t xml:space="preserve">Reference Sales_Clean → Description filter: untick (null) → Home → Group By → Advanced</t>
  </si>
  <si>
    <t xml:space="preserve">Group by StockCode, Description · n = Count Rows</t>
  </si>
  <si>
    <t xml:space="preserve">How often each description text is used per SKU.</t>
  </si>
  <si>
    <t xml:space="preserve">Desc_Top</t>
  </si>
  <si>
    <t xml:space="preserve">Reference Desc_Counts → Group By StockCode, MaxN = Max of n → Home → Merge Queries with Desc_Counts (Ctrl+click StockCode then MaxN ↔ StockCode then n, Inner) → expand Description → Remove Duplicates on StockCode</t>
  </si>
  <si>
    <t xml:space="preserve">Most frequent description per SKU.</t>
  </si>
  <si>
    <t xml:space="preserve">SKU_Details</t>
  </si>
  <si>
    <t xml:space="preserve">Reference Sales_Clean → Home → Group By</t>
  </si>
  <si>
    <t xml:space="preserve">Group by StockCode · MedianPrice = Median of Price</t>
  </si>
  <si>
    <t xml:space="preserve">Median selling price per SKU (basis for the unit-cost assumption).</t>
  </si>
  <si>
    <t xml:space="preserve">Home → Merge Queries → Desc_Top on StockCode (Left Outer) → expand Description</t>
  </si>
  <si>
    <t xml:space="preserve">Q7 · Weekly_Demand_Wide (loaded to a sheet)</t>
  </si>
  <si>
    <t xml:space="preserve">Weekly_Demand_Wide</t>
  </si>
  <si>
    <t xml:space="preserve">Reference Weekly_Sold → Home → Merge Queries → Top500 on StockCode, Join Kind = Inner → expand Revenue52w</t>
  </si>
  <si>
    <t xml:space="preserve">Inner join</t>
  </si>
  <si>
    <t xml:space="preserve">Keeps only the top 500 SKUs.</t>
  </si>
  <si>
    <t xml:space="preserve">Remove the weekly Revenue column → WeekStart filter arrow → Sort Ascending → select WeekStart → Transform → Pivot Column</t>
  </si>
  <si>
    <t xml:space="preserve">Values Column = Units · Advanced: Aggregate = Sum</t>
  </si>
  <si>
    <t xml:space="preserve">One row per SKU, one column per week (52 columns). Sorting first keeps weeks in date order.</t>
  </si>
  <si>
    <t xml:space="preserve">Select all 52 week columns → Transform → Replace Values</t>
  </si>
  <si>
    <t xml:space="preserve">Value To Find: null · Replace With: 0</t>
  </si>
  <si>
    <t xml:space="preserve">ZERO-FILL: weeks with no sales must be 0, not blank. Without them the standard deviation of weekly demand is understated → safety stock is understated → false confidence in low stock.</t>
  </si>
  <si>
    <t xml:space="preserve">Home → Merge Queries → SKU_Details on StockCode → expand Description, MedianPrice → Sort Revenue52w descending → drag columns into order → remove Revenue52w</t>
  </si>
  <si>
    <t xml:space="preserve">Order: StockCode, Description, 52 weeks, MedianPrice</t>
  </si>
  <si>
    <t xml:space="preserve">Final table: 500 SKUs × 52 weeks = 26,000 SKU-weeks.</t>
  </si>
  <si>
    <t xml:space="preserve">Home → Close &amp; Load To… → Table → New worksheet. Then Copy → Paste Values into Weekly_Demand</t>
  </si>
  <si>
    <t xml:space="preserve">A:B ← StockCode, Description · G:BF ← 52 weeks · BG ← MedianPrice</t>
  </si>
  <si>
    <t xml:space="preserve">Weekly_Demand then calculates Category, Unit Cost and Lead Time with formulas.</t>
  </si>
  <si>
    <t xml:space="preserve">Checks</t>
  </si>
  <si>
    <t xml:space="preserve">Rows removed: overlap 22,523 · cancellations 19,165 · qty ≤ 0: 3,393 · price ≤ 0: 2,636 · non-product codes 4,709 · reversed order 1 · outside 52 weeks 514,568.</t>
  </si>
  <si>
    <t xml:space="preserve">Final: 500 SKUs, each with exactly 52 week columns (26,000 SKU-weeks). 3,775 SKUs existed before the top-500 cut.</t>
  </si>
  <si>
    <t xml:space="preserve">Descriptions: if two descriptions tie on count, Remove Duplicates keeps the first one Power Query finds.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</si>
</sst>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\£#,##0;&quot;(£&quot;#,##0\);\-"/>
    <numFmt numFmtId="166" formatCode="0.0%;\-0.0%;\-"/>
    <numFmt numFmtId="167" formatCode="#,##0;\(#,##0\);\-"/>
    <numFmt numFmtId="168" formatCode="0.00;\-0.00;\-"/>
    <numFmt numFmtId="169" formatCode="dd\-mmm\-yy"/>
    <numFmt numFmtId="170" formatCode="\£#,##0.00;&quot;(£&quot;#,##0.00\);\-"/>
    <numFmt numFmtId="171" formatCode="#,##0.0;\(#,##0.0\);\-"/>
    <numFmt numFmtId="172" formatCode="0.000;\-0.000;\-"/>
    <numFmt numFmtId="173" formatCode="0&quot; wks&quot;"/>
    <numFmt numFmtId="174" formatCode="0%"/>
    <numFmt numFmtId="175" formatCode="\£#,##0"/>
    <numFmt numFmtId="176" formatCode="0.0\x"/>
    <numFmt numFmtId="177" formatCode="General"/>
    <numFmt numFmtId="178" formatCode="0.00"/>
    <numFmt numFmtId="179" formatCode="0.000"/>
    <numFmt numFmtId="180" formatCode="0.00%"/>
    <numFmt numFmtId="181" formatCode="0.0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62626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C55A11"/>
      <name val="Arial"/>
      <family val="0"/>
      <charset val="1"/>
    </font>
    <font>
      <sz val="11"/>
      <color rgb="FF00703C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5B2C6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sz val="9"/>
      <color rgb="FF262626"/>
      <name val="Consolas"/>
      <family val="0"/>
      <charset val="1"/>
    </font>
    <font>
      <i val="true"/>
      <sz val="11"/>
      <color rgb="FF7F6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0.000000;-0.000000;&quot;✓ 0&quot;"/>
      <family val="0"/>
      <charset val="1"/>
    </font>
    <font>
      <sz val="11"/>
      <color rgb="FF7F6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E2EFDA"/>
      </patternFill>
    </fill>
    <fill>
      <patternFill patternType="solid">
        <fgColor rgb="FFE4DFEC"/>
        <bgColor rgb="FFD9D9D9"/>
      </patternFill>
    </fill>
    <fill>
      <patternFill patternType="solid">
        <fgColor rgb="FF3A3A3A"/>
        <bgColor rgb="FF262626"/>
      </patternFill>
    </fill>
    <fill>
      <patternFill patternType="solid">
        <fgColor rgb="FFF2F2F2"/>
        <bgColor rgb="FFE2EFDA"/>
      </patternFill>
    </fill>
    <fill>
      <patternFill patternType="solid">
        <fgColor rgb="FF7F6000"/>
        <bgColor rgb="FF9C5700"/>
      </patternFill>
    </fill>
    <fill>
      <patternFill patternType="solid">
        <fgColor rgb="FF843C0C"/>
        <bgColor rgb="FF9C5700"/>
      </patternFill>
    </fill>
    <fill>
      <patternFill patternType="solid">
        <fgColor rgb="FF808080"/>
        <bgColor rgb="FF7F7F7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F90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9000"/>
      </top>
      <bottom style="thin">
        <color rgb="FFBF9000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3A3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703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B2C6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5B2C6F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9C0006"/>
      <rgbColor rgb="FF00703C"/>
      <rgbColor rgb="FF000080"/>
      <rgbColor rgb="FF7F6000"/>
      <rgbColor rgb="FF800080"/>
      <rgbColor rgb="FF008080"/>
      <rgbColor rgb="FFBFBFBF"/>
      <rgbColor rgb="FF808080"/>
      <rgbColor rgb="FF9999FF"/>
      <rgbColor rgb="FF9C5700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E4DFEC"/>
      <rgbColor rgb="FFFFC7CE"/>
      <rgbColor rgb="FFCC99FF"/>
      <rgbColor rgb="FFF8CBAD"/>
      <rgbColor rgb="FF3366FF"/>
      <rgbColor rgb="FF33CCCC"/>
      <rgbColor rgb="FF99CC00"/>
      <rgbColor rgb="FFFFCC00"/>
      <rgbColor rgb="FFBF9000"/>
      <rgbColor rgb="FFC55A11"/>
      <rgbColor rgb="FF595959"/>
      <rgbColor rgb="FF878787"/>
      <rgbColor rgb="FF375623"/>
      <rgbColor rgb="FF7F7F7F"/>
      <rgbColor rgb="FF006100"/>
      <rgbColor rgb="FF262626"/>
      <rgbColor rgb="FF843C0C"/>
      <rgbColor rgb="FF993366"/>
      <rgbColor rgb="FF5B2C6F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Safety Stock Value vs. Service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"Safety stock value (£)"</c:f>
              <c:strCache>
                <c:ptCount val="1"/>
                <c:pt idx="0">
                  <c:v>Safety stock value (£)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circle"/>
            <c:size val="5"/>
            <c:spPr>
              <a:solidFill>
                <a:srgbClr val="7f6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Service_Level_Scenario!$A$5:$A$13</c:f>
              <c:numCache>
                <c:formatCode>0.0%;\-0.0%;\-</c:formatCode>
                <c:ptCount val="9"/>
                <c:pt idx="0">
                  <c:v>0.8</c:v>
                </c:pt>
                <c:pt idx="1">
                  <c:v>0.85</c:v>
                </c:pt>
                <c:pt idx="2">
                  <c:v>0.9</c:v>
                </c:pt>
                <c:pt idx="3">
                  <c:v>0.92</c:v>
                </c:pt>
                <c:pt idx="4">
                  <c:v>0.95</c:v>
                </c:pt>
                <c:pt idx="5">
                  <c:v>0.97</c:v>
                </c:pt>
                <c:pt idx="6">
                  <c:v>0.98</c:v>
                </c:pt>
                <c:pt idx="7">
                  <c:v>0.99</c:v>
                </c:pt>
                <c:pt idx="8">
                  <c:v>0.995</c:v>
                </c:pt>
              </c:numCache>
            </c:numRef>
          </c:xVal>
          <c:yVal>
            <c:numRef>
              <c:f>Service_Level_Scenario!$D$5:$D$13</c:f>
              <c:numCache>
                <c:formatCode>\£#,##0;"(£"#,##0\);\-</c:formatCode>
                <c:ptCount val="9"/>
                <c:pt idx="0">
                  <c:v>168946.024947945</c:v>
                </c:pt>
                <c:pt idx="1">
                  <c:v>208052.380683111</c:v>
                </c:pt>
                <c:pt idx="2">
                  <c:v>257257.105842517</c:v>
                </c:pt>
                <c:pt idx="3">
                  <c:v>282052.359674875</c:v>
                </c:pt>
                <c:pt idx="4">
                  <c:v>330185.920707984</c:v>
                </c:pt>
                <c:pt idx="5">
                  <c:v>377548.22617261</c:v>
                </c:pt>
                <c:pt idx="6">
                  <c:v>412267.06367593</c:v>
                </c:pt>
                <c:pt idx="7">
                  <c:v>466988.248736067</c:v>
                </c:pt>
                <c:pt idx="8">
                  <c:v>517068.84809878</c:v>
                </c:pt>
              </c:numCache>
            </c:numRef>
          </c:yVal>
          <c:smooth val="0"/>
        </c:ser>
        <c:axId val="33939087"/>
        <c:axId val="2623849"/>
      </c:scatterChart>
      <c:valAx>
        <c:axId val="33939087"/>
        <c:scaling>
          <c:orientation val="minMax"/>
          <c:max val="1"/>
          <c:min val="0.8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Service level (uniform, all SKUs)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3849"/>
        <c:crosses val="autoZero"/>
        <c:crossBetween val="midCat"/>
      </c:valAx>
      <c:valAx>
        <c:axId val="2623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Safety stock value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3908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18</xdr:col>
      <xdr:colOff>4680</xdr:colOff>
      <xdr:row>17</xdr:row>
      <xdr:rowOff>1080</xdr:rowOff>
    </xdr:to>
    <xdr:graphicFrame>
      <xdr:nvGraphicFramePr>
        <xdr:cNvPr id="0" name="Chart 1"/>
        <xdr:cNvGraphicFramePr/>
      </xdr:nvGraphicFramePr>
      <xdr:xfrm>
        <a:off x="10902240" y="9716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2626"/>
    <pageSetUpPr fitToPage="false"/>
  </sheetPr>
  <dimension ref="A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30" hidden="false" customHeight="true" outlineLevel="0" collapsed="false">
      <c r="A5" s="5" t="s">
        <v>3</v>
      </c>
      <c r="B5" s="6" t="s">
        <v>4</v>
      </c>
      <c r="C5" s="6"/>
    </row>
    <row r="6" customFormat="false" ht="75" hidden="false" customHeight="true" outlineLevel="0" collapsed="false">
      <c r="A6" s="5" t="s">
        <v>5</v>
      </c>
      <c r="B6" s="6" t="s">
        <v>6</v>
      </c>
      <c r="C6" s="6"/>
    </row>
    <row r="7" customFormat="false" ht="45" hidden="false" customHeight="true" outlineLevel="0" collapsed="false">
      <c r="A7" s="5" t="s">
        <v>7</v>
      </c>
      <c r="B7" s="6" t="s">
        <v>8</v>
      </c>
      <c r="C7" s="6"/>
    </row>
    <row r="9" customFormat="false" ht="15" hidden="false" customHeight="false" outlineLevel="0" collapsed="false">
      <c r="A9" s="4" t="s">
        <v>9</v>
      </c>
    </row>
    <row r="10" customFormat="false" ht="30" hidden="false" customHeight="true" outlineLevel="0" collapsed="false">
      <c r="A10" s="5" t="s">
        <v>10</v>
      </c>
      <c r="B10" s="6" t="s">
        <v>11</v>
      </c>
      <c r="C10" s="6"/>
    </row>
    <row r="11" customFormat="false" ht="30" hidden="false" customHeight="true" outlineLevel="0" collapsed="false">
      <c r="A11" s="5" t="s">
        <v>12</v>
      </c>
      <c r="B11" s="6" t="s">
        <v>13</v>
      </c>
      <c r="C11" s="6"/>
    </row>
    <row r="12" customFormat="false" ht="45" hidden="false" customHeight="true" outlineLevel="0" collapsed="false">
      <c r="A12" s="5" t="s">
        <v>14</v>
      </c>
      <c r="B12" s="6" t="s">
        <v>15</v>
      </c>
      <c r="C12" s="6"/>
    </row>
    <row r="13" customFormat="false" ht="45" hidden="false" customHeight="true" outlineLevel="0" collapsed="false">
      <c r="A13" s="5" t="s">
        <v>16</v>
      </c>
      <c r="B13" s="7" t="s">
        <v>17</v>
      </c>
      <c r="C13" s="6"/>
    </row>
    <row r="15" customFormat="false" ht="15" hidden="false" customHeight="false" outlineLevel="0" collapsed="false">
      <c r="A15" s="4" t="s">
        <v>18</v>
      </c>
    </row>
    <row r="16" customFormat="false" ht="45" hidden="false" customHeight="true" outlineLevel="0" collapsed="false">
      <c r="A16" s="5" t="s">
        <v>19</v>
      </c>
      <c r="B16" s="6" t="s">
        <v>20</v>
      </c>
      <c r="C16" s="6"/>
    </row>
    <row r="17" customFormat="false" ht="60" hidden="false" customHeight="true" outlineLevel="0" collapsed="false">
      <c r="A17" s="5" t="s">
        <v>21</v>
      </c>
      <c r="B17" s="6" t="s">
        <v>22</v>
      </c>
      <c r="C17" s="6"/>
    </row>
    <row r="18" customFormat="false" ht="60" hidden="false" customHeight="true" outlineLevel="0" collapsed="false">
      <c r="A18" s="5" t="s">
        <v>23</v>
      </c>
      <c r="B18" s="6" t="s">
        <v>24</v>
      </c>
      <c r="C18" s="6"/>
    </row>
    <row r="19" customFormat="false" ht="31.5" hidden="false" customHeight="true" outlineLevel="0" collapsed="false">
      <c r="A19" s="5" t="s">
        <v>25</v>
      </c>
      <c r="B19" s="6" t="s">
        <v>26</v>
      </c>
      <c r="C19" s="6"/>
    </row>
    <row r="20" customFormat="false" ht="45" hidden="false" customHeight="true" outlineLevel="0" collapsed="false">
      <c r="A20" s="5" t="s">
        <v>27</v>
      </c>
      <c r="B20" s="6" t="s">
        <v>28</v>
      </c>
      <c r="C20" s="6"/>
    </row>
    <row r="22" customFormat="false" ht="15" hidden="false" customHeight="false" outlineLevel="0" collapsed="false">
      <c r="A22" s="4" t="s">
        <v>29</v>
      </c>
    </row>
    <row r="23" customFormat="false" ht="15" hidden="false" customHeight="false" outlineLevel="0" collapsed="false">
      <c r="A23" s="8" t="s">
        <v>30</v>
      </c>
      <c r="B23" s="9" t="s">
        <v>31</v>
      </c>
    </row>
    <row r="24" customFormat="false" ht="15" hidden="false" customHeight="false" outlineLevel="0" collapsed="false">
      <c r="A24" s="9" t="s">
        <v>32</v>
      </c>
      <c r="B24" s="9" t="s">
        <v>33</v>
      </c>
    </row>
    <row r="25" customFormat="false" ht="15" hidden="false" customHeight="false" outlineLevel="0" collapsed="false">
      <c r="A25" s="10" t="s">
        <v>34</v>
      </c>
      <c r="B25" s="9" t="s">
        <v>35</v>
      </c>
    </row>
    <row r="26" customFormat="false" ht="15" hidden="false" customHeight="false" outlineLevel="0" collapsed="false">
      <c r="A26" s="11" t="s">
        <v>36</v>
      </c>
      <c r="B26" s="9" t="s">
        <v>37</v>
      </c>
    </row>
    <row r="27" customFormat="false" ht="15" hidden="false" customHeight="false" outlineLevel="0" collapsed="false">
      <c r="A27" s="12" t="s">
        <v>38</v>
      </c>
      <c r="B27" s="9" t="s">
        <v>39</v>
      </c>
    </row>
    <row r="28" customFormat="false" ht="15" hidden="false" customHeight="false" outlineLevel="0" collapsed="false">
      <c r="A28" s="13" t="s">
        <v>40</v>
      </c>
      <c r="B28" s="9" t="s">
        <v>41</v>
      </c>
    </row>
    <row r="29" customFormat="false" ht="15" hidden="false" customHeight="false" outlineLevel="0" collapsed="false">
      <c r="A29" s="14" t="s">
        <v>42</v>
      </c>
      <c r="B29" s="9" t="s">
        <v>43</v>
      </c>
    </row>
    <row r="30" customFormat="false" ht="15" hidden="false" customHeight="false" outlineLevel="0" collapsed="false">
      <c r="A30" s="15" t="s">
        <v>44</v>
      </c>
      <c r="B30" s="9" t="s">
        <v>45</v>
      </c>
    </row>
    <row r="32" customFormat="false" ht="15" hidden="false" customHeight="false" outlineLevel="0" collapsed="false">
      <c r="A32" s="4" t="s">
        <v>46</v>
      </c>
    </row>
    <row r="33" customFormat="false" ht="21.75" hidden="false" customHeight="true" outlineLevel="0" collapsed="false">
      <c r="A33" s="16" t="s">
        <v>47</v>
      </c>
      <c r="B33" s="16" t="s">
        <v>48</v>
      </c>
      <c r="C33" s="16" t="s">
        <v>49</v>
      </c>
    </row>
    <row r="34" customFormat="false" ht="31.5" hidden="false" customHeight="true" outlineLevel="0" collapsed="false">
      <c r="A34" s="17" t="s">
        <v>50</v>
      </c>
      <c r="B34" s="18" t="s">
        <v>51</v>
      </c>
      <c r="C34" s="18" t="s">
        <v>52</v>
      </c>
    </row>
    <row r="35" customFormat="false" ht="31.5" hidden="false" customHeight="true" outlineLevel="0" collapsed="false">
      <c r="A35" s="17" t="s">
        <v>53</v>
      </c>
      <c r="B35" s="18" t="s">
        <v>54</v>
      </c>
      <c r="C35" s="18" t="s">
        <v>55</v>
      </c>
    </row>
    <row r="36" customFormat="false" ht="31.5" hidden="false" customHeight="true" outlineLevel="0" collapsed="false">
      <c r="A36" s="17" t="s">
        <v>56</v>
      </c>
      <c r="B36" s="18" t="s">
        <v>57</v>
      </c>
      <c r="C36" s="18" t="s">
        <v>58</v>
      </c>
    </row>
    <row r="37" customFormat="false" ht="31.5" hidden="false" customHeight="true" outlineLevel="0" collapsed="false">
      <c r="A37" s="17" t="s">
        <v>59</v>
      </c>
      <c r="B37" s="18" t="s">
        <v>60</v>
      </c>
      <c r="C37" s="18" t="s">
        <v>61</v>
      </c>
    </row>
    <row r="38" customFormat="false" ht="31.5" hidden="false" customHeight="true" outlineLevel="0" collapsed="false">
      <c r="A38" s="17" t="s">
        <v>62</v>
      </c>
      <c r="B38" s="18" t="s">
        <v>63</v>
      </c>
      <c r="C38" s="18" t="s">
        <v>64</v>
      </c>
    </row>
    <row r="39" customFormat="false" ht="31.5" hidden="false" customHeight="true" outlineLevel="0" collapsed="false">
      <c r="A39" s="17" t="s">
        <v>65</v>
      </c>
      <c r="B39" s="18" t="s">
        <v>66</v>
      </c>
      <c r="C39" s="18" t="s">
        <v>67</v>
      </c>
    </row>
    <row r="40" customFormat="false" ht="31.5" hidden="false" customHeight="true" outlineLevel="0" collapsed="false">
      <c r="A40" s="17" t="s">
        <v>68</v>
      </c>
      <c r="B40" s="18" t="s">
        <v>69</v>
      </c>
      <c r="C40" s="18" t="s">
        <v>70</v>
      </c>
    </row>
    <row r="41" customFormat="false" ht="31.5" hidden="false" customHeight="true" outlineLevel="0" collapsed="false">
      <c r="A41" s="17" t="s">
        <v>71</v>
      </c>
      <c r="B41" s="18" t="s">
        <v>72</v>
      </c>
      <c r="C41" s="18" t="s">
        <v>73</v>
      </c>
    </row>
    <row r="42" customFormat="false" ht="31.5" hidden="false" customHeight="true" outlineLevel="0" collapsed="false">
      <c r="A42" s="17" t="s">
        <v>74</v>
      </c>
      <c r="B42" s="18" t="s">
        <v>75</v>
      </c>
      <c r="C42" s="18" t="s">
        <v>76</v>
      </c>
    </row>
    <row r="44" customFormat="false" ht="15" hidden="false" customHeight="false" outlineLevel="0" collapsed="false">
      <c r="A44" s="4" t="s">
        <v>77</v>
      </c>
    </row>
    <row r="45" customFormat="false" ht="39.75" hidden="false" customHeight="true" outlineLevel="0" collapsed="false">
      <c r="A45" s="19" t="s">
        <v>78</v>
      </c>
      <c r="B45" s="6" t="s">
        <v>79</v>
      </c>
      <c r="C45" s="6"/>
    </row>
    <row r="46" customFormat="false" ht="45" hidden="false" customHeight="true" outlineLevel="0" collapsed="false">
      <c r="A46" s="19" t="s">
        <v>80</v>
      </c>
      <c r="B46" s="6" t="s">
        <v>81</v>
      </c>
      <c r="C46" s="6"/>
    </row>
    <row r="47" customFormat="false" ht="60" hidden="false" customHeight="true" outlineLevel="0" collapsed="false">
      <c r="A47" s="19" t="s">
        <v>82</v>
      </c>
      <c r="B47" s="6" t="s">
        <v>83</v>
      </c>
      <c r="C47" s="6"/>
    </row>
    <row r="48" customFormat="false" ht="39.75" hidden="false" customHeight="true" outlineLevel="0" collapsed="false">
      <c r="A48" s="19" t="s">
        <v>84</v>
      </c>
      <c r="B48" s="6" t="s">
        <v>85</v>
      </c>
      <c r="C48" s="6"/>
    </row>
    <row r="49" customFormat="false" ht="60" hidden="false" customHeight="true" outlineLevel="0" collapsed="false">
      <c r="A49" s="19" t="s">
        <v>86</v>
      </c>
      <c r="B49" s="6" t="s">
        <v>87</v>
      </c>
      <c r="C49" s="6"/>
    </row>
    <row r="51" customFormat="false" ht="15" hidden="false" customHeight="false" outlineLevel="0" collapsed="false">
      <c r="A51" s="4" t="s">
        <v>88</v>
      </c>
    </row>
    <row r="52" customFormat="false" ht="60" hidden="false" customHeight="true" outlineLevel="0" collapsed="false">
      <c r="A52" s="5" t="s">
        <v>89</v>
      </c>
      <c r="B52" s="6" t="s">
        <v>90</v>
      </c>
      <c r="C52" s="6"/>
    </row>
    <row r="53" customFormat="false" ht="45" hidden="false" customHeight="true" outlineLevel="0" collapsed="false">
      <c r="A53" s="5" t="s">
        <v>91</v>
      </c>
      <c r="B53" s="6" t="s">
        <v>92</v>
      </c>
      <c r="C53" s="6"/>
    </row>
    <row r="54" customFormat="false" ht="45" hidden="false" customHeight="true" outlineLevel="0" collapsed="false">
      <c r="A54" s="5" t="s">
        <v>93</v>
      </c>
      <c r="B54" s="6" t="s">
        <v>94</v>
      </c>
      <c r="C54" s="6"/>
    </row>
    <row r="55" customFormat="false" ht="45" hidden="false" customHeight="true" outlineLevel="0" collapsed="false">
      <c r="A55" s="5" t="s">
        <v>95</v>
      </c>
      <c r="B55" s="6" t="s">
        <v>96</v>
      </c>
      <c r="C55" s="6"/>
    </row>
    <row r="56" customFormat="false" ht="45" hidden="false" customHeight="true" outlineLevel="0" collapsed="false">
      <c r="A56" s="5" t="s">
        <v>97</v>
      </c>
      <c r="B56" s="6" t="s">
        <v>98</v>
      </c>
      <c r="C56" s="6"/>
    </row>
    <row r="57" customFormat="false" ht="45" hidden="false" customHeight="true" outlineLevel="0" collapsed="false">
      <c r="A57" s="5" t="s">
        <v>99</v>
      </c>
      <c r="B57" s="6" t="s">
        <v>100</v>
      </c>
      <c r="C57" s="6"/>
    </row>
    <row r="59" customFormat="false" ht="15" hidden="false" customHeight="false" outlineLevel="0" collapsed="false">
      <c r="A59" s="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90"/>
  </cols>
  <sheetData>
    <row r="1" customFormat="false" ht="30" hidden="false" customHeight="true" outlineLevel="0" collapsed="false">
      <c r="A1" s="1" t="s">
        <v>102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103</v>
      </c>
    </row>
    <row r="3" customFormat="false" ht="45" hidden="false" customHeight="true" outlineLevel="0" collapsed="false">
      <c r="A3" s="16" t="s">
        <v>104</v>
      </c>
      <c r="B3" s="16" t="s">
        <v>105</v>
      </c>
      <c r="C3" s="16" t="s">
        <v>106</v>
      </c>
      <c r="D3" s="16" t="s">
        <v>107</v>
      </c>
    </row>
    <row r="4" customFormat="false" ht="21.75" hidden="false" customHeight="true" outlineLevel="0" collapsed="false">
      <c r="A4" s="9" t="s">
        <v>108</v>
      </c>
      <c r="B4" s="20" t="n">
        <v>50</v>
      </c>
      <c r="C4" s="9" t="s">
        <v>109</v>
      </c>
      <c r="D4" s="18" t="s">
        <v>110</v>
      </c>
    </row>
    <row r="5" customFormat="false" ht="21.75" hidden="false" customHeight="true" outlineLevel="0" collapsed="false">
      <c r="A5" s="9" t="s">
        <v>111</v>
      </c>
      <c r="B5" s="21" t="n">
        <v>0.25</v>
      </c>
      <c r="C5" s="9" t="s">
        <v>112</v>
      </c>
      <c r="D5" s="18" t="s">
        <v>113</v>
      </c>
    </row>
    <row r="6" customFormat="false" ht="21.75" hidden="false" customHeight="true" outlineLevel="0" collapsed="false">
      <c r="A6" s="9" t="s">
        <v>114</v>
      </c>
      <c r="B6" s="22" t="n">
        <v>52</v>
      </c>
      <c r="C6" s="9" t="s">
        <v>115</v>
      </c>
      <c r="D6" s="18" t="s">
        <v>116</v>
      </c>
    </row>
    <row r="7" customFormat="false" ht="21.75" hidden="false" customHeight="true" outlineLevel="0" collapsed="false">
      <c r="A7" s="9" t="s">
        <v>117</v>
      </c>
      <c r="B7" s="21" t="n">
        <v>0.8</v>
      </c>
      <c r="C7" s="9" t="s">
        <v>118</v>
      </c>
      <c r="D7" s="18" t="s">
        <v>119</v>
      </c>
    </row>
    <row r="8" customFormat="false" ht="21.75" hidden="false" customHeight="true" outlineLevel="0" collapsed="false">
      <c r="A8" s="9" t="s">
        <v>120</v>
      </c>
      <c r="B8" s="21" t="n">
        <v>0.95</v>
      </c>
      <c r="C8" s="9" t="s">
        <v>118</v>
      </c>
      <c r="D8" s="18" t="s">
        <v>121</v>
      </c>
    </row>
    <row r="9" customFormat="false" ht="21.75" hidden="false" customHeight="true" outlineLevel="0" collapsed="false">
      <c r="A9" s="9" t="s">
        <v>122</v>
      </c>
      <c r="B9" s="23" t="n">
        <v>0.5</v>
      </c>
      <c r="C9" s="9" t="s">
        <v>123</v>
      </c>
      <c r="D9" s="18" t="s">
        <v>124</v>
      </c>
    </row>
    <row r="10" customFormat="false" ht="21.75" hidden="false" customHeight="true" outlineLevel="0" collapsed="false">
      <c r="A10" s="9" t="s">
        <v>125</v>
      </c>
      <c r="B10" s="23" t="n">
        <v>1</v>
      </c>
      <c r="C10" s="9" t="s">
        <v>123</v>
      </c>
      <c r="D10" s="18" t="s">
        <v>126</v>
      </c>
    </row>
    <row r="11" customFormat="false" ht="21.75" hidden="false" customHeight="true" outlineLevel="0" collapsed="false">
      <c r="A11" s="9" t="s">
        <v>127</v>
      </c>
      <c r="B11" s="21" t="n">
        <v>0.98</v>
      </c>
      <c r="C11" s="9" t="s">
        <v>128</v>
      </c>
      <c r="D11" s="18" t="s">
        <v>129</v>
      </c>
    </row>
    <row r="12" customFormat="false" ht="21.75" hidden="false" customHeight="true" outlineLevel="0" collapsed="false">
      <c r="A12" s="9" t="s">
        <v>130</v>
      </c>
      <c r="B12" s="21" t="n">
        <v>0.95</v>
      </c>
      <c r="C12" s="9" t="s">
        <v>128</v>
      </c>
      <c r="D12" s="18"/>
    </row>
    <row r="13" customFormat="false" ht="21.75" hidden="false" customHeight="true" outlineLevel="0" collapsed="false">
      <c r="A13" s="9" t="s">
        <v>131</v>
      </c>
      <c r="B13" s="21" t="n">
        <v>0.9</v>
      </c>
      <c r="C13" s="9" t="s">
        <v>128</v>
      </c>
      <c r="D13" s="18"/>
    </row>
    <row r="14" customFormat="false" ht="21.75" hidden="false" customHeight="true" outlineLevel="0" collapsed="false">
      <c r="A14" s="9" t="s">
        <v>132</v>
      </c>
      <c r="B14" s="22" t="n">
        <v>365</v>
      </c>
      <c r="C14" s="9" t="s">
        <v>133</v>
      </c>
      <c r="D14" s="18" t="s">
        <v>134</v>
      </c>
    </row>
    <row r="16" customFormat="false" ht="15" hidden="false" customHeight="false" outlineLevel="0" collapsed="false">
      <c r="A16" s="4" t="s">
        <v>135</v>
      </c>
    </row>
    <row r="17" customFormat="false" ht="45" hidden="false" customHeight="true" outlineLevel="0" collapsed="false">
      <c r="A17" s="16" t="s">
        <v>104</v>
      </c>
      <c r="B17" s="16" t="s">
        <v>105</v>
      </c>
      <c r="C17" s="16" t="s">
        <v>106</v>
      </c>
      <c r="D17" s="16" t="s">
        <v>107</v>
      </c>
    </row>
    <row r="18" customFormat="false" ht="36" hidden="false" customHeight="true" outlineLevel="0" collapsed="false">
      <c r="A18" s="18" t="s">
        <v>136</v>
      </c>
      <c r="B18" s="21" t="n">
        <v>0.4</v>
      </c>
      <c r="C18" s="9" t="s">
        <v>137</v>
      </c>
      <c r="D18" s="18" t="s">
        <v>138</v>
      </c>
    </row>
    <row r="19" customFormat="false" ht="36" hidden="false" customHeight="true" outlineLevel="0" collapsed="false">
      <c r="A19" s="18" t="s">
        <v>139</v>
      </c>
      <c r="B19" s="22" t="n">
        <v>0</v>
      </c>
      <c r="C19" s="9" t="s">
        <v>115</v>
      </c>
      <c r="D19" s="18" t="s">
        <v>140</v>
      </c>
    </row>
    <row r="21" customFormat="false" ht="15" hidden="false" customHeight="false" outlineLevel="0" collapsed="false">
      <c r="A21" s="4" t="s">
        <v>141</v>
      </c>
    </row>
    <row r="22" customFormat="false" ht="21.75" hidden="false" customHeight="true" outlineLevel="0" collapsed="false">
      <c r="A22" s="16" t="s">
        <v>142</v>
      </c>
      <c r="B22" s="16" t="s">
        <v>143</v>
      </c>
      <c r="C22" s="16" t="s">
        <v>106</v>
      </c>
      <c r="D22" s="16" t="s">
        <v>144</v>
      </c>
    </row>
    <row r="23" customFormat="false" ht="26.85" hidden="false" customHeight="false" outlineLevel="0" collapsed="false">
      <c r="A23" s="9" t="s">
        <v>145</v>
      </c>
      <c r="B23" s="22" t="n">
        <v>2</v>
      </c>
      <c r="C23" s="9" t="s">
        <v>115</v>
      </c>
      <c r="D23" s="18" t="s">
        <v>146</v>
      </c>
    </row>
    <row r="24" customFormat="false" ht="15" hidden="false" customHeight="false" outlineLevel="0" collapsed="false">
      <c r="A24" s="9" t="s">
        <v>147</v>
      </c>
      <c r="B24" s="22" t="n">
        <v>4</v>
      </c>
      <c r="C24" s="9" t="s">
        <v>115</v>
      </c>
      <c r="D24" s="18"/>
    </row>
    <row r="25" customFormat="false" ht="15" hidden="false" customHeight="false" outlineLevel="0" collapsed="false">
      <c r="A25" s="9" t="s">
        <v>148</v>
      </c>
      <c r="B25" s="22" t="n">
        <v>6</v>
      </c>
      <c r="C25" s="9" t="s">
        <v>115</v>
      </c>
      <c r="D25" s="18"/>
    </row>
    <row r="26" customFormat="false" ht="15" hidden="false" customHeight="false" outlineLevel="0" collapsed="false">
      <c r="A26" s="9" t="s">
        <v>149</v>
      </c>
      <c r="B26" s="22" t="n">
        <v>8</v>
      </c>
      <c r="C26" s="9" t="s">
        <v>115</v>
      </c>
      <c r="D26" s="18"/>
    </row>
    <row r="28" customFormat="false" ht="15" hidden="false" customHeight="false" outlineLevel="0" collapsed="false">
      <c r="A28" s="4" t="s">
        <v>150</v>
      </c>
    </row>
    <row r="29" customFormat="false" ht="31.5" hidden="false" customHeight="true" outlineLevel="0" collapsed="false">
      <c r="A29" s="24" t="s">
        <v>151</v>
      </c>
      <c r="B29" s="24"/>
      <c r="C29" s="24"/>
      <c r="D29" s="24"/>
    </row>
    <row r="30" customFormat="false" ht="48" hidden="false" customHeight="true" outlineLevel="0" collapsed="false">
      <c r="A30" s="25" t="s">
        <v>152</v>
      </c>
      <c r="B30" s="25"/>
      <c r="C30" s="25"/>
      <c r="D30" s="25"/>
    </row>
    <row r="31" customFormat="false" ht="31.5" hidden="false" customHeight="true" outlineLevel="0" collapsed="false">
      <c r="A31" s="26" t="s">
        <v>153</v>
      </c>
      <c r="B31" s="26"/>
      <c r="C31" s="26"/>
      <c r="D31" s="26"/>
    </row>
    <row r="33" customFormat="false" ht="15" hidden="false" customHeight="false" outlineLevel="0" collapsed="false">
      <c r="A33" s="4" t="s">
        <v>154</v>
      </c>
    </row>
    <row r="34" customFormat="false" ht="21.75" hidden="false" customHeight="true" outlineLevel="0" collapsed="false">
      <c r="A34" s="16" t="s">
        <v>155</v>
      </c>
      <c r="B34" s="16" t="s">
        <v>156</v>
      </c>
    </row>
    <row r="35" customFormat="false" ht="15" hidden="false" customHeight="false" outlineLevel="0" collapsed="false">
      <c r="A35" s="27" t="s">
        <v>157</v>
      </c>
      <c r="B35" s="28" t="n">
        <f aca="false">$B$11</f>
        <v>0.98</v>
      </c>
    </row>
    <row r="36" customFormat="false" ht="15" hidden="false" customHeight="false" outlineLevel="0" collapsed="false">
      <c r="A36" s="27" t="s">
        <v>158</v>
      </c>
      <c r="B36" s="28" t="n">
        <f aca="false">$B$12</f>
        <v>0.95</v>
      </c>
    </row>
    <row r="37" customFormat="false" ht="15" hidden="false" customHeight="false" outlineLevel="0" collapsed="false">
      <c r="A37" s="27" t="s">
        <v>159</v>
      </c>
      <c r="B37" s="28" t="n">
        <f aca="false">$B$13</f>
        <v>0.9</v>
      </c>
    </row>
    <row r="39" customFormat="false" ht="15" hidden="false" customHeight="false" outlineLevel="0" collapsed="false">
      <c r="A39" s="4" t="s">
        <v>160</v>
      </c>
    </row>
    <row r="40" customFormat="false" ht="21.75" hidden="false" customHeight="true" outlineLevel="0" collapsed="false">
      <c r="A40" s="16" t="s">
        <v>161</v>
      </c>
      <c r="B40" s="16" t="s">
        <v>162</v>
      </c>
    </row>
    <row r="41" customFormat="false" ht="15" hidden="false" customHeight="false" outlineLevel="0" collapsed="false">
      <c r="A41" s="11" t="s">
        <v>163</v>
      </c>
      <c r="B41" s="11" t="s">
        <v>164</v>
      </c>
    </row>
    <row r="42" customFormat="false" ht="15" hidden="false" customHeight="false" outlineLevel="0" collapsed="false">
      <c r="A42" s="11" t="s">
        <v>165</v>
      </c>
      <c r="B42" s="11" t="s">
        <v>164</v>
      </c>
    </row>
    <row r="43" customFormat="false" ht="15" hidden="false" customHeight="false" outlineLevel="0" collapsed="false">
      <c r="A43" s="11" t="s">
        <v>166</v>
      </c>
      <c r="B43" s="11" t="s">
        <v>167</v>
      </c>
    </row>
    <row r="44" customFormat="false" ht="15" hidden="false" customHeight="false" outlineLevel="0" collapsed="false">
      <c r="A44" s="11" t="s">
        <v>168</v>
      </c>
      <c r="B44" s="11" t="s">
        <v>167</v>
      </c>
    </row>
    <row r="45" customFormat="false" ht="15" hidden="false" customHeight="false" outlineLevel="0" collapsed="false">
      <c r="A45" s="11" t="s">
        <v>169</v>
      </c>
      <c r="B45" s="11" t="s">
        <v>167</v>
      </c>
    </row>
    <row r="46" customFormat="false" ht="15" hidden="false" customHeight="false" outlineLevel="0" collapsed="false">
      <c r="A46" s="11" t="s">
        <v>170</v>
      </c>
      <c r="B46" s="11" t="s">
        <v>167</v>
      </c>
    </row>
    <row r="47" customFormat="false" ht="15" hidden="false" customHeight="false" outlineLevel="0" collapsed="false">
      <c r="A47" s="11" t="s">
        <v>171</v>
      </c>
      <c r="B47" s="11" t="s">
        <v>172</v>
      </c>
    </row>
    <row r="48" customFormat="false" ht="15" hidden="false" customHeight="false" outlineLevel="0" collapsed="false">
      <c r="A48" s="11" t="s">
        <v>173</v>
      </c>
      <c r="B48" s="11" t="s">
        <v>172</v>
      </c>
    </row>
    <row r="49" customFormat="false" ht="15" hidden="false" customHeight="false" outlineLevel="0" collapsed="false">
      <c r="A49" s="11" t="s">
        <v>174</v>
      </c>
      <c r="B49" s="11" t="s">
        <v>172</v>
      </c>
    </row>
    <row r="50" customFormat="false" ht="15" hidden="false" customHeight="false" outlineLevel="0" collapsed="false">
      <c r="A50" s="11" t="s">
        <v>175</v>
      </c>
      <c r="B50" s="11" t="s">
        <v>172</v>
      </c>
    </row>
    <row r="51" customFormat="false" ht="15" hidden="false" customHeight="false" outlineLevel="0" collapsed="false">
      <c r="A51" s="11" t="s">
        <v>176</v>
      </c>
      <c r="B51" s="11" t="s">
        <v>172</v>
      </c>
    </row>
    <row r="52" customFormat="false" ht="15" hidden="false" customHeight="false" outlineLevel="0" collapsed="false">
      <c r="A52" s="11" t="s">
        <v>177</v>
      </c>
      <c r="B52" s="11" t="s">
        <v>172</v>
      </c>
    </row>
    <row r="53" customFormat="false" ht="15" hidden="false" customHeight="false" outlineLevel="0" collapsed="false">
      <c r="A53" s="11" t="s">
        <v>178</v>
      </c>
      <c r="B53" s="11" t="s">
        <v>172</v>
      </c>
    </row>
    <row r="54" customFormat="false" ht="15" hidden="false" customHeight="false" outlineLevel="0" collapsed="false">
      <c r="A54" s="11" t="s">
        <v>179</v>
      </c>
      <c r="B54" s="11" t="s">
        <v>180</v>
      </c>
    </row>
    <row r="55" customFormat="false" ht="15" hidden="false" customHeight="false" outlineLevel="0" collapsed="false">
      <c r="A55" s="11" t="s">
        <v>181</v>
      </c>
      <c r="B55" s="11" t="s">
        <v>180</v>
      </c>
    </row>
    <row r="56" customFormat="false" ht="15" hidden="false" customHeight="false" outlineLevel="0" collapsed="false">
      <c r="A56" s="29" t="s">
        <v>182</v>
      </c>
      <c r="B56" s="29"/>
      <c r="C56" s="29"/>
      <c r="D56" s="29"/>
    </row>
  </sheetData>
  <mergeCells count="4">
    <mergeCell ref="A29:D29"/>
    <mergeCell ref="A30:D30"/>
    <mergeCell ref="A31:D31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false"/>
  </sheetPr>
  <dimension ref="A1:BH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6" min="3" style="0" width="13"/>
    <col collapsed="false" customWidth="true" hidden="false" outlineLevel="0" max="58" min="7" style="0" width="9"/>
    <col collapsed="false" customWidth="true" hidden="false" outlineLevel="0" max="59" min="59" style="0" width="13"/>
    <col collapsed="false" customWidth="true" hidden="false" outlineLevel="0" max="60" min="60" style="0" width="50"/>
  </cols>
  <sheetData>
    <row r="1" customFormat="false" ht="30" hidden="false" customHeight="true" outlineLevel="0" collapsed="false">
      <c r="A1" s="1" t="s">
        <v>183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184</v>
      </c>
    </row>
    <row r="3" customFormat="false" ht="26.85" hidden="false" customHeight="false" outlineLevel="0" collapsed="false">
      <c r="F3" s="30" t="s">
        <v>185</v>
      </c>
      <c r="G3" s="31" t="n">
        <v>40518</v>
      </c>
      <c r="H3" s="32" t="n">
        <f aca="false">G3+7</f>
        <v>40525</v>
      </c>
      <c r="I3" s="32" t="n">
        <f aca="false">H3+7</f>
        <v>40532</v>
      </c>
      <c r="J3" s="32" t="n">
        <f aca="false">I3+7</f>
        <v>40539</v>
      </c>
      <c r="K3" s="32" t="n">
        <f aca="false">J3+7</f>
        <v>40546</v>
      </c>
      <c r="L3" s="32" t="n">
        <f aca="false">K3+7</f>
        <v>40553</v>
      </c>
      <c r="M3" s="32" t="n">
        <f aca="false">L3+7</f>
        <v>40560</v>
      </c>
      <c r="N3" s="32" t="n">
        <f aca="false">M3+7</f>
        <v>40567</v>
      </c>
      <c r="O3" s="32" t="n">
        <f aca="false">N3+7</f>
        <v>40574</v>
      </c>
      <c r="P3" s="32" t="n">
        <f aca="false">O3+7</f>
        <v>40581</v>
      </c>
      <c r="Q3" s="32" t="n">
        <f aca="false">P3+7</f>
        <v>40588</v>
      </c>
      <c r="R3" s="32" t="n">
        <f aca="false">Q3+7</f>
        <v>40595</v>
      </c>
      <c r="S3" s="32" t="n">
        <f aca="false">R3+7</f>
        <v>40602</v>
      </c>
      <c r="T3" s="32" t="n">
        <f aca="false">S3+7</f>
        <v>40609</v>
      </c>
      <c r="U3" s="32" t="n">
        <f aca="false">T3+7</f>
        <v>40616</v>
      </c>
      <c r="V3" s="32" t="n">
        <f aca="false">U3+7</f>
        <v>40623</v>
      </c>
      <c r="W3" s="32" t="n">
        <f aca="false">V3+7</f>
        <v>40630</v>
      </c>
      <c r="X3" s="32" t="n">
        <f aca="false">W3+7</f>
        <v>40637</v>
      </c>
      <c r="Y3" s="32" t="n">
        <f aca="false">X3+7</f>
        <v>40644</v>
      </c>
      <c r="Z3" s="32" t="n">
        <f aca="false">Y3+7</f>
        <v>40651</v>
      </c>
      <c r="AA3" s="32" t="n">
        <f aca="false">Z3+7</f>
        <v>40658</v>
      </c>
      <c r="AB3" s="32" t="n">
        <f aca="false">AA3+7</f>
        <v>40665</v>
      </c>
      <c r="AC3" s="32" t="n">
        <f aca="false">AB3+7</f>
        <v>40672</v>
      </c>
      <c r="AD3" s="32" t="n">
        <f aca="false">AC3+7</f>
        <v>40679</v>
      </c>
      <c r="AE3" s="32" t="n">
        <f aca="false">AD3+7</f>
        <v>40686</v>
      </c>
      <c r="AF3" s="32" t="n">
        <f aca="false">AE3+7</f>
        <v>40693</v>
      </c>
      <c r="AG3" s="32" t="n">
        <f aca="false">AF3+7</f>
        <v>40700</v>
      </c>
      <c r="AH3" s="32" t="n">
        <f aca="false">AG3+7</f>
        <v>40707</v>
      </c>
      <c r="AI3" s="32" t="n">
        <f aca="false">AH3+7</f>
        <v>40714</v>
      </c>
      <c r="AJ3" s="32" t="n">
        <f aca="false">AI3+7</f>
        <v>40721</v>
      </c>
      <c r="AK3" s="32" t="n">
        <f aca="false">AJ3+7</f>
        <v>40728</v>
      </c>
      <c r="AL3" s="32" t="n">
        <f aca="false">AK3+7</f>
        <v>40735</v>
      </c>
      <c r="AM3" s="32" t="n">
        <f aca="false">AL3+7</f>
        <v>40742</v>
      </c>
      <c r="AN3" s="32" t="n">
        <f aca="false">AM3+7</f>
        <v>40749</v>
      </c>
      <c r="AO3" s="32" t="n">
        <f aca="false">AN3+7</f>
        <v>40756</v>
      </c>
      <c r="AP3" s="32" t="n">
        <f aca="false">AO3+7</f>
        <v>40763</v>
      </c>
      <c r="AQ3" s="32" t="n">
        <f aca="false">AP3+7</f>
        <v>40770</v>
      </c>
      <c r="AR3" s="32" t="n">
        <f aca="false">AQ3+7</f>
        <v>40777</v>
      </c>
      <c r="AS3" s="32" t="n">
        <f aca="false">AR3+7</f>
        <v>40784</v>
      </c>
      <c r="AT3" s="32" t="n">
        <f aca="false">AS3+7</f>
        <v>40791</v>
      </c>
      <c r="AU3" s="32" t="n">
        <f aca="false">AT3+7</f>
        <v>40798</v>
      </c>
      <c r="AV3" s="32" t="n">
        <f aca="false">AU3+7</f>
        <v>40805</v>
      </c>
      <c r="AW3" s="32" t="n">
        <f aca="false">AV3+7</f>
        <v>40812</v>
      </c>
      <c r="AX3" s="32" t="n">
        <f aca="false">AW3+7</f>
        <v>40819</v>
      </c>
      <c r="AY3" s="32" t="n">
        <f aca="false">AX3+7</f>
        <v>40826</v>
      </c>
      <c r="AZ3" s="32" t="n">
        <f aca="false">AY3+7</f>
        <v>40833</v>
      </c>
      <c r="BA3" s="32" t="n">
        <f aca="false">AZ3+7</f>
        <v>40840</v>
      </c>
      <c r="BB3" s="32" t="n">
        <f aca="false">BA3+7</f>
        <v>40847</v>
      </c>
      <c r="BC3" s="32" t="n">
        <f aca="false">BB3+7</f>
        <v>40854</v>
      </c>
      <c r="BD3" s="32" t="n">
        <f aca="false">BC3+7</f>
        <v>40861</v>
      </c>
      <c r="BE3" s="32" t="n">
        <f aca="false">BD3+7</f>
        <v>40868</v>
      </c>
      <c r="BF3" s="32" t="n">
        <f aca="false">BE3+7</f>
        <v>40875</v>
      </c>
    </row>
    <row r="4" customFormat="false" ht="48" hidden="false" customHeight="true" outlineLevel="0" collapsed="false">
      <c r="A4" s="16" t="s">
        <v>186</v>
      </c>
      <c r="B4" s="16" t="s">
        <v>187</v>
      </c>
      <c r="C4" s="33" t="s">
        <v>188</v>
      </c>
      <c r="D4" s="33" t="s">
        <v>189</v>
      </c>
      <c r="E4" s="33" t="s">
        <v>190</v>
      </c>
      <c r="F4" s="34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  <c r="M4" s="16" t="s">
        <v>198</v>
      </c>
      <c r="N4" s="16" t="s">
        <v>199</v>
      </c>
      <c r="O4" s="16" t="s">
        <v>200</v>
      </c>
      <c r="P4" s="16" t="s">
        <v>201</v>
      </c>
      <c r="Q4" s="16" t="s">
        <v>202</v>
      </c>
      <c r="R4" s="16" t="s">
        <v>203</v>
      </c>
      <c r="S4" s="16" t="s">
        <v>204</v>
      </c>
      <c r="T4" s="16" t="s">
        <v>205</v>
      </c>
      <c r="U4" s="16" t="s">
        <v>206</v>
      </c>
      <c r="V4" s="16" t="s">
        <v>207</v>
      </c>
      <c r="W4" s="16" t="s">
        <v>208</v>
      </c>
      <c r="X4" s="16" t="s">
        <v>209</v>
      </c>
      <c r="Y4" s="16" t="s">
        <v>210</v>
      </c>
      <c r="Z4" s="16" t="s">
        <v>211</v>
      </c>
      <c r="AA4" s="16" t="s">
        <v>212</v>
      </c>
      <c r="AB4" s="16" t="s">
        <v>213</v>
      </c>
      <c r="AC4" s="16" t="s">
        <v>214</v>
      </c>
      <c r="AD4" s="16" t="s">
        <v>215</v>
      </c>
      <c r="AE4" s="16" t="s">
        <v>216</v>
      </c>
      <c r="AF4" s="16" t="s">
        <v>217</v>
      </c>
      <c r="AG4" s="16" t="s">
        <v>218</v>
      </c>
      <c r="AH4" s="16" t="s">
        <v>219</v>
      </c>
      <c r="AI4" s="16" t="s">
        <v>220</v>
      </c>
      <c r="AJ4" s="16" t="s">
        <v>221</v>
      </c>
      <c r="AK4" s="16" t="s">
        <v>222</v>
      </c>
      <c r="AL4" s="16" t="s">
        <v>223</v>
      </c>
      <c r="AM4" s="16" t="s">
        <v>224</v>
      </c>
      <c r="AN4" s="16" t="s">
        <v>225</v>
      </c>
      <c r="AO4" s="16" t="s">
        <v>226</v>
      </c>
      <c r="AP4" s="16" t="s">
        <v>227</v>
      </c>
      <c r="AQ4" s="16" t="s">
        <v>228</v>
      </c>
      <c r="AR4" s="16" t="s">
        <v>229</v>
      </c>
      <c r="AS4" s="16" t="s">
        <v>230</v>
      </c>
      <c r="AT4" s="16" t="s">
        <v>231</v>
      </c>
      <c r="AU4" s="16" t="s">
        <v>232</v>
      </c>
      <c r="AV4" s="16" t="s">
        <v>233</v>
      </c>
      <c r="AW4" s="16" t="s">
        <v>234</v>
      </c>
      <c r="AX4" s="16" t="s">
        <v>235</v>
      </c>
      <c r="AY4" s="16" t="s">
        <v>236</v>
      </c>
      <c r="AZ4" s="16" t="s">
        <v>237</v>
      </c>
      <c r="BA4" s="16" t="s">
        <v>238</v>
      </c>
      <c r="BB4" s="16" t="s">
        <v>239</v>
      </c>
      <c r="BC4" s="16" t="s">
        <v>240</v>
      </c>
      <c r="BD4" s="16" t="s">
        <v>241</v>
      </c>
      <c r="BE4" s="16" t="s">
        <v>242</v>
      </c>
      <c r="BF4" s="16" t="s">
        <v>243</v>
      </c>
      <c r="BG4" s="16" t="s">
        <v>244</v>
      </c>
    </row>
    <row r="5" customFormat="false" ht="15" hidden="false" customHeight="false" outlineLevel="0" collapsed="false">
      <c r="A5" s="35" t="s">
        <v>245</v>
      </c>
      <c r="B5" s="35" t="s">
        <v>246</v>
      </c>
      <c r="C5" s="36" t="str">
        <f aca="false">IF(A5="","",IFERROR(INDEX(Assumptions!$B$41:$B$55,MATCH(TRUE(),INDEX(ISNUMBER(SEARCH(" "&amp;Assumptions!$A$41:$A$55&amp;" "," "&amp;SUBSTITUTE(SUBSTITUTE(SUBSTITUTE(SUBSTITUTE(B5,"-"," "),","," "),"/"," "),"."," ")&amp;" ")),0),0)),"Other"))</f>
        <v>Kitchen</v>
      </c>
      <c r="D5" s="37" t="n">
        <f aca="false">IF(A5="","",BG5*(1-Assumptions!$B$18))</f>
        <v>7.65</v>
      </c>
      <c r="E5" s="38" t="n">
        <f aca="false">IF(A5="","",INDEX(Assumptions!$B$23:$B$26,MOD(VALUE(LEFT(A5,5)),4)+1))</f>
        <v>8</v>
      </c>
      <c r="F5" s="39" t="n">
        <v>743</v>
      </c>
      <c r="G5" s="40" t="n">
        <v>851</v>
      </c>
      <c r="H5" s="40" t="n">
        <v>442</v>
      </c>
      <c r="I5" s="40" t="n">
        <v>178</v>
      </c>
      <c r="J5" s="40" t="n">
        <v>0</v>
      </c>
      <c r="K5" s="40" t="n">
        <v>251</v>
      </c>
      <c r="L5" s="40" t="n">
        <v>407</v>
      </c>
      <c r="M5" s="40" t="n">
        <v>139</v>
      </c>
      <c r="N5" s="40" t="n">
        <v>231</v>
      </c>
      <c r="O5" s="40" t="n">
        <v>150</v>
      </c>
      <c r="P5" s="40" t="n">
        <v>139</v>
      </c>
      <c r="Q5" s="40" t="n">
        <v>400</v>
      </c>
      <c r="R5" s="40" t="n">
        <v>204</v>
      </c>
      <c r="S5" s="40" t="n">
        <v>349</v>
      </c>
      <c r="T5" s="40" t="n">
        <v>190</v>
      </c>
      <c r="U5" s="40" t="n">
        <v>308</v>
      </c>
      <c r="V5" s="40" t="n">
        <v>329</v>
      </c>
      <c r="W5" s="40" t="n">
        <v>334</v>
      </c>
      <c r="X5" s="40" t="n">
        <v>282</v>
      </c>
      <c r="Y5" s="40" t="n">
        <v>366</v>
      </c>
      <c r="Z5" s="40" t="n">
        <v>186</v>
      </c>
      <c r="AA5" s="40" t="n">
        <v>325</v>
      </c>
      <c r="AB5" s="40" t="n">
        <v>171</v>
      </c>
      <c r="AC5" s="40" t="n">
        <v>366</v>
      </c>
      <c r="AD5" s="40" t="n">
        <v>307</v>
      </c>
      <c r="AE5" s="40" t="n">
        <v>169</v>
      </c>
      <c r="AF5" s="40" t="n">
        <v>263</v>
      </c>
      <c r="AG5" s="40" t="n">
        <v>208</v>
      </c>
      <c r="AH5" s="40" t="n">
        <v>174</v>
      </c>
      <c r="AI5" s="40" t="n">
        <v>143</v>
      </c>
      <c r="AJ5" s="40" t="n">
        <v>85</v>
      </c>
      <c r="AK5" s="40" t="n">
        <v>131</v>
      </c>
      <c r="AL5" s="40" t="n">
        <v>292</v>
      </c>
      <c r="AM5" s="40" t="n">
        <v>341</v>
      </c>
      <c r="AN5" s="40" t="n">
        <v>342</v>
      </c>
      <c r="AO5" s="40" t="n">
        <v>180</v>
      </c>
      <c r="AP5" s="40" t="n">
        <v>178</v>
      </c>
      <c r="AQ5" s="40" t="n">
        <v>210</v>
      </c>
      <c r="AR5" s="40" t="n">
        <v>242</v>
      </c>
      <c r="AS5" s="40" t="n">
        <v>147</v>
      </c>
      <c r="AT5" s="40" t="n">
        <v>150</v>
      </c>
      <c r="AU5" s="40" t="n">
        <v>219</v>
      </c>
      <c r="AV5" s="40" t="n">
        <v>147</v>
      </c>
      <c r="AW5" s="40" t="n">
        <v>149</v>
      </c>
      <c r="AX5" s="40" t="n">
        <v>409</v>
      </c>
      <c r="AY5" s="40" t="n">
        <v>214</v>
      </c>
      <c r="AZ5" s="40" t="n">
        <v>268</v>
      </c>
      <c r="BA5" s="40" t="n">
        <v>135</v>
      </c>
      <c r="BB5" s="40" t="n">
        <v>279</v>
      </c>
      <c r="BC5" s="40" t="n">
        <v>169</v>
      </c>
      <c r="BD5" s="40" t="n">
        <v>235</v>
      </c>
      <c r="BE5" s="40" t="n">
        <v>261</v>
      </c>
      <c r="BF5" s="40" t="n">
        <v>236</v>
      </c>
      <c r="BG5" s="41" t="n">
        <v>12.75</v>
      </c>
      <c r="BH5" s="42" t="s">
        <v>247</v>
      </c>
    </row>
    <row r="6" customFormat="false" ht="15" hidden="false" customHeight="false" outlineLevel="0" collapsed="false">
      <c r="A6" s="43" t="s">
        <v>248</v>
      </c>
      <c r="B6" s="43" t="s">
        <v>249</v>
      </c>
      <c r="C6" s="44" t="str">
        <f aca="false">IF(A6="","",IFERROR(INDEX(Assumptions!$B$41:$B$55,MATCH(TRUE(),INDEX(ISNUMBER(SEARCH(" "&amp;Assumptions!$A$41:$A$55&amp;" "," "&amp;SUBSTITUTE(SUBSTITUTE(SUBSTITUTE(SUBSTITUTE(B6,"-"," "),","," "),"/"," "),"."," ")&amp;" ")),0),0)),"Other"))</f>
        <v>Lighting</v>
      </c>
      <c r="D6" s="45" t="n">
        <f aca="false">IF(A6="","",BG6*(1-Assumptions!$B$18))</f>
        <v>1.77</v>
      </c>
      <c r="E6" s="46" t="n">
        <f aca="false">IF(A6="","",INDEX(Assumptions!$B$23:$B$26,MOD(VALUE(LEFT(A6,5)),4)+1))</f>
        <v>8</v>
      </c>
      <c r="F6" s="47" t="n">
        <v>1395</v>
      </c>
      <c r="G6" s="48" t="n">
        <v>1122</v>
      </c>
      <c r="H6" s="48" t="n">
        <v>1529</v>
      </c>
      <c r="I6" s="48" t="n">
        <v>198</v>
      </c>
      <c r="J6" s="48" t="n">
        <v>0</v>
      </c>
      <c r="K6" s="48" t="n">
        <v>973</v>
      </c>
      <c r="L6" s="48" t="n">
        <v>3329</v>
      </c>
      <c r="M6" s="48" t="n">
        <v>662</v>
      </c>
      <c r="N6" s="48" t="n">
        <v>546</v>
      </c>
      <c r="O6" s="48" t="n">
        <v>588</v>
      </c>
      <c r="P6" s="48" t="n">
        <v>517</v>
      </c>
      <c r="Q6" s="48" t="n">
        <v>365</v>
      </c>
      <c r="R6" s="48" t="n">
        <v>401</v>
      </c>
      <c r="S6" s="48" t="n">
        <v>380</v>
      </c>
      <c r="T6" s="48" t="n">
        <v>454</v>
      </c>
      <c r="U6" s="48" t="n">
        <v>464</v>
      </c>
      <c r="V6" s="48" t="n">
        <v>365</v>
      </c>
      <c r="W6" s="48" t="n">
        <v>582</v>
      </c>
      <c r="X6" s="48" t="n">
        <v>374</v>
      </c>
      <c r="Y6" s="48" t="n">
        <v>474</v>
      </c>
      <c r="Z6" s="48" t="n">
        <v>2422</v>
      </c>
      <c r="AA6" s="48" t="n">
        <v>375</v>
      </c>
      <c r="AB6" s="48" t="n">
        <v>1144</v>
      </c>
      <c r="AC6" s="48" t="n">
        <v>892</v>
      </c>
      <c r="AD6" s="48" t="n">
        <v>794</v>
      </c>
      <c r="AE6" s="48" t="n">
        <v>1026</v>
      </c>
      <c r="AF6" s="48" t="n">
        <v>629</v>
      </c>
      <c r="AG6" s="48" t="n">
        <v>390</v>
      </c>
      <c r="AH6" s="48" t="n">
        <v>391</v>
      </c>
      <c r="AI6" s="48" t="n">
        <v>236</v>
      </c>
      <c r="AJ6" s="48" t="n">
        <v>258</v>
      </c>
      <c r="AK6" s="48" t="n">
        <v>264</v>
      </c>
      <c r="AL6" s="48" t="n">
        <v>1198</v>
      </c>
      <c r="AM6" s="48" t="n">
        <v>729</v>
      </c>
      <c r="AN6" s="48" t="n">
        <v>780</v>
      </c>
      <c r="AO6" s="48" t="n">
        <v>441</v>
      </c>
      <c r="AP6" s="48" t="n">
        <v>477</v>
      </c>
      <c r="AQ6" s="48" t="n">
        <v>297</v>
      </c>
      <c r="AR6" s="48" t="n">
        <v>775</v>
      </c>
      <c r="AS6" s="48" t="n">
        <v>396</v>
      </c>
      <c r="AT6" s="48" t="n">
        <v>449</v>
      </c>
      <c r="AU6" s="48" t="n">
        <v>663</v>
      </c>
      <c r="AV6" s="48" t="n">
        <v>710</v>
      </c>
      <c r="AW6" s="48" t="n">
        <v>408</v>
      </c>
      <c r="AX6" s="48" t="n">
        <v>165</v>
      </c>
      <c r="AY6" s="48" t="n">
        <v>683</v>
      </c>
      <c r="AZ6" s="48" t="n">
        <v>234</v>
      </c>
      <c r="BA6" s="48" t="n">
        <v>447</v>
      </c>
      <c r="BB6" s="48" t="n">
        <v>1707</v>
      </c>
      <c r="BC6" s="48" t="n">
        <v>594</v>
      </c>
      <c r="BD6" s="48" t="n">
        <v>1326</v>
      </c>
      <c r="BE6" s="48" t="n">
        <v>904</v>
      </c>
      <c r="BF6" s="48" t="n">
        <v>731</v>
      </c>
      <c r="BG6" s="49" t="n">
        <v>2.95</v>
      </c>
    </row>
    <row r="7" customFormat="false" ht="15" hidden="false" customHeight="false" outlineLevel="0" collapsed="false">
      <c r="A7" s="43" t="s">
        <v>250</v>
      </c>
      <c r="B7" s="43" t="s">
        <v>251</v>
      </c>
      <c r="C7" s="44" t="str">
        <f aca="false">IF(A7="","",IFERROR(INDEX(Assumptions!$B$41:$B$55,MATCH(TRUE(),INDEX(ISNUMBER(SEARCH(" "&amp;Assumptions!$A$41:$A$55&amp;" "," "&amp;SUBSTITUTE(SUBSTITUTE(SUBSTITUTE(SUBSTITUTE(B7,"-"," "),","," "),"/"," "),"."," ")&amp;" ")),0),0)),"Other"))</f>
        <v>Other</v>
      </c>
      <c r="D7" s="45" t="n">
        <f aca="false">IF(A7="","",BG7*(1-Assumptions!$B$18))</f>
        <v>2.97</v>
      </c>
      <c r="E7" s="46" t="n">
        <f aca="false">IF(A7="","",INDEX(Assumptions!$B$23:$B$26,MOD(VALUE(LEFT(A7,5)),4)+1))</f>
        <v>6</v>
      </c>
      <c r="F7" s="47" t="n">
        <v>14706</v>
      </c>
      <c r="G7" s="48" t="n">
        <v>165</v>
      </c>
      <c r="H7" s="48" t="n">
        <v>29</v>
      </c>
      <c r="I7" s="48" t="n">
        <v>24</v>
      </c>
      <c r="J7" s="48" t="n">
        <v>0</v>
      </c>
      <c r="K7" s="48" t="n">
        <v>145</v>
      </c>
      <c r="L7" s="48" t="n">
        <v>85</v>
      </c>
      <c r="M7" s="48" t="n">
        <v>69</v>
      </c>
      <c r="N7" s="48" t="n">
        <v>171</v>
      </c>
      <c r="O7" s="48" t="n">
        <v>232</v>
      </c>
      <c r="P7" s="48" t="n">
        <v>292</v>
      </c>
      <c r="Q7" s="48" t="n">
        <v>189</v>
      </c>
      <c r="R7" s="48" t="n">
        <v>157</v>
      </c>
      <c r="S7" s="48" t="n">
        <v>255</v>
      </c>
      <c r="T7" s="48" t="n">
        <v>205</v>
      </c>
      <c r="U7" s="48" t="n">
        <v>606</v>
      </c>
      <c r="V7" s="48" t="n">
        <v>325</v>
      </c>
      <c r="W7" s="48" t="n">
        <v>376</v>
      </c>
      <c r="X7" s="48" t="n">
        <v>460</v>
      </c>
      <c r="Y7" s="48" t="n">
        <v>542</v>
      </c>
      <c r="Z7" s="48" t="n">
        <v>648</v>
      </c>
      <c r="AA7" s="48" t="n">
        <v>276</v>
      </c>
      <c r="AB7" s="48" t="n">
        <v>984</v>
      </c>
      <c r="AC7" s="48" t="n">
        <v>756</v>
      </c>
      <c r="AD7" s="48" t="n">
        <v>754</v>
      </c>
      <c r="AE7" s="48" t="n">
        <v>839</v>
      </c>
      <c r="AF7" s="48" t="n">
        <v>434</v>
      </c>
      <c r="AG7" s="48" t="n">
        <v>663</v>
      </c>
      <c r="AH7" s="48" t="n">
        <v>507</v>
      </c>
      <c r="AI7" s="48" t="n">
        <v>598</v>
      </c>
      <c r="AJ7" s="48" t="n">
        <v>276</v>
      </c>
      <c r="AK7" s="48" t="n">
        <v>901</v>
      </c>
      <c r="AL7" s="48" t="n">
        <v>354</v>
      </c>
      <c r="AM7" s="48" t="n">
        <v>935</v>
      </c>
      <c r="AN7" s="48" t="n">
        <v>520</v>
      </c>
      <c r="AO7" s="48" t="n">
        <v>431</v>
      </c>
      <c r="AP7" s="48" t="n">
        <v>330</v>
      </c>
      <c r="AQ7" s="48" t="n">
        <v>402</v>
      </c>
      <c r="AR7" s="48" t="n">
        <v>471</v>
      </c>
      <c r="AS7" s="48" t="n">
        <v>207</v>
      </c>
      <c r="AT7" s="48" t="n">
        <v>300</v>
      </c>
      <c r="AU7" s="48" t="n">
        <v>334</v>
      </c>
      <c r="AV7" s="48" t="n">
        <v>158</v>
      </c>
      <c r="AW7" s="48" t="n">
        <v>209</v>
      </c>
      <c r="AX7" s="48" t="n">
        <v>183</v>
      </c>
      <c r="AY7" s="48" t="n">
        <v>106</v>
      </c>
      <c r="AZ7" s="48" t="n">
        <v>211</v>
      </c>
      <c r="BA7" s="48" t="n">
        <v>78</v>
      </c>
      <c r="BB7" s="48" t="n">
        <v>102</v>
      </c>
      <c r="BC7" s="48" t="n">
        <v>135</v>
      </c>
      <c r="BD7" s="48" t="n">
        <v>218</v>
      </c>
      <c r="BE7" s="48" t="n">
        <v>455</v>
      </c>
      <c r="BF7" s="48" t="n">
        <v>105</v>
      </c>
      <c r="BG7" s="49" t="n">
        <v>4.95</v>
      </c>
    </row>
    <row r="8" customFormat="false" ht="15" hidden="false" customHeight="false" outlineLevel="0" collapsed="false">
      <c r="A8" s="43" t="s">
        <v>252</v>
      </c>
      <c r="B8" s="43" t="s">
        <v>253</v>
      </c>
      <c r="C8" s="44" t="str">
        <f aca="false">IF(A8="","",IFERROR(INDEX(Assumptions!$B$41:$B$55,MATCH(TRUE(),INDEX(ISNUMBER(SEARCH(" "&amp;Assumptions!$A$41:$A$55&amp;" "," "&amp;SUBSTITUTE(SUBSTITUTE(SUBSTITUTE(SUBSTITUTE(B8,"-"," "),","," "),"/"," "),"."," ")&amp;" ")),0),0)),"Other"))</f>
        <v>Bags</v>
      </c>
      <c r="D8" s="45" t="n">
        <f aca="false">IF(A8="","",BG8*(1-Assumptions!$B$18))</f>
        <v>1.248</v>
      </c>
      <c r="E8" s="46" t="n">
        <f aca="false">IF(A8="","",INDEX(Assumptions!$B$23:$B$26,MOD(VALUE(LEFT(A8,5)),4)+1))</f>
        <v>8</v>
      </c>
      <c r="F8" s="47" t="n">
        <v>11833</v>
      </c>
      <c r="G8" s="48" t="n">
        <v>852</v>
      </c>
      <c r="H8" s="48" t="n">
        <v>427</v>
      </c>
      <c r="I8" s="48" t="n">
        <v>180</v>
      </c>
      <c r="J8" s="48" t="n">
        <v>0</v>
      </c>
      <c r="K8" s="48" t="n">
        <v>1374</v>
      </c>
      <c r="L8" s="48" t="n">
        <v>225</v>
      </c>
      <c r="M8" s="48" t="n">
        <v>594</v>
      </c>
      <c r="N8" s="48" t="n">
        <v>502</v>
      </c>
      <c r="O8" s="48" t="n">
        <v>965</v>
      </c>
      <c r="P8" s="48" t="n">
        <v>288</v>
      </c>
      <c r="Q8" s="48" t="n">
        <v>985</v>
      </c>
      <c r="R8" s="48" t="n">
        <v>810</v>
      </c>
      <c r="S8" s="48" t="n">
        <v>624</v>
      </c>
      <c r="T8" s="48" t="n">
        <v>738</v>
      </c>
      <c r="U8" s="48" t="n">
        <v>1546</v>
      </c>
      <c r="V8" s="48" t="n">
        <v>1379</v>
      </c>
      <c r="W8" s="48" t="n">
        <v>1103</v>
      </c>
      <c r="X8" s="48" t="n">
        <v>975</v>
      </c>
      <c r="Y8" s="48" t="n">
        <v>616</v>
      </c>
      <c r="Z8" s="48" t="n">
        <v>549</v>
      </c>
      <c r="AA8" s="48" t="n">
        <v>385</v>
      </c>
      <c r="AB8" s="48" t="n">
        <v>380</v>
      </c>
      <c r="AC8" s="48" t="n">
        <v>1206</v>
      </c>
      <c r="AD8" s="48" t="n">
        <v>978</v>
      </c>
      <c r="AE8" s="48" t="n">
        <v>933</v>
      </c>
      <c r="AF8" s="48" t="n">
        <v>273</v>
      </c>
      <c r="AG8" s="48" t="n">
        <v>883</v>
      </c>
      <c r="AH8" s="48" t="n">
        <v>959</v>
      </c>
      <c r="AI8" s="48" t="n">
        <v>841</v>
      </c>
      <c r="AJ8" s="48" t="n">
        <v>815</v>
      </c>
      <c r="AK8" s="48" t="n">
        <v>1364</v>
      </c>
      <c r="AL8" s="48" t="n">
        <v>431</v>
      </c>
      <c r="AM8" s="48" t="n">
        <v>733</v>
      </c>
      <c r="AN8" s="48" t="n">
        <v>540</v>
      </c>
      <c r="AO8" s="48" t="n">
        <v>1050</v>
      </c>
      <c r="AP8" s="48" t="n">
        <v>1373</v>
      </c>
      <c r="AQ8" s="48" t="n">
        <v>1356</v>
      </c>
      <c r="AR8" s="48" t="n">
        <v>1518</v>
      </c>
      <c r="AS8" s="48" t="n">
        <v>717</v>
      </c>
      <c r="AT8" s="48" t="n">
        <v>556</v>
      </c>
      <c r="AU8" s="48" t="n">
        <v>743</v>
      </c>
      <c r="AV8" s="48" t="n">
        <v>1667</v>
      </c>
      <c r="AW8" s="48" t="n">
        <v>929</v>
      </c>
      <c r="AX8" s="48" t="n">
        <v>2709</v>
      </c>
      <c r="AY8" s="48" t="n">
        <v>947</v>
      </c>
      <c r="AZ8" s="48" t="n">
        <v>1045</v>
      </c>
      <c r="BA8" s="48" t="n">
        <v>600</v>
      </c>
      <c r="BB8" s="48" t="n">
        <v>1063</v>
      </c>
      <c r="BC8" s="48" t="n">
        <v>2200</v>
      </c>
      <c r="BD8" s="48" t="n">
        <v>1602</v>
      </c>
      <c r="BE8" s="48" t="n">
        <v>753</v>
      </c>
      <c r="BF8" s="48" t="n">
        <v>1050</v>
      </c>
      <c r="BG8" s="49" t="n">
        <v>2.08</v>
      </c>
    </row>
    <row r="9" customFormat="false" ht="15" hidden="false" customHeight="false" outlineLevel="0" collapsed="false">
      <c r="A9" s="43" t="s">
        <v>254</v>
      </c>
      <c r="B9" s="43" t="s">
        <v>255</v>
      </c>
      <c r="C9" s="44" t="str">
        <f aca="false">IF(A9="","",IFERROR(INDEX(Assumptions!$B$41:$B$55,MATCH(TRUE(),INDEX(ISNUMBER(SEARCH(" "&amp;Assumptions!$A$41:$A$55&amp;" "," "&amp;SUBSTITUTE(SUBSTITUTE(SUBSTITUTE(SUBSTITUTE(B9,"-"," "),","," "),"/"," "),"."," ")&amp;" ")),0),0)),"Other"))</f>
        <v>Lighting</v>
      </c>
      <c r="D9" s="45" t="n">
        <f aca="false">IF(A9="","",BG9*(1-Assumptions!$B$18))</f>
        <v>1.248</v>
      </c>
      <c r="E9" s="46" t="n">
        <f aca="false">IF(A9="","",INDEX(Assumptions!$B$23:$B$26,MOD(VALUE(LEFT(A9,5)),4)+1))</f>
        <v>2</v>
      </c>
      <c r="F9" s="47" t="n">
        <v>7426</v>
      </c>
      <c r="G9" s="48" t="n">
        <v>0</v>
      </c>
      <c r="H9" s="48" t="n">
        <v>0</v>
      </c>
      <c r="I9" s="48" t="n">
        <v>0</v>
      </c>
      <c r="J9" s="48" t="n">
        <v>0</v>
      </c>
      <c r="K9" s="48" t="n">
        <v>0</v>
      </c>
      <c r="L9" s="48" t="n">
        <v>0</v>
      </c>
      <c r="M9" s="48" t="n">
        <v>0</v>
      </c>
      <c r="N9" s="48" t="n">
        <v>0</v>
      </c>
      <c r="O9" s="48" t="n">
        <v>0</v>
      </c>
      <c r="P9" s="48" t="n">
        <v>0</v>
      </c>
      <c r="Q9" s="48" t="n">
        <v>0</v>
      </c>
      <c r="R9" s="48" t="n">
        <v>0</v>
      </c>
      <c r="S9" s="48" t="n">
        <v>0</v>
      </c>
      <c r="T9" s="48" t="n">
        <v>0</v>
      </c>
      <c r="U9" s="48" t="n">
        <v>0</v>
      </c>
      <c r="V9" s="48" t="n">
        <v>0</v>
      </c>
      <c r="W9" s="48" t="n">
        <v>0</v>
      </c>
      <c r="X9" s="48" t="n">
        <v>0</v>
      </c>
      <c r="Y9" s="48" t="n">
        <v>0</v>
      </c>
      <c r="Z9" s="48" t="n">
        <v>0</v>
      </c>
      <c r="AA9" s="48" t="n">
        <v>0</v>
      </c>
      <c r="AB9" s="48" t="n">
        <v>0</v>
      </c>
      <c r="AC9" s="48" t="n">
        <v>344</v>
      </c>
      <c r="AD9" s="48" t="n">
        <v>256</v>
      </c>
      <c r="AE9" s="48" t="n">
        <v>454</v>
      </c>
      <c r="AF9" s="48" t="n">
        <v>135</v>
      </c>
      <c r="AG9" s="48" t="n">
        <v>199</v>
      </c>
      <c r="AH9" s="48" t="n">
        <v>642</v>
      </c>
      <c r="AI9" s="48" t="n">
        <v>651</v>
      </c>
      <c r="AJ9" s="48" t="n">
        <v>174</v>
      </c>
      <c r="AK9" s="48" t="n">
        <v>140</v>
      </c>
      <c r="AL9" s="48" t="n">
        <v>128</v>
      </c>
      <c r="AM9" s="48" t="n">
        <v>2</v>
      </c>
      <c r="AN9" s="48" t="n">
        <v>13</v>
      </c>
      <c r="AO9" s="48" t="n">
        <v>6</v>
      </c>
      <c r="AP9" s="48" t="n">
        <v>10</v>
      </c>
      <c r="AQ9" s="48" t="n">
        <v>1</v>
      </c>
      <c r="AR9" s="48" t="n">
        <v>768</v>
      </c>
      <c r="AS9" s="48" t="n">
        <v>1161</v>
      </c>
      <c r="AT9" s="48" t="n">
        <v>10</v>
      </c>
      <c r="AU9" s="48" t="n">
        <v>13</v>
      </c>
      <c r="AV9" s="48" t="n">
        <v>35</v>
      </c>
      <c r="AW9" s="48" t="n">
        <v>58</v>
      </c>
      <c r="AX9" s="48" t="n">
        <v>373</v>
      </c>
      <c r="AY9" s="48" t="n">
        <v>3</v>
      </c>
      <c r="AZ9" s="48" t="n">
        <v>14</v>
      </c>
      <c r="BA9" s="48" t="n">
        <v>5593</v>
      </c>
      <c r="BB9" s="48" t="n">
        <v>2672</v>
      </c>
      <c r="BC9" s="48" t="n">
        <v>2646</v>
      </c>
      <c r="BD9" s="48" t="n">
        <v>4279</v>
      </c>
      <c r="BE9" s="48" t="n">
        <v>2343</v>
      </c>
      <c r="BF9" s="48" t="n">
        <v>4460</v>
      </c>
      <c r="BG9" s="49" t="n">
        <v>2.08</v>
      </c>
    </row>
    <row r="10" customFormat="false" ht="15" hidden="false" customHeight="false" outlineLevel="0" collapsed="false">
      <c r="A10" s="43" t="s">
        <v>256</v>
      </c>
      <c r="B10" s="43" t="s">
        <v>257</v>
      </c>
      <c r="C10" s="44" t="str">
        <f aca="false">IF(A10="","",IFERROR(INDEX(Assumptions!$B$41:$B$55,MATCH(TRUE(),INDEX(ISNUMBER(SEARCH(" "&amp;Assumptions!$A$41:$A$55&amp;" "," "&amp;SUBSTITUTE(SUBSTITUTE(SUBSTITUTE(SUBSTITUTE(B10,"-"," "),","," "),"/"," "),"."," ")&amp;" ")),0),0)),"Other"))</f>
        <v>Other</v>
      </c>
      <c r="D10" s="45" t="n">
        <f aca="false">IF(A10="","",BG10*(1-Assumptions!$B$18))</f>
        <v>1.77</v>
      </c>
      <c r="E10" s="46" t="n">
        <f aca="false">IF(A10="","",INDEX(Assumptions!$B$23:$B$26,MOD(VALUE(LEFT(A10,5)),4)+1))</f>
        <v>6</v>
      </c>
      <c r="F10" s="47" t="n">
        <v>3304</v>
      </c>
      <c r="G10" s="48" t="n">
        <v>1055</v>
      </c>
      <c r="H10" s="48" t="n">
        <v>597</v>
      </c>
      <c r="I10" s="48" t="n">
        <v>125</v>
      </c>
      <c r="J10" s="48" t="n">
        <v>0</v>
      </c>
      <c r="K10" s="48" t="n">
        <v>16</v>
      </c>
      <c r="L10" s="48" t="n">
        <v>6</v>
      </c>
      <c r="M10" s="48" t="n">
        <v>2</v>
      </c>
      <c r="N10" s="48" t="n">
        <v>0</v>
      </c>
      <c r="O10" s="48" t="n">
        <v>0</v>
      </c>
      <c r="P10" s="48" t="n">
        <v>0</v>
      </c>
      <c r="Q10" s="48" t="n">
        <v>2</v>
      </c>
      <c r="R10" s="48" t="n">
        <v>2</v>
      </c>
      <c r="S10" s="48" t="n">
        <v>45</v>
      </c>
      <c r="T10" s="48" t="n">
        <v>1</v>
      </c>
      <c r="U10" s="48" t="n">
        <v>0</v>
      </c>
      <c r="V10" s="48" t="n">
        <v>42</v>
      </c>
      <c r="W10" s="48" t="n">
        <v>3</v>
      </c>
      <c r="X10" s="48" t="n">
        <v>9</v>
      </c>
      <c r="Y10" s="48" t="n">
        <v>0</v>
      </c>
      <c r="Z10" s="48" t="n">
        <v>1</v>
      </c>
      <c r="AA10" s="48" t="n">
        <v>0</v>
      </c>
      <c r="AB10" s="48" t="n">
        <v>4</v>
      </c>
      <c r="AC10" s="48" t="n">
        <v>13</v>
      </c>
      <c r="AD10" s="48" t="n">
        <v>0</v>
      </c>
      <c r="AE10" s="48" t="n">
        <v>0</v>
      </c>
      <c r="AF10" s="48" t="n">
        <v>0</v>
      </c>
      <c r="AG10" s="48" t="n">
        <v>2</v>
      </c>
      <c r="AH10" s="48" t="n">
        <v>1</v>
      </c>
      <c r="AI10" s="48" t="n">
        <v>6</v>
      </c>
      <c r="AJ10" s="48" t="n">
        <v>365</v>
      </c>
      <c r="AK10" s="48" t="n">
        <v>18</v>
      </c>
      <c r="AL10" s="48" t="n">
        <v>16</v>
      </c>
      <c r="AM10" s="48" t="n">
        <v>32</v>
      </c>
      <c r="AN10" s="48" t="n">
        <v>287</v>
      </c>
      <c r="AO10" s="48" t="n">
        <v>281</v>
      </c>
      <c r="AP10" s="48" t="n">
        <v>22</v>
      </c>
      <c r="AQ10" s="48" t="n">
        <v>36</v>
      </c>
      <c r="AR10" s="48" t="n">
        <v>28</v>
      </c>
      <c r="AS10" s="48" t="n">
        <v>192</v>
      </c>
      <c r="AT10" s="48" t="n">
        <v>495</v>
      </c>
      <c r="AU10" s="48" t="n">
        <v>601</v>
      </c>
      <c r="AV10" s="48" t="n">
        <v>602</v>
      </c>
      <c r="AW10" s="48" t="n">
        <v>359</v>
      </c>
      <c r="AX10" s="48" t="n">
        <v>977</v>
      </c>
      <c r="AY10" s="48" t="n">
        <v>819</v>
      </c>
      <c r="AZ10" s="48" t="n">
        <v>756</v>
      </c>
      <c r="BA10" s="48" t="n">
        <v>764</v>
      </c>
      <c r="BB10" s="48" t="n">
        <v>1745</v>
      </c>
      <c r="BC10" s="48" t="n">
        <v>1436</v>
      </c>
      <c r="BD10" s="48" t="n">
        <v>2161</v>
      </c>
      <c r="BE10" s="48" t="n">
        <v>1692</v>
      </c>
      <c r="BF10" s="48" t="n">
        <v>1564</v>
      </c>
      <c r="BG10" s="49" t="n">
        <v>2.95</v>
      </c>
    </row>
    <row r="11" customFormat="false" ht="15" hidden="false" customHeight="false" outlineLevel="0" collapsed="false">
      <c r="A11" s="43" t="s">
        <v>258</v>
      </c>
      <c r="B11" s="43" t="s">
        <v>259</v>
      </c>
      <c r="C11" s="44" t="str">
        <f aca="false">IF(A11="","",IFERROR(INDEX(Assumptions!$B$41:$B$55,MATCH(TRUE(),INDEX(ISNUMBER(SEARCH(" "&amp;Assumptions!$A$41:$A$55&amp;" "," "&amp;SUBSTITUTE(SUBSTITUTE(SUBSTITUTE(SUBSTITUTE(B11,"-"," "),","," "),"/"," "),"."," ")&amp;" ")),0),0)),"Other"))</f>
        <v>Other</v>
      </c>
      <c r="D11" s="45" t="n">
        <f aca="false">IF(A11="","",BG11*(1-Assumptions!$B$18))</f>
        <v>1.014</v>
      </c>
      <c r="E11" s="46" t="n">
        <f aca="false">IF(A11="","",INDEX(Assumptions!$B$23:$B$26,MOD(VALUE(LEFT(A11,5)),4)+1))</f>
        <v>8</v>
      </c>
      <c r="F11" s="47" t="n">
        <v>33543</v>
      </c>
      <c r="G11" s="48" t="n">
        <v>789</v>
      </c>
      <c r="H11" s="48" t="n">
        <v>638</v>
      </c>
      <c r="I11" s="48" t="n">
        <v>40</v>
      </c>
      <c r="J11" s="48" t="n">
        <v>0</v>
      </c>
      <c r="K11" s="48" t="n">
        <v>480</v>
      </c>
      <c r="L11" s="48" t="n">
        <v>442</v>
      </c>
      <c r="M11" s="48" t="n">
        <v>139</v>
      </c>
      <c r="N11" s="48" t="n">
        <v>344</v>
      </c>
      <c r="O11" s="48" t="n">
        <v>937</v>
      </c>
      <c r="P11" s="48" t="n">
        <v>160</v>
      </c>
      <c r="Q11" s="48" t="n">
        <v>588</v>
      </c>
      <c r="R11" s="48" t="n">
        <v>328</v>
      </c>
      <c r="S11" s="48" t="n">
        <v>213</v>
      </c>
      <c r="T11" s="48" t="n">
        <v>642</v>
      </c>
      <c r="U11" s="48" t="n">
        <v>968</v>
      </c>
      <c r="V11" s="48" t="n">
        <v>391</v>
      </c>
      <c r="W11" s="48" t="n">
        <v>585</v>
      </c>
      <c r="X11" s="48" t="n">
        <v>753</v>
      </c>
      <c r="Y11" s="48" t="n">
        <v>815</v>
      </c>
      <c r="Z11" s="48" t="n">
        <v>612</v>
      </c>
      <c r="AA11" s="48" t="n">
        <v>264</v>
      </c>
      <c r="AB11" s="48" t="n">
        <v>594</v>
      </c>
      <c r="AC11" s="48" t="n">
        <v>1201</v>
      </c>
      <c r="AD11" s="48" t="n">
        <v>595</v>
      </c>
      <c r="AE11" s="48" t="n">
        <v>565</v>
      </c>
      <c r="AF11" s="48" t="n">
        <v>384</v>
      </c>
      <c r="AG11" s="48" t="n">
        <v>292</v>
      </c>
      <c r="AH11" s="48" t="n">
        <v>446</v>
      </c>
      <c r="AI11" s="48" t="n">
        <v>270</v>
      </c>
      <c r="AJ11" s="48" t="n">
        <v>292</v>
      </c>
      <c r="AK11" s="48" t="n">
        <v>460</v>
      </c>
      <c r="AL11" s="48" t="n">
        <v>372</v>
      </c>
      <c r="AM11" s="48" t="n">
        <v>519</v>
      </c>
      <c r="AN11" s="48" t="n">
        <v>478</v>
      </c>
      <c r="AO11" s="48" t="n">
        <v>3800</v>
      </c>
      <c r="AP11" s="48" t="n">
        <v>1323</v>
      </c>
      <c r="AQ11" s="48" t="n">
        <v>556</v>
      </c>
      <c r="AR11" s="48" t="n">
        <v>850</v>
      </c>
      <c r="AS11" s="48" t="n">
        <v>216</v>
      </c>
      <c r="AT11" s="48" t="n">
        <v>488</v>
      </c>
      <c r="AU11" s="48" t="n">
        <v>908</v>
      </c>
      <c r="AV11" s="48" t="n">
        <v>701</v>
      </c>
      <c r="AW11" s="48" t="n">
        <v>799</v>
      </c>
      <c r="AX11" s="48" t="n">
        <v>589</v>
      </c>
      <c r="AY11" s="48" t="n">
        <v>420</v>
      </c>
      <c r="AZ11" s="48" t="n">
        <v>829</v>
      </c>
      <c r="BA11" s="48" t="n">
        <v>778</v>
      </c>
      <c r="BB11" s="48" t="n">
        <v>968</v>
      </c>
      <c r="BC11" s="48" t="n">
        <v>1748</v>
      </c>
      <c r="BD11" s="48" t="n">
        <v>1326</v>
      </c>
      <c r="BE11" s="48" t="n">
        <v>1037</v>
      </c>
      <c r="BF11" s="48" t="n">
        <v>953</v>
      </c>
      <c r="BG11" s="49" t="n">
        <v>1.69</v>
      </c>
    </row>
    <row r="12" customFormat="false" ht="15" hidden="false" customHeight="false" outlineLevel="0" collapsed="false">
      <c r="A12" s="43" t="s">
        <v>260</v>
      </c>
      <c r="B12" s="43" t="s">
        <v>261</v>
      </c>
      <c r="C12" s="44" t="str">
        <f aca="false">IF(A12="","",IFERROR(INDEX(Assumptions!$B$41:$B$55,MATCH(TRUE(),INDEX(ISNUMBER(SEARCH(" "&amp;Assumptions!$A$41:$A$55&amp;" "," "&amp;SUBSTITUTE(SUBSTITUTE(SUBSTITUTE(SUBSTITUTE(B12,"-"," "),","," "),"/"," "),"."," ")&amp;" ")),0),0)),"Other"))</f>
        <v>Other</v>
      </c>
      <c r="D12" s="45" t="n">
        <f aca="false">IF(A12="","",BG12*(1-Assumptions!$B$18))</f>
        <v>3.57</v>
      </c>
      <c r="E12" s="46" t="n">
        <f aca="false">IF(A12="","",INDEX(Assumptions!$B$23:$B$26,MOD(VALUE(LEFT(A12,5)),4)+1))</f>
        <v>6</v>
      </c>
      <c r="F12" s="47" t="n">
        <v>468</v>
      </c>
      <c r="G12" s="48" t="n">
        <v>40</v>
      </c>
      <c r="H12" s="48" t="n">
        <v>59</v>
      </c>
      <c r="I12" s="48" t="n">
        <v>10</v>
      </c>
      <c r="J12" s="48" t="n">
        <v>0</v>
      </c>
      <c r="K12" s="48" t="n">
        <v>12</v>
      </c>
      <c r="L12" s="48" t="n">
        <v>27</v>
      </c>
      <c r="M12" s="48" t="n">
        <v>28</v>
      </c>
      <c r="N12" s="48" t="n">
        <v>153</v>
      </c>
      <c r="O12" s="48" t="n">
        <v>46</v>
      </c>
      <c r="P12" s="48" t="n">
        <v>24</v>
      </c>
      <c r="Q12" s="48" t="n">
        <v>48</v>
      </c>
      <c r="R12" s="48" t="n">
        <v>72</v>
      </c>
      <c r="S12" s="48" t="n">
        <v>45</v>
      </c>
      <c r="T12" s="48" t="n">
        <v>138</v>
      </c>
      <c r="U12" s="48" t="n">
        <v>27</v>
      </c>
      <c r="V12" s="48" t="n">
        <v>59</v>
      </c>
      <c r="W12" s="48" t="n">
        <v>51</v>
      </c>
      <c r="X12" s="48" t="n">
        <v>64</v>
      </c>
      <c r="Y12" s="48" t="n">
        <v>96</v>
      </c>
      <c r="Z12" s="48" t="n">
        <v>54</v>
      </c>
      <c r="AA12" s="48" t="n">
        <v>47</v>
      </c>
      <c r="AB12" s="48" t="n">
        <v>160</v>
      </c>
      <c r="AC12" s="48" t="n">
        <v>214</v>
      </c>
      <c r="AD12" s="48" t="n">
        <v>94</v>
      </c>
      <c r="AE12" s="48" t="n">
        <v>28</v>
      </c>
      <c r="AF12" s="48" t="n">
        <v>25</v>
      </c>
      <c r="AG12" s="48" t="n">
        <v>155</v>
      </c>
      <c r="AH12" s="48" t="n">
        <v>8</v>
      </c>
      <c r="AI12" s="48" t="n">
        <v>10</v>
      </c>
      <c r="AJ12" s="48" t="n">
        <v>1</v>
      </c>
      <c r="AK12" s="48" t="n">
        <v>17</v>
      </c>
      <c r="AL12" s="48" t="n">
        <v>4</v>
      </c>
      <c r="AM12" s="48" t="n">
        <v>14</v>
      </c>
      <c r="AN12" s="48" t="n">
        <v>7</v>
      </c>
      <c r="AO12" s="48" t="n">
        <v>10</v>
      </c>
      <c r="AP12" s="48" t="n">
        <v>9</v>
      </c>
      <c r="AQ12" s="48" t="n">
        <v>7</v>
      </c>
      <c r="AR12" s="48" t="n">
        <v>2</v>
      </c>
      <c r="AS12" s="48" t="n">
        <v>5</v>
      </c>
      <c r="AT12" s="48" t="n">
        <v>0</v>
      </c>
      <c r="AU12" s="48" t="n">
        <v>2</v>
      </c>
      <c r="AV12" s="48" t="n">
        <v>1</v>
      </c>
      <c r="AW12" s="48" t="n">
        <v>0</v>
      </c>
      <c r="AX12" s="48" t="n">
        <v>0</v>
      </c>
      <c r="AY12" s="48" t="n">
        <v>0</v>
      </c>
      <c r="AZ12" s="48" t="n">
        <v>0</v>
      </c>
      <c r="BA12" s="48" t="n">
        <v>0</v>
      </c>
      <c r="BB12" s="48" t="n">
        <v>0</v>
      </c>
      <c r="BC12" s="48" t="n">
        <v>0</v>
      </c>
      <c r="BD12" s="48" t="n">
        <v>0</v>
      </c>
      <c r="BE12" s="48" t="n">
        <v>0</v>
      </c>
      <c r="BF12" s="48" t="n">
        <v>0</v>
      </c>
      <c r="BG12" s="49" t="n">
        <v>5.95</v>
      </c>
    </row>
    <row r="13" customFormat="false" ht="15" hidden="false" customHeight="false" outlineLevel="0" collapsed="false">
      <c r="A13" s="43" t="s">
        <v>262</v>
      </c>
      <c r="B13" s="43" t="s">
        <v>263</v>
      </c>
      <c r="C13" s="44" t="str">
        <f aca="false">IF(A13="","",IFERROR(INDEX(Assumptions!$B$41:$B$55,MATCH(TRUE(),INDEX(ISNUMBER(SEARCH(" "&amp;Assumptions!$A$41:$A$55&amp;" "," "&amp;SUBSTITUTE(SUBSTITUTE(SUBSTITUTE(SUBSTITUTE(B13,"-"," "),","," "),"/"," "),"."," ")&amp;" ")),0),0)),"Other"))</f>
        <v>Lighting</v>
      </c>
      <c r="D13" s="45" t="n">
        <f aca="false">IF(A13="","",BG13*(1-Assumptions!$B$18))</f>
        <v>3.45</v>
      </c>
      <c r="E13" s="46" t="n">
        <f aca="false">IF(A13="","",INDEX(Assumptions!$B$23:$B$26,MOD(VALUE(LEFT(A13,5)),4)+1))</f>
        <v>4</v>
      </c>
      <c r="F13" s="47" t="n">
        <v>2900</v>
      </c>
      <c r="G13" s="48" t="n">
        <v>337</v>
      </c>
      <c r="H13" s="48" t="n">
        <v>589</v>
      </c>
      <c r="I13" s="48" t="n">
        <v>60</v>
      </c>
      <c r="J13" s="48" t="n">
        <v>0</v>
      </c>
      <c r="K13" s="48" t="n">
        <v>933</v>
      </c>
      <c r="L13" s="48" t="n">
        <v>175</v>
      </c>
      <c r="M13" s="48" t="n">
        <v>165</v>
      </c>
      <c r="N13" s="48" t="n">
        <v>105</v>
      </c>
      <c r="O13" s="48" t="n">
        <v>99</v>
      </c>
      <c r="P13" s="48" t="n">
        <v>192</v>
      </c>
      <c r="Q13" s="48" t="n">
        <v>305</v>
      </c>
      <c r="R13" s="48" t="n">
        <v>75</v>
      </c>
      <c r="S13" s="48" t="n">
        <v>39</v>
      </c>
      <c r="T13" s="48" t="n">
        <v>270</v>
      </c>
      <c r="U13" s="48" t="n">
        <v>108</v>
      </c>
      <c r="V13" s="48" t="n">
        <v>22</v>
      </c>
      <c r="W13" s="48" t="n">
        <v>85</v>
      </c>
      <c r="X13" s="48" t="n">
        <v>14</v>
      </c>
      <c r="Y13" s="48" t="n">
        <v>5</v>
      </c>
      <c r="Z13" s="48" t="n">
        <v>4</v>
      </c>
      <c r="AA13" s="48" t="n">
        <v>5</v>
      </c>
      <c r="AB13" s="48" t="n">
        <v>109</v>
      </c>
      <c r="AC13" s="48" t="n">
        <v>187</v>
      </c>
      <c r="AD13" s="48" t="n">
        <v>44</v>
      </c>
      <c r="AE13" s="48" t="n">
        <v>72</v>
      </c>
      <c r="AF13" s="48" t="n">
        <v>27</v>
      </c>
      <c r="AG13" s="48" t="n">
        <v>95</v>
      </c>
      <c r="AH13" s="48" t="n">
        <v>113</v>
      </c>
      <c r="AI13" s="48" t="n">
        <v>60</v>
      </c>
      <c r="AJ13" s="48" t="n">
        <v>113</v>
      </c>
      <c r="AK13" s="48" t="n">
        <v>23</v>
      </c>
      <c r="AL13" s="48" t="n">
        <v>33</v>
      </c>
      <c r="AM13" s="48" t="n">
        <v>133</v>
      </c>
      <c r="AN13" s="48" t="n">
        <v>651</v>
      </c>
      <c r="AO13" s="48" t="n">
        <v>87</v>
      </c>
      <c r="AP13" s="48" t="n">
        <v>135</v>
      </c>
      <c r="AQ13" s="48" t="n">
        <v>62</v>
      </c>
      <c r="AR13" s="48" t="n">
        <v>110</v>
      </c>
      <c r="AS13" s="48" t="n">
        <v>210</v>
      </c>
      <c r="AT13" s="48" t="n">
        <v>71</v>
      </c>
      <c r="AU13" s="48" t="n">
        <v>262</v>
      </c>
      <c r="AV13" s="48" t="n">
        <v>28</v>
      </c>
      <c r="AW13" s="48" t="n">
        <v>162</v>
      </c>
      <c r="AX13" s="48" t="n">
        <v>51</v>
      </c>
      <c r="AY13" s="48" t="n">
        <v>150</v>
      </c>
      <c r="AZ13" s="48" t="n">
        <v>109</v>
      </c>
      <c r="BA13" s="48" t="n">
        <v>431</v>
      </c>
      <c r="BB13" s="48" t="n">
        <v>166</v>
      </c>
      <c r="BC13" s="48" t="n">
        <v>482</v>
      </c>
      <c r="BD13" s="48" t="n">
        <v>389</v>
      </c>
      <c r="BE13" s="48" t="n">
        <v>959</v>
      </c>
      <c r="BF13" s="48" t="n">
        <v>314</v>
      </c>
      <c r="BG13" s="49" t="n">
        <v>5.75</v>
      </c>
    </row>
    <row r="14" customFormat="false" ht="15" hidden="false" customHeight="false" outlineLevel="0" collapsed="false">
      <c r="A14" s="43" t="s">
        <v>264</v>
      </c>
      <c r="B14" s="43" t="s">
        <v>265</v>
      </c>
      <c r="C14" s="44" t="str">
        <f aca="false">IF(A14="","",IFERROR(INDEX(Assumptions!$B$41:$B$55,MATCH(TRUE(),INDEX(ISNUMBER(SEARCH(" "&amp;Assumptions!$A$41:$A$55&amp;" "," "&amp;SUBSTITUTE(SUBSTITUTE(SUBSTITUTE(SUBSTITUTE(B14,"-"," "),","," "),"/"," "),"."," ")&amp;" ")),0),0)),"Other"))</f>
        <v>Other</v>
      </c>
      <c r="D14" s="45" t="n">
        <f aca="false">IF(A14="","",BG14*(1-Assumptions!$B$18))</f>
        <v>0.51</v>
      </c>
      <c r="E14" s="46" t="n">
        <f aca="false">IF(A14="","",INDEX(Assumptions!$B$23:$B$26,MOD(VALUE(LEFT(A14,5)),4)+1))</f>
        <v>4</v>
      </c>
      <c r="F14" s="47" t="n">
        <v>5997</v>
      </c>
      <c r="G14" s="48" t="n">
        <v>1012</v>
      </c>
      <c r="H14" s="48" t="n">
        <v>981</v>
      </c>
      <c r="I14" s="48" t="n">
        <v>252</v>
      </c>
      <c r="J14" s="48" t="n">
        <v>0</v>
      </c>
      <c r="K14" s="48" t="n">
        <v>807</v>
      </c>
      <c r="L14" s="48" t="n">
        <v>344</v>
      </c>
      <c r="M14" s="48" t="n">
        <v>261</v>
      </c>
      <c r="N14" s="48" t="n">
        <v>351</v>
      </c>
      <c r="O14" s="48" t="n">
        <v>107</v>
      </c>
      <c r="P14" s="48" t="n">
        <v>239</v>
      </c>
      <c r="Q14" s="48" t="n">
        <v>1040</v>
      </c>
      <c r="R14" s="48" t="n">
        <v>1312</v>
      </c>
      <c r="S14" s="48" t="n">
        <v>370</v>
      </c>
      <c r="T14" s="48" t="n">
        <v>779</v>
      </c>
      <c r="U14" s="48" t="n">
        <v>583</v>
      </c>
      <c r="V14" s="48" t="n">
        <v>237</v>
      </c>
      <c r="W14" s="48" t="n">
        <v>1042</v>
      </c>
      <c r="X14" s="48" t="n">
        <v>564</v>
      </c>
      <c r="Y14" s="48" t="n">
        <v>784</v>
      </c>
      <c r="Z14" s="48" t="n">
        <v>232</v>
      </c>
      <c r="AA14" s="48" t="n">
        <v>310</v>
      </c>
      <c r="AB14" s="48" t="n">
        <v>372</v>
      </c>
      <c r="AC14" s="48" t="n">
        <v>381</v>
      </c>
      <c r="AD14" s="48" t="n">
        <v>1300</v>
      </c>
      <c r="AE14" s="48" t="n">
        <v>4562</v>
      </c>
      <c r="AF14" s="48" t="n">
        <v>533</v>
      </c>
      <c r="AG14" s="48" t="n">
        <v>410</v>
      </c>
      <c r="AH14" s="48" t="n">
        <v>437</v>
      </c>
      <c r="AI14" s="48" t="n">
        <v>345</v>
      </c>
      <c r="AJ14" s="48" t="n">
        <v>430</v>
      </c>
      <c r="AK14" s="48" t="n">
        <v>636</v>
      </c>
      <c r="AL14" s="48" t="n">
        <v>157</v>
      </c>
      <c r="AM14" s="48" t="n">
        <v>621</v>
      </c>
      <c r="AN14" s="48" t="n">
        <v>436</v>
      </c>
      <c r="AO14" s="48" t="n">
        <v>2178</v>
      </c>
      <c r="AP14" s="48" t="n">
        <v>1735</v>
      </c>
      <c r="AQ14" s="48" t="n">
        <v>518</v>
      </c>
      <c r="AR14" s="48" t="n">
        <v>826</v>
      </c>
      <c r="AS14" s="48" t="n">
        <v>956</v>
      </c>
      <c r="AT14" s="48" t="n">
        <v>516</v>
      </c>
      <c r="AU14" s="48" t="n">
        <v>570</v>
      </c>
      <c r="AV14" s="48" t="n">
        <v>682</v>
      </c>
      <c r="AW14" s="48" t="n">
        <v>1675</v>
      </c>
      <c r="AX14" s="48" t="n">
        <v>835</v>
      </c>
      <c r="AY14" s="48" t="n">
        <v>884</v>
      </c>
      <c r="AZ14" s="48" t="n">
        <v>1164</v>
      </c>
      <c r="BA14" s="48" t="n">
        <v>2775</v>
      </c>
      <c r="BB14" s="48" t="n">
        <v>1156</v>
      </c>
      <c r="BC14" s="48" t="n">
        <v>3900</v>
      </c>
      <c r="BD14" s="48" t="n">
        <v>3145</v>
      </c>
      <c r="BE14" s="48" t="n">
        <v>2955</v>
      </c>
      <c r="BF14" s="48" t="n">
        <v>3275</v>
      </c>
      <c r="BG14" s="49" t="n">
        <v>0.85</v>
      </c>
    </row>
    <row r="15" customFormat="false" ht="15" hidden="false" customHeight="false" outlineLevel="0" collapsed="false">
      <c r="A15" s="43" t="s">
        <v>266</v>
      </c>
      <c r="B15" s="43" t="s">
        <v>267</v>
      </c>
      <c r="C15" s="44" t="str">
        <f aca="false">IF(A15="","",IFERROR(INDEX(Assumptions!$B$41:$B$55,MATCH(TRUE(),INDEX(ISNUMBER(SEARCH(" "&amp;Assumptions!$A$41:$A$55&amp;" "," "&amp;SUBSTITUTE(SUBSTITUTE(SUBSTITUTE(SUBSTITUTE(B15,"-"," "),","," "),"/"," "),"."," ")&amp;" ")),0),0)),"Other"))</f>
        <v>Other</v>
      </c>
      <c r="D15" s="45" t="n">
        <f aca="false">IF(A15="","",BG15*(1-Assumptions!$B$18))</f>
        <v>2.97</v>
      </c>
      <c r="E15" s="46" t="n">
        <f aca="false">IF(A15="","",INDEX(Assumptions!$B$23:$B$26,MOD(VALUE(LEFT(A15,5)),4)+1))</f>
        <v>6</v>
      </c>
      <c r="F15" s="47" t="n">
        <v>4189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L15" s="48" t="n">
        <v>0</v>
      </c>
      <c r="M15" s="48" t="n">
        <v>0</v>
      </c>
      <c r="N15" s="48" t="n">
        <v>0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0</v>
      </c>
      <c r="T15" s="48" t="n">
        <v>0</v>
      </c>
      <c r="U15" s="48" t="n">
        <v>0</v>
      </c>
      <c r="V15" s="48" t="n">
        <v>0</v>
      </c>
      <c r="W15" s="48" t="n">
        <v>0</v>
      </c>
      <c r="X15" s="48" t="n">
        <v>0</v>
      </c>
      <c r="Y15" s="48" t="n">
        <v>0</v>
      </c>
      <c r="Z15" s="48" t="n">
        <v>0</v>
      </c>
      <c r="AA15" s="48" t="n">
        <v>0</v>
      </c>
      <c r="AB15" s="48" t="n">
        <v>378</v>
      </c>
      <c r="AC15" s="48" t="n">
        <v>464</v>
      </c>
      <c r="AD15" s="48" t="n">
        <v>602</v>
      </c>
      <c r="AE15" s="48" t="n">
        <v>220</v>
      </c>
      <c r="AF15" s="48" t="n">
        <v>273</v>
      </c>
      <c r="AG15" s="48" t="n">
        <v>310</v>
      </c>
      <c r="AH15" s="48" t="n">
        <v>328</v>
      </c>
      <c r="AI15" s="48" t="n">
        <v>220</v>
      </c>
      <c r="AJ15" s="48" t="n">
        <v>195</v>
      </c>
      <c r="AK15" s="48" t="n">
        <v>383</v>
      </c>
      <c r="AL15" s="48" t="n">
        <v>229</v>
      </c>
      <c r="AM15" s="48" t="n">
        <v>662</v>
      </c>
      <c r="AN15" s="48" t="n">
        <v>161</v>
      </c>
      <c r="AO15" s="48" t="n">
        <v>251</v>
      </c>
      <c r="AP15" s="48" t="n">
        <v>249</v>
      </c>
      <c r="AQ15" s="48" t="n">
        <v>539</v>
      </c>
      <c r="AR15" s="48" t="n">
        <v>397</v>
      </c>
      <c r="AS15" s="48" t="n">
        <v>164</v>
      </c>
      <c r="AT15" s="48" t="n">
        <v>139</v>
      </c>
      <c r="AU15" s="48" t="n">
        <v>127</v>
      </c>
      <c r="AV15" s="48" t="n">
        <v>314</v>
      </c>
      <c r="AW15" s="48" t="n">
        <v>313</v>
      </c>
      <c r="AX15" s="48" t="n">
        <v>173</v>
      </c>
      <c r="AY15" s="48" t="n">
        <v>153</v>
      </c>
      <c r="AZ15" s="48" t="n">
        <v>106</v>
      </c>
      <c r="BA15" s="48" t="n">
        <v>89</v>
      </c>
      <c r="BB15" s="48" t="n">
        <v>103</v>
      </c>
      <c r="BC15" s="48" t="n">
        <v>129</v>
      </c>
      <c r="BD15" s="48" t="n">
        <v>136</v>
      </c>
      <c r="BE15" s="48" t="n">
        <v>458</v>
      </c>
      <c r="BF15" s="48" t="n">
        <v>112</v>
      </c>
      <c r="BG15" s="49" t="n">
        <v>4.95</v>
      </c>
    </row>
    <row r="16" customFormat="false" ht="15" hidden="false" customHeight="false" outlineLevel="0" collapsed="false">
      <c r="A16" s="43" t="s">
        <v>268</v>
      </c>
      <c r="B16" s="43" t="s">
        <v>269</v>
      </c>
      <c r="C16" s="44" t="str">
        <f aca="false">IF(A16="","",IFERROR(INDEX(Assumptions!$B$41:$B$55,MATCH(TRUE(),INDEX(ISNUMBER(SEARCH(" "&amp;Assumptions!$A$41:$A$55&amp;" "," "&amp;SUBSTITUTE(SUBSTITUTE(SUBSTITUTE(SUBSTITUTE(B16,"-"," "),","," "),"/"," "),"."," ")&amp;" ")),0),0)),"Other"))</f>
        <v>Bags</v>
      </c>
      <c r="D16" s="45" t="n">
        <f aca="false">IF(A16="","",BG16*(1-Assumptions!$B$18))</f>
        <v>1.248</v>
      </c>
      <c r="E16" s="46" t="n">
        <f aca="false">IF(A16="","",INDEX(Assumptions!$B$23:$B$26,MOD(VALUE(LEFT(A16,5)),4)+1))</f>
        <v>6</v>
      </c>
      <c r="F16" s="47" t="n">
        <v>4088</v>
      </c>
      <c r="G16" s="48" t="n">
        <v>270</v>
      </c>
      <c r="H16" s="48" t="n">
        <v>107</v>
      </c>
      <c r="I16" s="48" t="n">
        <v>9</v>
      </c>
      <c r="J16" s="48" t="n">
        <v>0</v>
      </c>
      <c r="K16" s="48" t="n">
        <v>543</v>
      </c>
      <c r="L16" s="48" t="n">
        <v>323</v>
      </c>
      <c r="M16" s="48" t="n">
        <v>73</v>
      </c>
      <c r="N16" s="48" t="n">
        <v>199</v>
      </c>
      <c r="O16" s="48" t="n">
        <v>225</v>
      </c>
      <c r="P16" s="48" t="n">
        <v>95</v>
      </c>
      <c r="Q16" s="48" t="n">
        <v>409</v>
      </c>
      <c r="R16" s="48" t="n">
        <v>260</v>
      </c>
      <c r="S16" s="48" t="n">
        <v>174</v>
      </c>
      <c r="T16" s="48" t="n">
        <v>374</v>
      </c>
      <c r="U16" s="48" t="n">
        <v>1083</v>
      </c>
      <c r="V16" s="48" t="n">
        <v>586</v>
      </c>
      <c r="W16" s="48" t="n">
        <v>675</v>
      </c>
      <c r="X16" s="48" t="n">
        <v>125</v>
      </c>
      <c r="Y16" s="48" t="n">
        <v>119</v>
      </c>
      <c r="Z16" s="48" t="n">
        <v>155</v>
      </c>
      <c r="AA16" s="48" t="n">
        <v>282</v>
      </c>
      <c r="AB16" s="48" t="n">
        <v>154</v>
      </c>
      <c r="AC16" s="48" t="n">
        <v>401</v>
      </c>
      <c r="AD16" s="48" t="n">
        <v>179</v>
      </c>
      <c r="AE16" s="48" t="n">
        <v>560</v>
      </c>
      <c r="AF16" s="48" t="n">
        <v>410</v>
      </c>
      <c r="AG16" s="48" t="n">
        <v>478</v>
      </c>
      <c r="AH16" s="48" t="n">
        <v>243</v>
      </c>
      <c r="AI16" s="48" t="n">
        <v>611</v>
      </c>
      <c r="AJ16" s="48" t="n">
        <v>456</v>
      </c>
      <c r="AK16" s="48" t="n">
        <v>454</v>
      </c>
      <c r="AL16" s="48" t="n">
        <v>315</v>
      </c>
      <c r="AM16" s="48" t="n">
        <v>307</v>
      </c>
      <c r="AN16" s="48" t="n">
        <v>403</v>
      </c>
      <c r="AO16" s="48" t="n">
        <v>382</v>
      </c>
      <c r="AP16" s="48" t="n">
        <v>551</v>
      </c>
      <c r="AQ16" s="48" t="n">
        <v>586</v>
      </c>
      <c r="AR16" s="48" t="n">
        <v>619</v>
      </c>
      <c r="AS16" s="48" t="n">
        <v>248</v>
      </c>
      <c r="AT16" s="48" t="n">
        <v>657</v>
      </c>
      <c r="AU16" s="48" t="n">
        <v>478</v>
      </c>
      <c r="AV16" s="48" t="n">
        <v>809</v>
      </c>
      <c r="AW16" s="48" t="n">
        <v>665</v>
      </c>
      <c r="AX16" s="48" t="n">
        <v>1649</v>
      </c>
      <c r="AY16" s="48" t="n">
        <v>437</v>
      </c>
      <c r="AZ16" s="48" t="n">
        <v>334</v>
      </c>
      <c r="BA16" s="48" t="n">
        <v>743</v>
      </c>
      <c r="BB16" s="48" t="n">
        <v>313</v>
      </c>
      <c r="BC16" s="48" t="n">
        <v>516</v>
      </c>
      <c r="BD16" s="48" t="n">
        <v>522</v>
      </c>
      <c r="BE16" s="48" t="n">
        <v>253</v>
      </c>
      <c r="BF16" s="48" t="n">
        <v>436</v>
      </c>
      <c r="BG16" s="49" t="n">
        <v>2.08</v>
      </c>
    </row>
    <row r="17" customFormat="false" ht="15" hidden="false" customHeight="false" outlineLevel="0" collapsed="false">
      <c r="A17" s="43" t="s">
        <v>270</v>
      </c>
      <c r="B17" s="43" t="s">
        <v>271</v>
      </c>
      <c r="C17" s="44" t="str">
        <f aca="false">IF(A17="","",IFERROR(INDEX(Assumptions!$B$41:$B$55,MATCH(TRUE(),INDEX(ISNUMBER(SEARCH(" "&amp;Assumptions!$A$41:$A$55&amp;" "," "&amp;SUBSTITUTE(SUBSTITUTE(SUBSTITUTE(SUBSTITUTE(B17,"-"," "),","," "),"/"," "),"."," ")&amp;" ")),0),0)),"Other"))</f>
        <v>Bags</v>
      </c>
      <c r="D17" s="45" t="n">
        <f aca="false">IF(A17="","",BG17*(1-Assumptions!$B$18))</f>
        <v>1.248</v>
      </c>
      <c r="E17" s="46" t="n">
        <f aca="false">IF(A17="","",INDEX(Assumptions!$B$23:$B$26,MOD(VALUE(LEFT(A17,5)),4)+1))</f>
        <v>8</v>
      </c>
      <c r="F17" s="47" t="n">
        <v>2304</v>
      </c>
      <c r="G17" s="48" t="n">
        <v>0</v>
      </c>
      <c r="H17" s="48" t="n">
        <v>0</v>
      </c>
      <c r="I17" s="48" t="n">
        <v>0</v>
      </c>
      <c r="J17" s="48" t="n">
        <v>0</v>
      </c>
      <c r="K17" s="48" t="n">
        <v>0</v>
      </c>
      <c r="L17" s="48" t="n">
        <v>0</v>
      </c>
      <c r="M17" s="48" t="n">
        <v>0</v>
      </c>
      <c r="N17" s="48" t="n">
        <v>0</v>
      </c>
      <c r="O17" s="48" t="n">
        <v>0</v>
      </c>
      <c r="P17" s="48" t="n">
        <v>0</v>
      </c>
      <c r="Q17" s="48" t="n">
        <v>0</v>
      </c>
      <c r="R17" s="48" t="n">
        <v>0</v>
      </c>
      <c r="S17" s="48" t="n">
        <v>0</v>
      </c>
      <c r="T17" s="48" t="n">
        <v>0</v>
      </c>
      <c r="U17" s="48" t="n">
        <v>0</v>
      </c>
      <c r="V17" s="48" t="n">
        <v>0</v>
      </c>
      <c r="W17" s="48" t="n">
        <v>0</v>
      </c>
      <c r="X17" s="48" t="n">
        <v>0</v>
      </c>
      <c r="Y17" s="48" t="n">
        <v>0</v>
      </c>
      <c r="Z17" s="48" t="n">
        <v>0</v>
      </c>
      <c r="AA17" s="48" t="n">
        <v>0</v>
      </c>
      <c r="AB17" s="48" t="n">
        <v>120</v>
      </c>
      <c r="AC17" s="48" t="n">
        <v>908</v>
      </c>
      <c r="AD17" s="48" t="n">
        <v>1047</v>
      </c>
      <c r="AE17" s="48" t="n">
        <v>347</v>
      </c>
      <c r="AF17" s="48" t="n">
        <v>467</v>
      </c>
      <c r="AG17" s="48" t="n">
        <v>244</v>
      </c>
      <c r="AH17" s="48" t="n">
        <v>780</v>
      </c>
      <c r="AI17" s="48" t="n">
        <v>304</v>
      </c>
      <c r="AJ17" s="48" t="n">
        <v>258</v>
      </c>
      <c r="AK17" s="48" t="n">
        <v>375</v>
      </c>
      <c r="AL17" s="48" t="n">
        <v>441</v>
      </c>
      <c r="AM17" s="48" t="n">
        <v>773</v>
      </c>
      <c r="AN17" s="48" t="n">
        <v>593</v>
      </c>
      <c r="AO17" s="48" t="n">
        <v>1211</v>
      </c>
      <c r="AP17" s="48" t="n">
        <v>1308</v>
      </c>
      <c r="AQ17" s="48" t="n">
        <v>726</v>
      </c>
      <c r="AR17" s="48" t="n">
        <v>611</v>
      </c>
      <c r="AS17" s="48" t="n">
        <v>460</v>
      </c>
      <c r="AT17" s="48" t="n">
        <v>523</v>
      </c>
      <c r="AU17" s="48" t="n">
        <v>695</v>
      </c>
      <c r="AV17" s="48" t="n">
        <v>774</v>
      </c>
      <c r="AW17" s="48" t="n">
        <v>570</v>
      </c>
      <c r="AX17" s="48" t="n">
        <v>1041</v>
      </c>
      <c r="AY17" s="48" t="n">
        <v>424</v>
      </c>
      <c r="AZ17" s="48" t="n">
        <v>219</v>
      </c>
      <c r="BA17" s="48" t="n">
        <v>556</v>
      </c>
      <c r="BB17" s="48" t="n">
        <v>495</v>
      </c>
      <c r="BC17" s="48" t="n">
        <v>1714</v>
      </c>
      <c r="BD17" s="48" t="n">
        <v>1122</v>
      </c>
      <c r="BE17" s="48" t="n">
        <v>530</v>
      </c>
      <c r="BF17" s="48" t="n">
        <v>336</v>
      </c>
      <c r="BG17" s="49" t="n">
        <v>2.08</v>
      </c>
    </row>
    <row r="18" customFormat="false" ht="15" hidden="false" customHeight="false" outlineLevel="0" collapsed="false">
      <c r="A18" s="43" t="s">
        <v>272</v>
      </c>
      <c r="B18" s="43" t="s">
        <v>273</v>
      </c>
      <c r="C18" s="44" t="str">
        <f aca="false">IF(A18="","",IFERROR(INDEX(Assumptions!$B$41:$B$55,MATCH(TRUE(),INDEX(ISNUMBER(SEARCH(" "&amp;Assumptions!$A$41:$A$55&amp;" "," "&amp;SUBSTITUTE(SUBSTITUTE(SUBSTITUTE(SUBSTITUTE(B18,"-"," "),","," "),"/"," "),"."," ")&amp;" ")),0),0)),"Other"))</f>
        <v>Kitchen</v>
      </c>
      <c r="D18" s="45" t="n">
        <f aca="false">IF(A18="","",BG18*(1-Assumptions!$B$18))</f>
        <v>2.97</v>
      </c>
      <c r="E18" s="46" t="n">
        <f aca="false">IF(A18="","",INDEX(Assumptions!$B$23:$B$26,MOD(VALUE(LEFT(A18,5)),4)+1))</f>
        <v>2</v>
      </c>
      <c r="F18" s="47" t="n">
        <v>5663</v>
      </c>
      <c r="G18" s="48" t="n">
        <v>0</v>
      </c>
      <c r="H18" s="48" t="n">
        <v>194</v>
      </c>
      <c r="I18" s="48" t="n">
        <v>60</v>
      </c>
      <c r="J18" s="48" t="n">
        <v>0</v>
      </c>
      <c r="K18" s="48" t="n">
        <v>412</v>
      </c>
      <c r="L18" s="48" t="n">
        <v>249</v>
      </c>
      <c r="M18" s="48" t="n">
        <v>188</v>
      </c>
      <c r="N18" s="48" t="n">
        <v>237</v>
      </c>
      <c r="O18" s="48" t="n">
        <v>150</v>
      </c>
      <c r="P18" s="48" t="n">
        <v>125</v>
      </c>
      <c r="Q18" s="48" t="n">
        <v>282</v>
      </c>
      <c r="R18" s="48" t="n">
        <v>136</v>
      </c>
      <c r="S18" s="48" t="n">
        <v>167</v>
      </c>
      <c r="T18" s="48" t="n">
        <v>169</v>
      </c>
      <c r="U18" s="48" t="n">
        <v>299</v>
      </c>
      <c r="V18" s="48" t="n">
        <v>122</v>
      </c>
      <c r="W18" s="48" t="n">
        <v>88</v>
      </c>
      <c r="X18" s="48" t="n">
        <v>37</v>
      </c>
      <c r="Y18" s="48" t="n">
        <v>7</v>
      </c>
      <c r="Z18" s="48" t="n">
        <v>9</v>
      </c>
      <c r="AA18" s="48" t="n">
        <v>2</v>
      </c>
      <c r="AB18" s="48" t="n">
        <v>3</v>
      </c>
      <c r="AC18" s="48" t="n">
        <v>8</v>
      </c>
      <c r="AD18" s="48" t="n">
        <v>3</v>
      </c>
      <c r="AE18" s="48" t="n">
        <v>0</v>
      </c>
      <c r="AF18" s="48" t="n">
        <v>3</v>
      </c>
      <c r="AG18" s="48" t="n">
        <v>142</v>
      </c>
      <c r="AH18" s="48" t="n">
        <v>421</v>
      </c>
      <c r="AI18" s="48" t="n">
        <v>141</v>
      </c>
      <c r="AJ18" s="48" t="n">
        <v>126</v>
      </c>
      <c r="AK18" s="48" t="n">
        <v>170</v>
      </c>
      <c r="AL18" s="48" t="n">
        <v>99</v>
      </c>
      <c r="AM18" s="48" t="n">
        <v>104</v>
      </c>
      <c r="AN18" s="48" t="n">
        <v>125</v>
      </c>
      <c r="AO18" s="48" t="n">
        <v>126</v>
      </c>
      <c r="AP18" s="48" t="n">
        <v>108</v>
      </c>
      <c r="AQ18" s="48" t="n">
        <v>288</v>
      </c>
      <c r="AR18" s="48" t="n">
        <v>69</v>
      </c>
      <c r="AS18" s="48" t="n">
        <v>70</v>
      </c>
      <c r="AT18" s="48" t="n">
        <v>114</v>
      </c>
      <c r="AU18" s="48" t="n">
        <v>100</v>
      </c>
      <c r="AV18" s="48" t="n">
        <v>910</v>
      </c>
      <c r="AW18" s="48" t="n">
        <v>79</v>
      </c>
      <c r="AX18" s="48" t="n">
        <v>134</v>
      </c>
      <c r="AY18" s="48" t="n">
        <v>158</v>
      </c>
      <c r="AZ18" s="48" t="n">
        <v>186</v>
      </c>
      <c r="BA18" s="48" t="n">
        <v>102</v>
      </c>
      <c r="BB18" s="48" t="n">
        <v>185</v>
      </c>
      <c r="BC18" s="48" t="n">
        <v>112</v>
      </c>
      <c r="BD18" s="48" t="n">
        <v>110</v>
      </c>
      <c r="BE18" s="48" t="n">
        <v>73</v>
      </c>
      <c r="BF18" s="48" t="n">
        <v>160</v>
      </c>
      <c r="BG18" s="49" t="n">
        <v>4.95</v>
      </c>
    </row>
    <row r="19" customFormat="false" ht="15" hidden="false" customHeight="false" outlineLevel="0" collapsed="false">
      <c r="A19" s="43" t="s">
        <v>274</v>
      </c>
      <c r="B19" s="43" t="s">
        <v>275</v>
      </c>
      <c r="C19" s="44" t="str">
        <f aca="false">IF(A19="","",IFERROR(INDEX(Assumptions!$B$41:$B$55,MATCH(TRUE(),INDEX(ISNUMBER(SEARCH(" "&amp;Assumptions!$A$41:$A$55&amp;" "," "&amp;SUBSTITUTE(SUBSTITUTE(SUBSTITUTE(SUBSTITUTE(B19,"-"," "),","," "),"/"," "),"."," ")&amp;" ")),0),0)),"Other"))</f>
        <v>Other</v>
      </c>
      <c r="D19" s="45" t="n">
        <f aca="false">IF(A19="","",BG19*(1-Assumptions!$B$18))</f>
        <v>4.77</v>
      </c>
      <c r="E19" s="46" t="n">
        <f aca="false">IF(A19="","",INDEX(Assumptions!$B$23:$B$26,MOD(VALUE(LEFT(A19,5)),4)+1))</f>
        <v>2</v>
      </c>
      <c r="F19" s="47" t="n">
        <v>1445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0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0</v>
      </c>
      <c r="S19" s="48" t="n">
        <v>0</v>
      </c>
      <c r="T19" s="48" t="n">
        <v>0</v>
      </c>
      <c r="U19" s="48" t="n">
        <v>0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32</v>
      </c>
      <c r="AB19" s="48" t="n">
        <v>156</v>
      </c>
      <c r="AC19" s="48" t="n">
        <v>201</v>
      </c>
      <c r="AD19" s="48" t="n">
        <v>421</v>
      </c>
      <c r="AE19" s="48" t="n">
        <v>93</v>
      </c>
      <c r="AF19" s="48" t="n">
        <v>79</v>
      </c>
      <c r="AG19" s="48" t="n">
        <v>563</v>
      </c>
      <c r="AH19" s="48" t="n">
        <v>105</v>
      </c>
      <c r="AI19" s="48" t="n">
        <v>76</v>
      </c>
      <c r="AJ19" s="48" t="n">
        <v>32</v>
      </c>
      <c r="AK19" s="48" t="n">
        <v>123</v>
      </c>
      <c r="AL19" s="48" t="n">
        <v>117</v>
      </c>
      <c r="AM19" s="48" t="n">
        <v>232</v>
      </c>
      <c r="AN19" s="48" t="n">
        <v>55</v>
      </c>
      <c r="AO19" s="48" t="n">
        <v>0</v>
      </c>
      <c r="AP19" s="48" t="n">
        <v>7</v>
      </c>
      <c r="AQ19" s="48" t="n">
        <v>0</v>
      </c>
      <c r="AR19" s="48" t="n">
        <v>1</v>
      </c>
      <c r="AS19" s="48" t="n">
        <v>0</v>
      </c>
      <c r="AT19" s="48" t="n">
        <v>0</v>
      </c>
      <c r="AU19" s="48" t="n">
        <v>0</v>
      </c>
      <c r="AV19" s="48" t="n">
        <v>5</v>
      </c>
      <c r="AW19" s="48" t="n">
        <v>803</v>
      </c>
      <c r="AX19" s="48" t="n">
        <v>844</v>
      </c>
      <c r="AY19" s="48" t="n">
        <v>272</v>
      </c>
      <c r="AZ19" s="48" t="n">
        <v>175</v>
      </c>
      <c r="BA19" s="48" t="n">
        <v>157</v>
      </c>
      <c r="BB19" s="48" t="n">
        <v>178</v>
      </c>
      <c r="BC19" s="48" t="n">
        <v>150</v>
      </c>
      <c r="BD19" s="48" t="n">
        <v>161</v>
      </c>
      <c r="BE19" s="48" t="n">
        <v>188</v>
      </c>
      <c r="BF19" s="48" t="n">
        <v>141</v>
      </c>
      <c r="BG19" s="49" t="n">
        <v>7.95</v>
      </c>
    </row>
    <row r="20" customFormat="false" ht="15" hidden="false" customHeight="false" outlineLevel="0" collapsed="false">
      <c r="A20" s="43" t="s">
        <v>276</v>
      </c>
      <c r="B20" s="43" t="s">
        <v>277</v>
      </c>
      <c r="C20" s="44" t="str">
        <f aca="false">IF(A20="","",IFERROR(INDEX(Assumptions!$B$41:$B$55,MATCH(TRUE(),INDEX(ISNUMBER(SEARCH(" "&amp;Assumptions!$A$41:$A$55&amp;" "," "&amp;SUBSTITUTE(SUBSTITUTE(SUBSTITUTE(SUBSTITUTE(B20,"-"," "),","," "),"/"," "),"."," ")&amp;" ")),0),0)),"Other"))</f>
        <v>Other</v>
      </c>
      <c r="D20" s="45" t="n">
        <f aca="false">IF(A20="","",BG20*(1-Assumptions!$B$18))</f>
        <v>2.55</v>
      </c>
      <c r="E20" s="46" t="n">
        <f aca="false">IF(A20="","",INDEX(Assumptions!$B$23:$B$26,MOD(VALUE(LEFT(A20,5)),4)+1))</f>
        <v>2</v>
      </c>
      <c r="F20" s="47" t="n">
        <v>7544</v>
      </c>
      <c r="G20" s="48" t="n">
        <v>172</v>
      </c>
      <c r="H20" s="48" t="n">
        <v>249</v>
      </c>
      <c r="I20" s="48" t="n">
        <v>40</v>
      </c>
      <c r="J20" s="48" t="n">
        <v>0</v>
      </c>
      <c r="K20" s="48" t="n">
        <v>74</v>
      </c>
      <c r="L20" s="48" t="n">
        <v>192</v>
      </c>
      <c r="M20" s="48" t="n">
        <v>213</v>
      </c>
      <c r="N20" s="48" t="n">
        <v>195</v>
      </c>
      <c r="O20" s="48" t="n">
        <v>112</v>
      </c>
      <c r="P20" s="48" t="n">
        <v>91</v>
      </c>
      <c r="Q20" s="48" t="n">
        <v>342</v>
      </c>
      <c r="R20" s="48" t="n">
        <v>114</v>
      </c>
      <c r="S20" s="48" t="n">
        <v>295</v>
      </c>
      <c r="T20" s="48" t="n">
        <v>205</v>
      </c>
      <c r="U20" s="48" t="n">
        <v>251</v>
      </c>
      <c r="V20" s="48" t="n">
        <v>205</v>
      </c>
      <c r="W20" s="48" t="n">
        <v>130</v>
      </c>
      <c r="X20" s="48" t="n">
        <v>88</v>
      </c>
      <c r="Y20" s="48" t="n">
        <v>288</v>
      </c>
      <c r="Z20" s="48" t="n">
        <v>79</v>
      </c>
      <c r="AA20" s="48" t="n">
        <v>45</v>
      </c>
      <c r="AB20" s="48" t="n">
        <v>89</v>
      </c>
      <c r="AC20" s="48" t="n">
        <v>102</v>
      </c>
      <c r="AD20" s="48" t="n">
        <v>256</v>
      </c>
      <c r="AE20" s="48" t="n">
        <v>48</v>
      </c>
      <c r="AF20" s="48" t="n">
        <v>73</v>
      </c>
      <c r="AG20" s="48" t="n">
        <v>122</v>
      </c>
      <c r="AH20" s="48" t="n">
        <v>133</v>
      </c>
      <c r="AI20" s="48" t="n">
        <v>86</v>
      </c>
      <c r="AJ20" s="48" t="n">
        <v>83</v>
      </c>
      <c r="AK20" s="48" t="n">
        <v>66</v>
      </c>
      <c r="AL20" s="48" t="n">
        <v>88</v>
      </c>
      <c r="AM20" s="48" t="n">
        <v>264</v>
      </c>
      <c r="AN20" s="48" t="n">
        <v>419</v>
      </c>
      <c r="AO20" s="48" t="n">
        <v>75</v>
      </c>
      <c r="AP20" s="48" t="n">
        <v>93</v>
      </c>
      <c r="AQ20" s="48" t="n">
        <v>294</v>
      </c>
      <c r="AR20" s="48" t="n">
        <v>46</v>
      </c>
      <c r="AS20" s="48" t="n">
        <v>89</v>
      </c>
      <c r="AT20" s="48" t="n">
        <v>114</v>
      </c>
      <c r="AU20" s="48" t="n">
        <v>216</v>
      </c>
      <c r="AV20" s="48" t="n">
        <v>275</v>
      </c>
      <c r="AW20" s="48" t="n">
        <v>187</v>
      </c>
      <c r="AX20" s="48" t="n">
        <v>149</v>
      </c>
      <c r="AY20" s="48" t="n">
        <v>262</v>
      </c>
      <c r="AZ20" s="48" t="n">
        <v>66</v>
      </c>
      <c r="BA20" s="48" t="n">
        <v>124</v>
      </c>
      <c r="BB20" s="48" t="n">
        <v>300</v>
      </c>
      <c r="BC20" s="48" t="n">
        <v>148</v>
      </c>
      <c r="BD20" s="48" t="n">
        <v>163</v>
      </c>
      <c r="BE20" s="48" t="n">
        <v>186</v>
      </c>
      <c r="BF20" s="48" t="n">
        <v>350</v>
      </c>
      <c r="BG20" s="49" t="n">
        <v>4.25</v>
      </c>
    </row>
    <row r="21" customFormat="false" ht="15" hidden="false" customHeight="false" outlineLevel="0" collapsed="false">
      <c r="A21" s="43" t="s">
        <v>278</v>
      </c>
      <c r="B21" s="43" t="s">
        <v>279</v>
      </c>
      <c r="C21" s="44" t="str">
        <f aca="false">IF(A21="","",IFERROR(INDEX(Assumptions!$B$41:$B$55,MATCH(TRUE(),INDEX(ISNUMBER(SEARCH(" "&amp;Assumptions!$A$41:$A$55&amp;" "," "&amp;SUBSTITUTE(SUBSTITUTE(SUBSTITUTE(SUBSTITUTE(B21,"-"," "),","," "),"/"," "),"."," ")&amp;" ")),0),0)),"Other"))</f>
        <v>Bags</v>
      </c>
      <c r="D21" s="45" t="n">
        <f aca="false">IF(A21="","",BG21*(1-Assumptions!$B$18))</f>
        <v>0.99</v>
      </c>
      <c r="E21" s="46" t="n">
        <f aca="false">IF(A21="","",INDEX(Assumptions!$B$23:$B$26,MOD(VALUE(LEFT(A21,5)),4)+1))</f>
        <v>4</v>
      </c>
      <c r="F21" s="47" t="n">
        <v>19071</v>
      </c>
      <c r="G21" s="48" t="n">
        <v>283</v>
      </c>
      <c r="H21" s="48" t="n">
        <v>187</v>
      </c>
      <c r="I21" s="48" t="n">
        <v>44</v>
      </c>
      <c r="J21" s="48" t="n">
        <v>0</v>
      </c>
      <c r="K21" s="48" t="n">
        <v>462</v>
      </c>
      <c r="L21" s="48" t="n">
        <v>642</v>
      </c>
      <c r="M21" s="48" t="n">
        <v>128</v>
      </c>
      <c r="N21" s="48" t="n">
        <v>171</v>
      </c>
      <c r="O21" s="48" t="n">
        <v>417</v>
      </c>
      <c r="P21" s="48" t="n">
        <v>255</v>
      </c>
      <c r="Q21" s="48" t="n">
        <v>291</v>
      </c>
      <c r="R21" s="48" t="n">
        <v>369</v>
      </c>
      <c r="S21" s="48" t="n">
        <v>175</v>
      </c>
      <c r="T21" s="48" t="n">
        <v>148</v>
      </c>
      <c r="U21" s="48" t="n">
        <v>278</v>
      </c>
      <c r="V21" s="48" t="n">
        <v>379</v>
      </c>
      <c r="W21" s="48" t="n">
        <v>587</v>
      </c>
      <c r="X21" s="48" t="n">
        <v>247</v>
      </c>
      <c r="Y21" s="48" t="n">
        <v>305</v>
      </c>
      <c r="Z21" s="48" t="n">
        <v>368</v>
      </c>
      <c r="AA21" s="48" t="n">
        <v>164</v>
      </c>
      <c r="AB21" s="48" t="n">
        <v>289</v>
      </c>
      <c r="AC21" s="48" t="n">
        <v>885</v>
      </c>
      <c r="AD21" s="48" t="n">
        <v>445</v>
      </c>
      <c r="AE21" s="48" t="n">
        <v>684</v>
      </c>
      <c r="AF21" s="48" t="n">
        <v>184</v>
      </c>
      <c r="AG21" s="48" t="n">
        <v>585</v>
      </c>
      <c r="AH21" s="48" t="n">
        <v>448</v>
      </c>
      <c r="AI21" s="48" t="n">
        <v>238</v>
      </c>
      <c r="AJ21" s="48" t="n">
        <v>303</v>
      </c>
      <c r="AK21" s="48" t="n">
        <v>440</v>
      </c>
      <c r="AL21" s="48" t="n">
        <v>231</v>
      </c>
      <c r="AM21" s="48" t="n">
        <v>596</v>
      </c>
      <c r="AN21" s="48" t="n">
        <v>385</v>
      </c>
      <c r="AO21" s="48" t="n">
        <v>603</v>
      </c>
      <c r="AP21" s="48" t="n">
        <v>725</v>
      </c>
      <c r="AQ21" s="48" t="n">
        <v>433</v>
      </c>
      <c r="AR21" s="48" t="n">
        <v>341</v>
      </c>
      <c r="AS21" s="48" t="n">
        <v>202</v>
      </c>
      <c r="AT21" s="48" t="n">
        <v>524</v>
      </c>
      <c r="AU21" s="48" t="n">
        <v>329</v>
      </c>
      <c r="AV21" s="48" t="n">
        <v>492</v>
      </c>
      <c r="AW21" s="48" t="n">
        <v>318</v>
      </c>
      <c r="AX21" s="48" t="n">
        <v>322</v>
      </c>
      <c r="AY21" s="48" t="n">
        <v>443</v>
      </c>
      <c r="AZ21" s="48" t="n">
        <v>276</v>
      </c>
      <c r="BA21" s="48" t="n">
        <v>314</v>
      </c>
      <c r="BB21" s="48" t="n">
        <v>323</v>
      </c>
      <c r="BC21" s="48" t="n">
        <v>556</v>
      </c>
      <c r="BD21" s="48" t="n">
        <v>650</v>
      </c>
      <c r="BE21" s="48" t="n">
        <v>276</v>
      </c>
      <c r="BF21" s="48" t="n">
        <v>331</v>
      </c>
      <c r="BG21" s="49" t="n">
        <v>1.65</v>
      </c>
    </row>
    <row r="22" customFormat="false" ht="15" hidden="false" customHeight="false" outlineLevel="0" collapsed="false">
      <c r="A22" s="43" t="s">
        <v>280</v>
      </c>
      <c r="B22" s="43" t="s">
        <v>281</v>
      </c>
      <c r="C22" s="44" t="str">
        <f aca="false">IF(A22="","",IFERROR(INDEX(Assumptions!$B$41:$B$55,MATCH(TRUE(),INDEX(ISNUMBER(SEARCH(" "&amp;Assumptions!$A$41:$A$55&amp;" "," "&amp;SUBSTITUTE(SUBSTITUTE(SUBSTITUTE(SUBSTITUTE(B22,"-"," "),","," "),"/"," "),"."," ")&amp;" ")),0),0)),"Other"))</f>
        <v>Other</v>
      </c>
      <c r="D22" s="45" t="n">
        <f aca="false">IF(A22="","",BG22*(1-Assumptions!$B$18))</f>
        <v>4.77</v>
      </c>
      <c r="E22" s="46" t="n">
        <f aca="false">IF(A22="","",INDEX(Assumptions!$B$23:$B$26,MOD(VALUE(LEFT(A22,5)),4)+1))</f>
        <v>2</v>
      </c>
      <c r="F22" s="47" t="n">
        <v>1518</v>
      </c>
      <c r="G22" s="48" t="n">
        <v>1163</v>
      </c>
      <c r="H22" s="48" t="n">
        <v>117</v>
      </c>
      <c r="I22" s="48" t="n">
        <v>9</v>
      </c>
      <c r="J22" s="48" t="n">
        <v>0</v>
      </c>
      <c r="K22" s="48" t="n">
        <v>61</v>
      </c>
      <c r="L22" s="48" t="n">
        <v>42</v>
      </c>
      <c r="M22" s="48" t="n">
        <v>110</v>
      </c>
      <c r="N22" s="48" t="n">
        <v>119</v>
      </c>
      <c r="O22" s="48" t="n">
        <v>60</v>
      </c>
      <c r="P22" s="48" t="n">
        <v>230</v>
      </c>
      <c r="Q22" s="48" t="n">
        <v>43</v>
      </c>
      <c r="R22" s="48" t="n">
        <v>33</v>
      </c>
      <c r="S22" s="48" t="n">
        <v>23</v>
      </c>
      <c r="T22" s="48" t="n">
        <v>57</v>
      </c>
      <c r="U22" s="48" t="n">
        <v>65</v>
      </c>
      <c r="V22" s="48" t="n">
        <v>349</v>
      </c>
      <c r="W22" s="48" t="n">
        <v>46</v>
      </c>
      <c r="X22" s="48" t="n">
        <v>26</v>
      </c>
      <c r="Y22" s="48" t="n">
        <v>45</v>
      </c>
      <c r="Z22" s="48" t="n">
        <v>125</v>
      </c>
      <c r="AA22" s="48" t="n">
        <v>35</v>
      </c>
      <c r="AB22" s="48" t="n">
        <v>47</v>
      </c>
      <c r="AC22" s="48" t="n">
        <v>41</v>
      </c>
      <c r="AD22" s="48" t="n">
        <v>177</v>
      </c>
      <c r="AE22" s="48" t="n">
        <v>36</v>
      </c>
      <c r="AF22" s="48" t="n">
        <v>57</v>
      </c>
      <c r="AG22" s="48" t="n">
        <v>76</v>
      </c>
      <c r="AH22" s="48" t="n">
        <v>345</v>
      </c>
      <c r="AI22" s="48" t="n">
        <v>60</v>
      </c>
      <c r="AJ22" s="48" t="n">
        <v>42</v>
      </c>
      <c r="AK22" s="48" t="n">
        <v>34</v>
      </c>
      <c r="AL22" s="48" t="n">
        <v>39</v>
      </c>
      <c r="AM22" s="48" t="n">
        <v>163</v>
      </c>
      <c r="AN22" s="48" t="n">
        <v>256</v>
      </c>
      <c r="AO22" s="48" t="n">
        <v>101</v>
      </c>
      <c r="AP22" s="48" t="n">
        <v>38</v>
      </c>
      <c r="AQ22" s="48" t="n">
        <v>66</v>
      </c>
      <c r="AR22" s="48" t="n">
        <v>47</v>
      </c>
      <c r="AS22" s="48" t="n">
        <v>370</v>
      </c>
      <c r="AT22" s="48" t="n">
        <v>63</v>
      </c>
      <c r="AU22" s="48" t="n">
        <v>50</v>
      </c>
      <c r="AV22" s="48" t="n">
        <v>43</v>
      </c>
      <c r="AW22" s="48" t="n">
        <v>6</v>
      </c>
      <c r="AX22" s="48" t="n">
        <v>66</v>
      </c>
      <c r="AY22" s="48" t="n">
        <v>33</v>
      </c>
      <c r="AZ22" s="48" t="n">
        <v>137</v>
      </c>
      <c r="BA22" s="48" t="n">
        <v>42</v>
      </c>
      <c r="BB22" s="48" t="n">
        <v>166</v>
      </c>
      <c r="BC22" s="48" t="n">
        <v>41</v>
      </c>
      <c r="BD22" s="48" t="n">
        <v>50</v>
      </c>
      <c r="BE22" s="48" t="n">
        <v>83</v>
      </c>
      <c r="BF22" s="48" t="n">
        <v>104</v>
      </c>
      <c r="BG22" s="49" t="n">
        <v>7.95</v>
      </c>
    </row>
    <row r="23" customFormat="false" ht="15" hidden="false" customHeight="false" outlineLevel="0" collapsed="false">
      <c r="A23" s="43" t="s">
        <v>282</v>
      </c>
      <c r="B23" s="43" t="s">
        <v>283</v>
      </c>
      <c r="C23" s="44" t="str">
        <f aca="false">IF(A23="","",IFERROR(INDEX(Assumptions!$B$41:$B$55,MATCH(TRUE(),INDEX(ISNUMBER(SEARCH(" "&amp;Assumptions!$A$41:$A$55&amp;" "," "&amp;SUBSTITUTE(SUBSTITUTE(SUBSTITUTE(SUBSTITUTE(B23,"-"," "),","," "),"/"," "),"."," ")&amp;" ")),0),0)),"Other"))</f>
        <v>Other</v>
      </c>
      <c r="D23" s="45" t="n">
        <f aca="false">IF(A23="","",BG23*(1-Assumptions!$B$18))</f>
        <v>2.25</v>
      </c>
      <c r="E23" s="46" t="n">
        <f aca="false">IF(A23="","",INDEX(Assumptions!$B$23:$B$26,MOD(VALUE(LEFT(A23,5)),4)+1))</f>
        <v>4</v>
      </c>
      <c r="F23" s="47" t="n">
        <v>1464</v>
      </c>
      <c r="G23" s="48" t="n">
        <v>577</v>
      </c>
      <c r="H23" s="48" t="n">
        <v>575</v>
      </c>
      <c r="I23" s="48" t="n">
        <v>55</v>
      </c>
      <c r="J23" s="48" t="n">
        <v>0</v>
      </c>
      <c r="K23" s="48" t="n">
        <v>177</v>
      </c>
      <c r="L23" s="48" t="n">
        <v>20</v>
      </c>
      <c r="M23" s="48" t="n">
        <v>24</v>
      </c>
      <c r="N23" s="48" t="n">
        <v>3</v>
      </c>
      <c r="O23" s="48" t="n">
        <v>592</v>
      </c>
      <c r="P23" s="48" t="n">
        <v>0</v>
      </c>
      <c r="Q23" s="48" t="n">
        <v>40</v>
      </c>
      <c r="R23" s="48" t="n">
        <v>69</v>
      </c>
      <c r="S23" s="48" t="n">
        <v>0</v>
      </c>
      <c r="T23" s="48" t="n">
        <v>6</v>
      </c>
      <c r="U23" s="48" t="n">
        <v>120</v>
      </c>
      <c r="V23" s="48" t="n">
        <v>117</v>
      </c>
      <c r="W23" s="48" t="n">
        <v>50</v>
      </c>
      <c r="X23" s="48" t="n">
        <v>11</v>
      </c>
      <c r="Y23" s="48" t="n">
        <v>84</v>
      </c>
      <c r="Z23" s="48" t="n">
        <v>110</v>
      </c>
      <c r="AA23" s="48" t="n">
        <v>38</v>
      </c>
      <c r="AB23" s="48" t="n">
        <v>396</v>
      </c>
      <c r="AC23" s="48" t="n">
        <v>81</v>
      </c>
      <c r="AD23" s="48" t="n">
        <v>36</v>
      </c>
      <c r="AE23" s="48" t="n">
        <v>0</v>
      </c>
      <c r="AF23" s="48" t="n">
        <v>504</v>
      </c>
      <c r="AG23" s="48" t="n">
        <v>18</v>
      </c>
      <c r="AH23" s="48" t="n">
        <v>865</v>
      </c>
      <c r="AI23" s="48" t="n">
        <v>131</v>
      </c>
      <c r="AJ23" s="48" t="n">
        <v>236</v>
      </c>
      <c r="AK23" s="48" t="n">
        <v>90</v>
      </c>
      <c r="AL23" s="48" t="n">
        <v>100</v>
      </c>
      <c r="AM23" s="48" t="n">
        <v>254</v>
      </c>
      <c r="AN23" s="48" t="n">
        <v>116</v>
      </c>
      <c r="AO23" s="48" t="n">
        <v>0</v>
      </c>
      <c r="AP23" s="48" t="n">
        <v>73</v>
      </c>
      <c r="AQ23" s="48" t="n">
        <v>270</v>
      </c>
      <c r="AR23" s="48" t="n">
        <v>20</v>
      </c>
      <c r="AS23" s="48" t="n">
        <v>176</v>
      </c>
      <c r="AT23" s="48" t="n">
        <v>104</v>
      </c>
      <c r="AU23" s="48" t="n">
        <v>210</v>
      </c>
      <c r="AV23" s="48" t="n">
        <v>38</v>
      </c>
      <c r="AW23" s="48" t="n">
        <v>202</v>
      </c>
      <c r="AX23" s="48" t="n">
        <v>305</v>
      </c>
      <c r="AY23" s="48" t="n">
        <v>25</v>
      </c>
      <c r="AZ23" s="48" t="n">
        <v>184</v>
      </c>
      <c r="BA23" s="48" t="n">
        <v>95</v>
      </c>
      <c r="BB23" s="48" t="n">
        <v>433</v>
      </c>
      <c r="BC23" s="48" t="n">
        <v>857</v>
      </c>
      <c r="BD23" s="48" t="n">
        <v>259</v>
      </c>
      <c r="BE23" s="48" t="n">
        <v>584</v>
      </c>
      <c r="BF23" s="48" t="n">
        <v>183</v>
      </c>
      <c r="BG23" s="49" t="n">
        <v>3.75</v>
      </c>
    </row>
    <row r="24" customFormat="false" ht="15" hidden="false" customHeight="false" outlineLevel="0" collapsed="false">
      <c r="A24" s="43" t="s">
        <v>284</v>
      </c>
      <c r="B24" s="43" t="s">
        <v>285</v>
      </c>
      <c r="C24" s="44" t="str">
        <f aca="false">IF(A24="","",IFERROR(INDEX(Assumptions!$B$41:$B$55,MATCH(TRUE(),INDEX(ISNUMBER(SEARCH(" "&amp;Assumptions!$A$41:$A$55&amp;" "," "&amp;SUBSTITUTE(SUBSTITUTE(SUBSTITUTE(SUBSTITUTE(B24,"-"," "),","," "),"/"," "),"."," ")&amp;" ")),0),0)),"Other"))</f>
        <v>Bags</v>
      </c>
      <c r="D24" s="45" t="n">
        <f aca="false">IF(A24="","",BG24*(1-Assumptions!$B$18))</f>
        <v>1.248</v>
      </c>
      <c r="E24" s="46" t="n">
        <f aca="false">IF(A24="","",INDEX(Assumptions!$B$23:$B$26,MOD(VALUE(LEFT(A24,5)),4)+1))</f>
        <v>8</v>
      </c>
      <c r="F24" s="47" t="n">
        <v>4302</v>
      </c>
      <c r="G24" s="48" t="n">
        <v>162</v>
      </c>
      <c r="H24" s="48" t="n">
        <v>229</v>
      </c>
      <c r="I24" s="48" t="n">
        <v>11</v>
      </c>
      <c r="J24" s="48" t="n">
        <v>0</v>
      </c>
      <c r="K24" s="48" t="n">
        <v>703</v>
      </c>
      <c r="L24" s="48" t="n">
        <v>349</v>
      </c>
      <c r="M24" s="48" t="n">
        <v>269</v>
      </c>
      <c r="N24" s="48" t="n">
        <v>93</v>
      </c>
      <c r="O24" s="48" t="n">
        <v>381</v>
      </c>
      <c r="P24" s="48" t="n">
        <v>70</v>
      </c>
      <c r="Q24" s="48" t="n">
        <v>248</v>
      </c>
      <c r="R24" s="48" t="n">
        <v>276</v>
      </c>
      <c r="S24" s="48" t="n">
        <v>285</v>
      </c>
      <c r="T24" s="48" t="n">
        <v>401</v>
      </c>
      <c r="U24" s="48" t="n">
        <v>1012</v>
      </c>
      <c r="V24" s="48" t="n">
        <v>676</v>
      </c>
      <c r="W24" s="48" t="n">
        <v>742</v>
      </c>
      <c r="X24" s="48" t="n">
        <v>266</v>
      </c>
      <c r="Y24" s="48" t="n">
        <v>166</v>
      </c>
      <c r="Z24" s="48" t="n">
        <v>6</v>
      </c>
      <c r="AA24" s="48" t="n">
        <v>100</v>
      </c>
      <c r="AB24" s="48" t="n">
        <v>0</v>
      </c>
      <c r="AC24" s="48" t="n">
        <v>428</v>
      </c>
      <c r="AD24" s="48" t="n">
        <v>142</v>
      </c>
      <c r="AE24" s="48" t="n">
        <v>423</v>
      </c>
      <c r="AF24" s="48" t="n">
        <v>407</v>
      </c>
      <c r="AG24" s="48" t="n">
        <v>433</v>
      </c>
      <c r="AH24" s="48" t="n">
        <v>234</v>
      </c>
      <c r="AI24" s="48" t="n">
        <v>605</v>
      </c>
      <c r="AJ24" s="48" t="n">
        <v>351</v>
      </c>
      <c r="AK24" s="48" t="n">
        <v>513</v>
      </c>
      <c r="AL24" s="48" t="n">
        <v>29</v>
      </c>
      <c r="AM24" s="48" t="n">
        <v>140</v>
      </c>
      <c r="AN24" s="48" t="n">
        <v>434</v>
      </c>
      <c r="AO24" s="48" t="n">
        <v>547</v>
      </c>
      <c r="AP24" s="48" t="n">
        <v>320</v>
      </c>
      <c r="AQ24" s="48" t="n">
        <v>328</v>
      </c>
      <c r="AR24" s="48" t="n">
        <v>872</v>
      </c>
      <c r="AS24" s="48" t="n">
        <v>278</v>
      </c>
      <c r="AT24" s="48" t="n">
        <v>189</v>
      </c>
      <c r="AU24" s="48" t="n">
        <v>302</v>
      </c>
      <c r="AV24" s="48" t="n">
        <v>579</v>
      </c>
      <c r="AW24" s="48" t="n">
        <v>206</v>
      </c>
      <c r="AX24" s="48" t="n">
        <v>1172</v>
      </c>
      <c r="AY24" s="48" t="n">
        <v>171</v>
      </c>
      <c r="AZ24" s="48" t="n">
        <v>433</v>
      </c>
      <c r="BA24" s="48" t="n">
        <v>30</v>
      </c>
      <c r="BB24" s="48" t="n">
        <v>203</v>
      </c>
      <c r="BC24" s="48" t="n">
        <v>311</v>
      </c>
      <c r="BD24" s="48" t="n">
        <v>196</v>
      </c>
      <c r="BE24" s="48" t="n">
        <v>52</v>
      </c>
      <c r="BF24" s="48" t="n">
        <v>436</v>
      </c>
      <c r="BG24" s="49" t="n">
        <v>2.08</v>
      </c>
    </row>
    <row r="25" customFormat="false" ht="15" hidden="false" customHeight="false" outlineLevel="0" collapsed="false">
      <c r="A25" s="43" t="s">
        <v>286</v>
      </c>
      <c r="B25" s="43" t="s">
        <v>287</v>
      </c>
      <c r="C25" s="44" t="str">
        <f aca="false">IF(A25="","",IFERROR(INDEX(Assumptions!$B$41:$B$55,MATCH(TRUE(),INDEX(ISNUMBER(SEARCH(" "&amp;Assumptions!$A$41:$A$55&amp;" "," "&amp;SUBSTITUTE(SUBSTITUTE(SUBSTITUTE(SUBSTITUTE(B25,"-"," "),","," "),"/"," "),"."," ")&amp;" ")),0),0)),"Other"))</f>
        <v>Lighting</v>
      </c>
      <c r="D25" s="45" t="n">
        <f aca="false">IF(A25="","",BG25*(1-Assumptions!$B$18))</f>
        <v>0.75</v>
      </c>
      <c r="E25" s="46" t="n">
        <f aca="false">IF(A25="","",INDEX(Assumptions!$B$23:$B$26,MOD(VALUE(LEFT(A25,5)),4)+1))</f>
        <v>6</v>
      </c>
      <c r="F25" s="47" t="n">
        <v>6338</v>
      </c>
      <c r="G25" s="48" t="n">
        <v>525</v>
      </c>
      <c r="H25" s="48" t="n">
        <v>593</v>
      </c>
      <c r="I25" s="48" t="n">
        <v>130</v>
      </c>
      <c r="J25" s="48" t="n">
        <v>0</v>
      </c>
      <c r="K25" s="48" t="n">
        <v>396</v>
      </c>
      <c r="L25" s="48" t="n">
        <v>204</v>
      </c>
      <c r="M25" s="48" t="n">
        <v>339</v>
      </c>
      <c r="N25" s="48" t="n">
        <v>333</v>
      </c>
      <c r="O25" s="48" t="n">
        <v>482</v>
      </c>
      <c r="P25" s="48" t="n">
        <v>242</v>
      </c>
      <c r="Q25" s="48" t="n">
        <v>133</v>
      </c>
      <c r="R25" s="48" t="n">
        <v>510</v>
      </c>
      <c r="S25" s="48" t="n">
        <v>406</v>
      </c>
      <c r="T25" s="48" t="n">
        <v>290</v>
      </c>
      <c r="U25" s="48" t="n">
        <v>654</v>
      </c>
      <c r="V25" s="48" t="n">
        <v>526</v>
      </c>
      <c r="W25" s="48" t="n">
        <v>952</v>
      </c>
      <c r="X25" s="48" t="n">
        <v>493</v>
      </c>
      <c r="Y25" s="48" t="n">
        <v>626</v>
      </c>
      <c r="Z25" s="48" t="n">
        <v>645</v>
      </c>
      <c r="AA25" s="48" t="n">
        <v>95</v>
      </c>
      <c r="AB25" s="48" t="n">
        <v>600</v>
      </c>
      <c r="AC25" s="48" t="n">
        <v>596</v>
      </c>
      <c r="AD25" s="48" t="n">
        <v>763</v>
      </c>
      <c r="AE25" s="48" t="n">
        <v>608</v>
      </c>
      <c r="AF25" s="48" t="n">
        <v>739</v>
      </c>
      <c r="AG25" s="48" t="n">
        <v>543</v>
      </c>
      <c r="AH25" s="48" t="n">
        <v>276</v>
      </c>
      <c r="AI25" s="48" t="n">
        <v>122</v>
      </c>
      <c r="AJ25" s="48" t="n">
        <v>349</v>
      </c>
      <c r="AK25" s="48" t="n">
        <v>590</v>
      </c>
      <c r="AL25" s="48" t="n">
        <v>154</v>
      </c>
      <c r="AM25" s="48" t="n">
        <v>532</v>
      </c>
      <c r="AN25" s="48" t="n">
        <v>236</v>
      </c>
      <c r="AO25" s="48" t="n">
        <v>824</v>
      </c>
      <c r="AP25" s="48" t="n">
        <v>308</v>
      </c>
      <c r="AQ25" s="48" t="n">
        <v>318</v>
      </c>
      <c r="AR25" s="48" t="n">
        <v>456</v>
      </c>
      <c r="AS25" s="48" t="n">
        <v>493</v>
      </c>
      <c r="AT25" s="48" t="n">
        <v>230</v>
      </c>
      <c r="AU25" s="48" t="n">
        <v>248</v>
      </c>
      <c r="AV25" s="48" t="n">
        <v>425</v>
      </c>
      <c r="AW25" s="48" t="n">
        <v>90</v>
      </c>
      <c r="AX25" s="48" t="n">
        <v>1483</v>
      </c>
      <c r="AY25" s="48" t="n">
        <v>303</v>
      </c>
      <c r="AZ25" s="48" t="n">
        <v>211</v>
      </c>
      <c r="BA25" s="48" t="n">
        <v>1246</v>
      </c>
      <c r="BB25" s="48" t="n">
        <v>359</v>
      </c>
      <c r="BC25" s="48" t="n">
        <v>288</v>
      </c>
      <c r="BD25" s="48" t="n">
        <v>449</v>
      </c>
      <c r="BE25" s="48" t="n">
        <v>373</v>
      </c>
      <c r="BF25" s="48" t="n">
        <v>755</v>
      </c>
      <c r="BG25" s="49" t="n">
        <v>1.25</v>
      </c>
    </row>
    <row r="26" customFormat="false" ht="15" hidden="false" customHeight="false" outlineLevel="0" collapsed="false">
      <c r="A26" s="43" t="s">
        <v>288</v>
      </c>
      <c r="B26" s="43" t="s">
        <v>289</v>
      </c>
      <c r="C26" s="44" t="str">
        <f aca="false">IF(A26="","",IFERROR(INDEX(Assumptions!$B$41:$B$55,MATCH(TRUE(),INDEX(ISNUMBER(SEARCH(" "&amp;Assumptions!$A$41:$A$55&amp;" "," "&amp;SUBSTITUTE(SUBSTITUTE(SUBSTITUTE(SUBSTITUTE(B26,"-"," "),","," "),"/"," "),"."," ")&amp;" ")),0),0)),"Other"))</f>
        <v>Other</v>
      </c>
      <c r="D26" s="45" t="n">
        <f aca="false">IF(A26="","",BG26*(1-Assumptions!$B$18))</f>
        <v>0.99</v>
      </c>
      <c r="E26" s="46" t="n">
        <f aca="false">IF(A26="","",INDEX(Assumptions!$B$23:$B$26,MOD(VALUE(LEFT(A26,5)),4)+1))</f>
        <v>4</v>
      </c>
      <c r="F26" s="47" t="n">
        <v>338</v>
      </c>
      <c r="G26" s="48" t="n">
        <v>869</v>
      </c>
      <c r="H26" s="48" t="n">
        <v>404</v>
      </c>
      <c r="I26" s="48" t="n">
        <v>204</v>
      </c>
      <c r="J26" s="48" t="n">
        <v>0</v>
      </c>
      <c r="K26" s="48" t="n">
        <v>366</v>
      </c>
      <c r="L26" s="48" t="n">
        <v>1574</v>
      </c>
      <c r="M26" s="48" t="n">
        <v>405</v>
      </c>
      <c r="N26" s="48" t="n">
        <v>555</v>
      </c>
      <c r="O26" s="48" t="n">
        <v>368</v>
      </c>
      <c r="P26" s="48" t="n">
        <v>206</v>
      </c>
      <c r="Q26" s="48" t="n">
        <v>239</v>
      </c>
      <c r="R26" s="48" t="n">
        <v>454</v>
      </c>
      <c r="S26" s="48" t="n">
        <v>220</v>
      </c>
      <c r="T26" s="48" t="n">
        <v>708</v>
      </c>
      <c r="U26" s="48" t="n">
        <v>8</v>
      </c>
      <c r="V26" s="48" t="n">
        <v>0</v>
      </c>
      <c r="W26" s="48" t="n">
        <v>68</v>
      </c>
      <c r="X26" s="48" t="n">
        <v>12</v>
      </c>
      <c r="Y26" s="48" t="n">
        <v>0</v>
      </c>
      <c r="Z26" s="48" t="n">
        <v>30</v>
      </c>
      <c r="AA26" s="48" t="n">
        <v>0</v>
      </c>
      <c r="AB26" s="48" t="n">
        <v>0</v>
      </c>
      <c r="AC26" s="48" t="n">
        <v>0</v>
      </c>
      <c r="AD26" s="48" t="n">
        <v>783</v>
      </c>
      <c r="AE26" s="48" t="n">
        <v>1205</v>
      </c>
      <c r="AF26" s="48" t="n">
        <v>421</v>
      </c>
      <c r="AG26" s="48" t="n">
        <v>366</v>
      </c>
      <c r="AH26" s="48" t="n">
        <v>261</v>
      </c>
      <c r="AI26" s="48" t="n">
        <v>154</v>
      </c>
      <c r="AJ26" s="48" t="n">
        <v>236</v>
      </c>
      <c r="AK26" s="48" t="n">
        <v>336</v>
      </c>
      <c r="AL26" s="48" t="n">
        <v>317</v>
      </c>
      <c r="AM26" s="48" t="n">
        <v>302</v>
      </c>
      <c r="AN26" s="48" t="n">
        <v>125</v>
      </c>
      <c r="AO26" s="48" t="n">
        <v>199</v>
      </c>
      <c r="AP26" s="48" t="n">
        <v>149</v>
      </c>
      <c r="AQ26" s="48" t="n">
        <v>78</v>
      </c>
      <c r="AR26" s="48" t="n">
        <v>117</v>
      </c>
      <c r="AS26" s="48" t="n">
        <v>130</v>
      </c>
      <c r="AT26" s="48" t="n">
        <v>237</v>
      </c>
      <c r="AU26" s="48" t="n">
        <v>359</v>
      </c>
      <c r="AV26" s="48" t="n">
        <v>1055</v>
      </c>
      <c r="AW26" s="48" t="n">
        <v>226</v>
      </c>
      <c r="AX26" s="48" t="n">
        <v>255</v>
      </c>
      <c r="AY26" s="48" t="n">
        <v>100</v>
      </c>
      <c r="AZ26" s="48" t="n">
        <v>336</v>
      </c>
      <c r="BA26" s="48" t="n">
        <v>383</v>
      </c>
      <c r="BB26" s="48" t="n">
        <v>1042</v>
      </c>
      <c r="BC26" s="48" t="n">
        <v>305</v>
      </c>
      <c r="BD26" s="48" t="n">
        <v>361</v>
      </c>
      <c r="BE26" s="48" t="n">
        <v>213</v>
      </c>
      <c r="BF26" s="48" t="n">
        <v>809</v>
      </c>
      <c r="BG26" s="49" t="n">
        <v>1.65</v>
      </c>
    </row>
    <row r="27" customFormat="false" ht="15" hidden="false" customHeight="false" outlineLevel="0" collapsed="false">
      <c r="A27" s="43" t="s">
        <v>290</v>
      </c>
      <c r="B27" s="43" t="s">
        <v>291</v>
      </c>
      <c r="C27" s="44" t="str">
        <f aca="false">IF(A27="","",IFERROR(INDEX(Assumptions!$B$41:$B$55,MATCH(TRUE(),INDEX(ISNUMBER(SEARCH(" "&amp;Assumptions!$A$41:$A$55&amp;" "," "&amp;SUBSTITUTE(SUBSTITUTE(SUBSTITUTE(SUBSTITUTE(B27,"-"," "),","," "),"/"," "),"."," ")&amp;" ")),0),0)),"Other"))</f>
        <v>Bags</v>
      </c>
      <c r="D27" s="45" t="n">
        <f aca="false">IF(A27="","",BG27*(1-Assumptions!$B$18))</f>
        <v>1.248</v>
      </c>
      <c r="E27" s="46" t="n">
        <f aca="false">IF(A27="","",INDEX(Assumptions!$B$23:$B$26,MOD(VALUE(LEFT(A27,5)),4)+1))</f>
        <v>8</v>
      </c>
      <c r="F27" s="47" t="n">
        <v>853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0</v>
      </c>
      <c r="V27" s="48" t="n">
        <v>0</v>
      </c>
      <c r="W27" s="48" t="n">
        <v>0</v>
      </c>
      <c r="X27" s="48" t="n">
        <v>0</v>
      </c>
      <c r="Y27" s="48" t="n">
        <v>733</v>
      </c>
      <c r="Z27" s="48" t="n">
        <v>380</v>
      </c>
      <c r="AA27" s="48" t="n">
        <v>299</v>
      </c>
      <c r="AB27" s="48" t="n">
        <v>477</v>
      </c>
      <c r="AC27" s="48" t="n">
        <v>818</v>
      </c>
      <c r="AD27" s="48" t="n">
        <v>368</v>
      </c>
      <c r="AE27" s="48" t="n">
        <v>469</v>
      </c>
      <c r="AF27" s="48" t="n">
        <v>381</v>
      </c>
      <c r="AG27" s="48" t="n">
        <v>290</v>
      </c>
      <c r="AH27" s="48" t="n">
        <v>351</v>
      </c>
      <c r="AI27" s="48" t="n">
        <v>366</v>
      </c>
      <c r="AJ27" s="48" t="n">
        <v>434</v>
      </c>
      <c r="AK27" s="48" t="n">
        <v>343</v>
      </c>
      <c r="AL27" s="48" t="n">
        <v>194</v>
      </c>
      <c r="AM27" s="48" t="n">
        <v>449</v>
      </c>
      <c r="AN27" s="48" t="n">
        <v>384</v>
      </c>
      <c r="AO27" s="48" t="n">
        <v>660</v>
      </c>
      <c r="AP27" s="48" t="n">
        <v>486</v>
      </c>
      <c r="AQ27" s="48" t="n">
        <v>664</v>
      </c>
      <c r="AR27" s="48" t="n">
        <v>1265</v>
      </c>
      <c r="AS27" s="48" t="n">
        <v>260</v>
      </c>
      <c r="AT27" s="48" t="n">
        <v>234</v>
      </c>
      <c r="AU27" s="48" t="n">
        <v>513</v>
      </c>
      <c r="AV27" s="48" t="n">
        <v>300</v>
      </c>
      <c r="AW27" s="48" t="n">
        <v>283</v>
      </c>
      <c r="AX27" s="48" t="n">
        <v>706</v>
      </c>
      <c r="AY27" s="48" t="n">
        <v>148</v>
      </c>
      <c r="AZ27" s="48" t="n">
        <v>556</v>
      </c>
      <c r="BA27" s="48" t="n">
        <v>295</v>
      </c>
      <c r="BB27" s="48" t="n">
        <v>101</v>
      </c>
      <c r="BC27" s="48" t="n">
        <v>686</v>
      </c>
      <c r="BD27" s="48" t="n">
        <v>388</v>
      </c>
      <c r="BE27" s="48" t="n">
        <v>275</v>
      </c>
      <c r="BF27" s="48" t="n">
        <v>221</v>
      </c>
      <c r="BG27" s="49" t="n">
        <v>2.08</v>
      </c>
    </row>
    <row r="28" customFormat="false" ht="15" hidden="false" customHeight="false" outlineLevel="0" collapsed="false">
      <c r="A28" s="43" t="s">
        <v>292</v>
      </c>
      <c r="B28" s="43" t="s">
        <v>293</v>
      </c>
      <c r="C28" s="44" t="str">
        <f aca="false">IF(A28="","",IFERROR(INDEX(Assumptions!$B$41:$B$55,MATCH(TRUE(),INDEX(ISNUMBER(SEARCH(" "&amp;Assumptions!$A$41:$A$55&amp;" "," "&amp;SUBSTITUTE(SUBSTITUTE(SUBSTITUTE(SUBSTITUTE(B28,"-"," "),","," "),"/"," "),"."," ")&amp;" ")),0),0)),"Other"))</f>
        <v>Bags</v>
      </c>
      <c r="D28" s="45" t="n">
        <f aca="false">IF(A28="","",BG28*(1-Assumptions!$B$18))</f>
        <v>1.248</v>
      </c>
      <c r="E28" s="46" t="n">
        <f aca="false">IF(A28="","",INDEX(Assumptions!$B$23:$B$26,MOD(VALUE(LEFT(A28,5)),4)+1))</f>
        <v>8</v>
      </c>
      <c r="F28" s="47" t="n">
        <v>771</v>
      </c>
      <c r="G28" s="48" t="n">
        <v>229</v>
      </c>
      <c r="H28" s="48" t="n">
        <v>174</v>
      </c>
      <c r="I28" s="48" t="n">
        <v>62</v>
      </c>
      <c r="J28" s="48" t="n">
        <v>0</v>
      </c>
      <c r="K28" s="48" t="n">
        <v>226</v>
      </c>
      <c r="L28" s="48" t="n">
        <v>391</v>
      </c>
      <c r="M28" s="48" t="n">
        <v>80</v>
      </c>
      <c r="N28" s="48" t="n">
        <v>259</v>
      </c>
      <c r="O28" s="48" t="n">
        <v>147</v>
      </c>
      <c r="P28" s="48" t="n">
        <v>240</v>
      </c>
      <c r="Q28" s="48" t="n">
        <v>512</v>
      </c>
      <c r="R28" s="48" t="n">
        <v>174</v>
      </c>
      <c r="S28" s="48" t="n">
        <v>173</v>
      </c>
      <c r="T28" s="48" t="n">
        <v>117</v>
      </c>
      <c r="U28" s="48" t="n">
        <v>268</v>
      </c>
      <c r="V28" s="48" t="n">
        <v>410</v>
      </c>
      <c r="W28" s="48" t="n">
        <v>359</v>
      </c>
      <c r="X28" s="48" t="n">
        <v>243</v>
      </c>
      <c r="Y28" s="48" t="n">
        <v>182</v>
      </c>
      <c r="Z28" s="48" t="n">
        <v>70</v>
      </c>
      <c r="AA28" s="48" t="n">
        <v>129</v>
      </c>
      <c r="AB28" s="48" t="n">
        <v>181</v>
      </c>
      <c r="AC28" s="48" t="n">
        <v>463</v>
      </c>
      <c r="AD28" s="48" t="n">
        <v>196</v>
      </c>
      <c r="AE28" s="48" t="n">
        <v>271</v>
      </c>
      <c r="AF28" s="48" t="n">
        <v>144</v>
      </c>
      <c r="AG28" s="48" t="n">
        <v>230</v>
      </c>
      <c r="AH28" s="48" t="n">
        <v>113</v>
      </c>
      <c r="AI28" s="48" t="n">
        <v>244</v>
      </c>
      <c r="AJ28" s="48" t="n">
        <v>437</v>
      </c>
      <c r="AK28" s="48" t="n">
        <v>351</v>
      </c>
      <c r="AL28" s="48" t="n">
        <v>186</v>
      </c>
      <c r="AM28" s="48" t="n">
        <v>287</v>
      </c>
      <c r="AN28" s="48" t="n">
        <v>231</v>
      </c>
      <c r="AO28" s="48" t="n">
        <v>393</v>
      </c>
      <c r="AP28" s="48" t="n">
        <v>307</v>
      </c>
      <c r="AQ28" s="48" t="n">
        <v>415</v>
      </c>
      <c r="AR28" s="48" t="n">
        <v>356</v>
      </c>
      <c r="AS28" s="48" t="n">
        <v>312</v>
      </c>
      <c r="AT28" s="48" t="n">
        <v>276</v>
      </c>
      <c r="AU28" s="48" t="n">
        <v>331</v>
      </c>
      <c r="AV28" s="48" t="n">
        <v>288</v>
      </c>
      <c r="AW28" s="48" t="n">
        <v>260</v>
      </c>
      <c r="AX28" s="48" t="n">
        <v>454</v>
      </c>
      <c r="AY28" s="48" t="n">
        <v>263</v>
      </c>
      <c r="AZ28" s="48" t="n">
        <v>140</v>
      </c>
      <c r="BA28" s="48" t="n">
        <v>372</v>
      </c>
      <c r="BB28" s="48" t="n">
        <v>245</v>
      </c>
      <c r="BC28" s="48" t="n">
        <v>507</v>
      </c>
      <c r="BD28" s="48" t="n">
        <v>189</v>
      </c>
      <c r="BE28" s="48" t="n">
        <v>212</v>
      </c>
      <c r="BF28" s="48" t="n">
        <v>258</v>
      </c>
      <c r="BG28" s="49" t="n">
        <v>2.08</v>
      </c>
    </row>
    <row r="29" customFormat="false" ht="15" hidden="false" customHeight="false" outlineLevel="0" collapsed="false">
      <c r="A29" s="43" t="s">
        <v>294</v>
      </c>
      <c r="B29" s="43" t="s">
        <v>295</v>
      </c>
      <c r="C29" s="44" t="str">
        <f aca="false">IF(A29="","",IFERROR(INDEX(Assumptions!$B$41:$B$55,MATCH(TRUE(),INDEX(ISNUMBER(SEARCH(" "&amp;Assumptions!$A$41:$A$55&amp;" "," "&amp;SUBSTITUTE(SUBSTITUTE(SUBSTITUTE(SUBSTITUTE(B29,"-"," "),","," "),"/"," "),"."," ")&amp;" ")),0),0)),"Other"))</f>
        <v>Kitchen</v>
      </c>
      <c r="D29" s="45" t="n">
        <f aca="false">IF(A29="","",BG29*(1-Assumptions!$B$18))</f>
        <v>2.97</v>
      </c>
      <c r="E29" s="46" t="n">
        <f aca="false">IF(A29="","",INDEX(Assumptions!$B$23:$B$26,MOD(VALUE(LEFT(A29,5)),4)+1))</f>
        <v>4</v>
      </c>
      <c r="F29" s="47" t="n">
        <v>1779</v>
      </c>
      <c r="G29" s="48" t="n">
        <v>0</v>
      </c>
      <c r="H29" s="48" t="n">
        <v>0</v>
      </c>
      <c r="I29" s="48" t="n">
        <v>0</v>
      </c>
      <c r="J29" s="48" t="n">
        <v>0</v>
      </c>
      <c r="K29" s="48" t="n">
        <v>0</v>
      </c>
      <c r="L29" s="48" t="n">
        <v>0</v>
      </c>
      <c r="M29" s="48" t="n">
        <v>0</v>
      </c>
      <c r="N29" s="48" t="n">
        <v>0</v>
      </c>
      <c r="O29" s="48" t="n">
        <v>0</v>
      </c>
      <c r="P29" s="48" t="n">
        <v>0</v>
      </c>
      <c r="Q29" s="48" t="n">
        <v>0</v>
      </c>
      <c r="R29" s="48" t="n">
        <v>0</v>
      </c>
      <c r="S29" s="48" t="n">
        <v>0</v>
      </c>
      <c r="T29" s="48" t="n">
        <v>0</v>
      </c>
      <c r="U29" s="48" t="n">
        <v>0</v>
      </c>
      <c r="V29" s="48" t="n">
        <v>0</v>
      </c>
      <c r="W29" s="48" t="n">
        <v>0</v>
      </c>
      <c r="X29" s="48" t="n">
        <v>0</v>
      </c>
      <c r="Y29" s="48" t="n">
        <v>0</v>
      </c>
      <c r="Z29" s="48" t="n">
        <v>0</v>
      </c>
      <c r="AA29" s="48" t="n">
        <v>0</v>
      </c>
      <c r="AB29" s="48" t="n">
        <v>0</v>
      </c>
      <c r="AC29" s="48" t="n">
        <v>0</v>
      </c>
      <c r="AD29" s="48" t="n">
        <v>0</v>
      </c>
      <c r="AE29" s="48" t="n">
        <v>0</v>
      </c>
      <c r="AF29" s="48" t="n">
        <v>0</v>
      </c>
      <c r="AG29" s="48" t="n">
        <v>86</v>
      </c>
      <c r="AH29" s="48" t="n">
        <v>467</v>
      </c>
      <c r="AI29" s="48" t="n">
        <v>219</v>
      </c>
      <c r="AJ29" s="48" t="n">
        <v>710</v>
      </c>
      <c r="AK29" s="48" t="n">
        <v>182</v>
      </c>
      <c r="AL29" s="48" t="n">
        <v>270</v>
      </c>
      <c r="AM29" s="48" t="n">
        <v>338</v>
      </c>
      <c r="AN29" s="48" t="n">
        <v>415</v>
      </c>
      <c r="AO29" s="48" t="n">
        <v>96</v>
      </c>
      <c r="AP29" s="48" t="n">
        <v>347</v>
      </c>
      <c r="AQ29" s="48" t="n">
        <v>139</v>
      </c>
      <c r="AR29" s="48" t="n">
        <v>200</v>
      </c>
      <c r="AS29" s="48" t="n">
        <v>87</v>
      </c>
      <c r="AT29" s="48" t="n">
        <v>130</v>
      </c>
      <c r="AU29" s="48" t="n">
        <v>205</v>
      </c>
      <c r="AV29" s="48" t="n">
        <v>237</v>
      </c>
      <c r="AW29" s="48" t="n">
        <v>180</v>
      </c>
      <c r="AX29" s="48" t="n">
        <v>415</v>
      </c>
      <c r="AY29" s="48" t="n">
        <v>151</v>
      </c>
      <c r="AZ29" s="48" t="n">
        <v>308</v>
      </c>
      <c r="BA29" s="48" t="n">
        <v>89</v>
      </c>
      <c r="BB29" s="48" t="n">
        <v>169</v>
      </c>
      <c r="BC29" s="48" t="n">
        <v>218</v>
      </c>
      <c r="BD29" s="48" t="n">
        <v>195</v>
      </c>
      <c r="BE29" s="48" t="n">
        <v>148</v>
      </c>
      <c r="BF29" s="48" t="n">
        <v>167</v>
      </c>
      <c r="BG29" s="49" t="n">
        <v>4.95</v>
      </c>
    </row>
    <row r="30" customFormat="false" ht="15" hidden="false" customHeight="false" outlineLevel="0" collapsed="false">
      <c r="A30" s="43" t="s">
        <v>296</v>
      </c>
      <c r="B30" s="43" t="s">
        <v>297</v>
      </c>
      <c r="C30" s="44" t="str">
        <f aca="false">IF(A30="","",IFERROR(INDEX(Assumptions!$B$41:$B$55,MATCH(TRUE(),INDEX(ISNUMBER(SEARCH(" "&amp;Assumptions!$A$41:$A$55&amp;" "," "&amp;SUBSTITUTE(SUBSTITUTE(SUBSTITUTE(SUBSTITUTE(B30,"-"," "),","," "),"/"," "),"."," ")&amp;" ")),0),0)),"Other"))</f>
        <v>Other</v>
      </c>
      <c r="D30" s="45" t="n">
        <f aca="false">IF(A30="","",BG30*(1-Assumptions!$B$18))</f>
        <v>2.97</v>
      </c>
      <c r="E30" s="46" t="n">
        <f aca="false">IF(A30="","",INDEX(Assumptions!$B$23:$B$26,MOD(VALUE(LEFT(A30,5)),4)+1))</f>
        <v>2</v>
      </c>
      <c r="F30" s="47" t="n">
        <v>4634</v>
      </c>
      <c r="G30" s="48" t="n">
        <v>431</v>
      </c>
      <c r="H30" s="48" t="n">
        <v>366</v>
      </c>
      <c r="I30" s="48" t="n">
        <v>219</v>
      </c>
      <c r="J30" s="48" t="n">
        <v>0</v>
      </c>
      <c r="K30" s="48" t="n">
        <v>54</v>
      </c>
      <c r="L30" s="48" t="n">
        <v>51</v>
      </c>
      <c r="M30" s="48" t="n">
        <v>35</v>
      </c>
      <c r="N30" s="48" t="n">
        <v>30</v>
      </c>
      <c r="O30" s="48" t="n">
        <v>20</v>
      </c>
      <c r="P30" s="48" t="n">
        <v>16</v>
      </c>
      <c r="Q30" s="48" t="n">
        <v>24</v>
      </c>
      <c r="R30" s="48" t="n">
        <v>39</v>
      </c>
      <c r="S30" s="48" t="n">
        <v>12</v>
      </c>
      <c r="T30" s="48" t="n">
        <v>18</v>
      </c>
      <c r="U30" s="48" t="n">
        <v>12</v>
      </c>
      <c r="V30" s="48" t="n">
        <v>5</v>
      </c>
      <c r="W30" s="48" t="n">
        <v>7</v>
      </c>
      <c r="X30" s="48" t="n">
        <v>6</v>
      </c>
      <c r="Y30" s="48" t="n">
        <v>13</v>
      </c>
      <c r="Z30" s="48" t="n">
        <v>7</v>
      </c>
      <c r="AA30" s="48" t="n">
        <v>24</v>
      </c>
      <c r="AB30" s="48" t="n">
        <v>29</v>
      </c>
      <c r="AC30" s="48" t="n">
        <v>14</v>
      </c>
      <c r="AD30" s="48" t="n">
        <v>40</v>
      </c>
      <c r="AE30" s="48" t="n">
        <v>6</v>
      </c>
      <c r="AF30" s="48" t="n">
        <v>6</v>
      </c>
      <c r="AG30" s="48" t="n">
        <v>10</v>
      </c>
      <c r="AH30" s="48" t="n">
        <v>85</v>
      </c>
      <c r="AI30" s="48" t="n">
        <v>2</v>
      </c>
      <c r="AJ30" s="48" t="n">
        <v>14</v>
      </c>
      <c r="AK30" s="48" t="n">
        <v>19</v>
      </c>
      <c r="AL30" s="48" t="n">
        <v>8</v>
      </c>
      <c r="AM30" s="48" t="n">
        <v>103</v>
      </c>
      <c r="AN30" s="48" t="n">
        <v>61</v>
      </c>
      <c r="AO30" s="48" t="n">
        <v>52</v>
      </c>
      <c r="AP30" s="48" t="n">
        <v>51</v>
      </c>
      <c r="AQ30" s="48" t="n">
        <v>14</v>
      </c>
      <c r="AR30" s="48" t="n">
        <v>131</v>
      </c>
      <c r="AS30" s="48" t="n">
        <v>60</v>
      </c>
      <c r="AT30" s="48" t="n">
        <v>168</v>
      </c>
      <c r="AU30" s="48" t="n">
        <v>168</v>
      </c>
      <c r="AV30" s="48" t="n">
        <v>197</v>
      </c>
      <c r="AW30" s="48" t="n">
        <v>177</v>
      </c>
      <c r="AX30" s="48" t="n">
        <v>90</v>
      </c>
      <c r="AY30" s="48" t="n">
        <v>126</v>
      </c>
      <c r="AZ30" s="48" t="n">
        <v>330</v>
      </c>
      <c r="BA30" s="48" t="n">
        <v>235</v>
      </c>
      <c r="BB30" s="48" t="n">
        <v>210</v>
      </c>
      <c r="BC30" s="48" t="n">
        <v>460</v>
      </c>
      <c r="BD30" s="48" t="n">
        <v>549</v>
      </c>
      <c r="BE30" s="48" t="n">
        <v>223</v>
      </c>
      <c r="BF30" s="48" t="n">
        <v>450</v>
      </c>
      <c r="BG30" s="49" t="n">
        <v>4.95</v>
      </c>
    </row>
    <row r="31" customFormat="false" ht="15" hidden="false" customHeight="false" outlineLevel="0" collapsed="false">
      <c r="A31" s="43" t="s">
        <v>298</v>
      </c>
      <c r="B31" s="43" t="s">
        <v>299</v>
      </c>
      <c r="C31" s="44" t="str">
        <f aca="false">IF(A31="","",IFERROR(INDEX(Assumptions!$B$41:$B$55,MATCH(TRUE(),INDEX(ISNUMBER(SEARCH(" "&amp;Assumptions!$A$41:$A$55&amp;" "," "&amp;SUBSTITUTE(SUBSTITUTE(SUBSTITUTE(SUBSTITUTE(B31,"-"," "),","," "),"/"," "),"."," ")&amp;" ")),0),0)),"Other"))</f>
        <v>Other</v>
      </c>
      <c r="D31" s="45" t="n">
        <f aca="false">IF(A31="","",BG31*(1-Assumptions!$B$18))</f>
        <v>1.77</v>
      </c>
      <c r="E31" s="46" t="n">
        <f aca="false">IF(A31="","",INDEX(Assumptions!$B$23:$B$26,MOD(VALUE(LEFT(A31,5)),4)+1))</f>
        <v>6</v>
      </c>
      <c r="F31" s="47" t="n">
        <v>1301</v>
      </c>
      <c r="G31" s="48" t="n">
        <v>625</v>
      </c>
      <c r="H31" s="48" t="n">
        <v>233</v>
      </c>
      <c r="I31" s="48" t="n">
        <v>55</v>
      </c>
      <c r="J31" s="48" t="n">
        <v>0</v>
      </c>
      <c r="K31" s="48" t="n">
        <v>139</v>
      </c>
      <c r="L31" s="48" t="n">
        <v>1368</v>
      </c>
      <c r="M31" s="48" t="n">
        <v>75</v>
      </c>
      <c r="N31" s="48" t="n">
        <v>175</v>
      </c>
      <c r="O31" s="48" t="n">
        <v>151</v>
      </c>
      <c r="P31" s="48" t="n">
        <v>190</v>
      </c>
      <c r="Q31" s="48" t="n">
        <v>148</v>
      </c>
      <c r="R31" s="48" t="n">
        <v>234</v>
      </c>
      <c r="S31" s="48" t="n">
        <v>49</v>
      </c>
      <c r="T31" s="48" t="n">
        <v>47</v>
      </c>
      <c r="U31" s="48" t="n">
        <v>0</v>
      </c>
      <c r="V31" s="48" t="n">
        <v>0</v>
      </c>
      <c r="W31" s="48" t="n">
        <v>0</v>
      </c>
      <c r="X31" s="48" t="n">
        <v>0</v>
      </c>
      <c r="Y31" s="48" t="n">
        <v>2</v>
      </c>
      <c r="Z31" s="48" t="n">
        <v>0</v>
      </c>
      <c r="AA31" s="48" t="n">
        <v>0</v>
      </c>
      <c r="AB31" s="48" t="n">
        <v>0</v>
      </c>
      <c r="AC31" s="48" t="n">
        <v>0</v>
      </c>
      <c r="AD31" s="48" t="n">
        <v>327</v>
      </c>
      <c r="AE31" s="48" t="n">
        <v>895</v>
      </c>
      <c r="AF31" s="48" t="n">
        <v>227</v>
      </c>
      <c r="AG31" s="48" t="n">
        <v>182</v>
      </c>
      <c r="AH31" s="48" t="n">
        <v>60</v>
      </c>
      <c r="AI31" s="48" t="n">
        <v>66</v>
      </c>
      <c r="AJ31" s="48" t="n">
        <v>49</v>
      </c>
      <c r="AK31" s="48" t="n">
        <v>142</v>
      </c>
      <c r="AL31" s="48" t="n">
        <v>173</v>
      </c>
      <c r="AM31" s="48" t="n">
        <v>63</v>
      </c>
      <c r="AN31" s="48" t="n">
        <v>185</v>
      </c>
      <c r="AO31" s="48" t="n">
        <v>65</v>
      </c>
      <c r="AP31" s="48" t="n">
        <v>88</v>
      </c>
      <c r="AQ31" s="48" t="n">
        <v>37</v>
      </c>
      <c r="AR31" s="48" t="n">
        <v>68</v>
      </c>
      <c r="AS31" s="48" t="n">
        <v>63</v>
      </c>
      <c r="AT31" s="48" t="n">
        <v>64</v>
      </c>
      <c r="AU31" s="48" t="n">
        <v>167</v>
      </c>
      <c r="AV31" s="48" t="n">
        <v>781</v>
      </c>
      <c r="AW31" s="48" t="n">
        <v>101</v>
      </c>
      <c r="AX31" s="48" t="n">
        <v>241</v>
      </c>
      <c r="AY31" s="48" t="n">
        <v>93</v>
      </c>
      <c r="AZ31" s="48" t="n">
        <v>80</v>
      </c>
      <c r="BA31" s="48" t="n">
        <v>164</v>
      </c>
      <c r="BB31" s="48" t="n">
        <v>504</v>
      </c>
      <c r="BC31" s="48" t="n">
        <v>172</v>
      </c>
      <c r="BD31" s="48" t="n">
        <v>103</v>
      </c>
      <c r="BE31" s="48" t="n">
        <v>156</v>
      </c>
      <c r="BF31" s="48" t="n">
        <v>861</v>
      </c>
      <c r="BG31" s="49" t="n">
        <v>2.95</v>
      </c>
    </row>
    <row r="32" customFormat="false" ht="15" hidden="false" customHeight="false" outlineLevel="0" collapsed="false">
      <c r="A32" s="43" t="s">
        <v>300</v>
      </c>
      <c r="B32" s="43" t="s">
        <v>301</v>
      </c>
      <c r="C32" s="44" t="str">
        <f aca="false">IF(A32="","",IFERROR(INDEX(Assumptions!$B$41:$B$55,MATCH(TRUE(),INDEX(ISNUMBER(SEARCH(" "&amp;Assumptions!$A$41:$A$55&amp;" "," "&amp;SUBSTITUTE(SUBSTITUTE(SUBSTITUTE(SUBSTITUTE(B32,"-"," "),","," "),"/"," "),"."," ")&amp;" ")),0),0)),"Other"))</f>
        <v>Other</v>
      </c>
      <c r="D32" s="45" t="n">
        <f aca="false">IF(A32="","",BG32*(1-Assumptions!$B$18))</f>
        <v>1.77</v>
      </c>
      <c r="E32" s="46" t="n">
        <f aca="false">IF(A32="","",INDEX(Assumptions!$B$23:$B$26,MOD(VALUE(LEFT(A32,5)),4)+1))</f>
        <v>6</v>
      </c>
      <c r="F32" s="47" t="n">
        <v>1634</v>
      </c>
      <c r="G32" s="48" t="n">
        <v>534</v>
      </c>
      <c r="H32" s="48" t="n">
        <v>350</v>
      </c>
      <c r="I32" s="48" t="n">
        <v>120</v>
      </c>
      <c r="J32" s="48" t="n">
        <v>0</v>
      </c>
      <c r="K32" s="48" t="n">
        <v>15</v>
      </c>
      <c r="L32" s="48" t="n">
        <v>3</v>
      </c>
      <c r="M32" s="48" t="n">
        <v>1</v>
      </c>
      <c r="N32" s="48" t="n">
        <v>2</v>
      </c>
      <c r="O32" s="48" t="n">
        <v>12</v>
      </c>
      <c r="P32" s="48" t="n">
        <v>0</v>
      </c>
      <c r="Q32" s="48" t="n">
        <v>0</v>
      </c>
      <c r="R32" s="48" t="n">
        <v>0</v>
      </c>
      <c r="S32" s="48" t="n">
        <v>40</v>
      </c>
      <c r="T32" s="48" t="n">
        <v>0</v>
      </c>
      <c r="U32" s="48" t="n">
        <v>0</v>
      </c>
      <c r="V32" s="48" t="n">
        <v>0</v>
      </c>
      <c r="W32" s="48" t="n">
        <v>0</v>
      </c>
      <c r="X32" s="48" t="n">
        <v>40</v>
      </c>
      <c r="Y32" s="48" t="n">
        <v>0</v>
      </c>
      <c r="Z32" s="48" t="n">
        <v>0</v>
      </c>
      <c r="AA32" s="48" t="n">
        <v>0</v>
      </c>
      <c r="AB32" s="48" t="n">
        <v>1</v>
      </c>
      <c r="AC32" s="48" t="n">
        <v>0</v>
      </c>
      <c r="AD32" s="48" t="n">
        <v>7</v>
      </c>
      <c r="AE32" s="48" t="n">
        <v>1</v>
      </c>
      <c r="AF32" s="48" t="n">
        <v>0</v>
      </c>
      <c r="AG32" s="48" t="n">
        <v>0</v>
      </c>
      <c r="AH32" s="48" t="n">
        <v>2</v>
      </c>
      <c r="AI32" s="48" t="n">
        <v>0</v>
      </c>
      <c r="AJ32" s="48" t="n">
        <v>35</v>
      </c>
      <c r="AK32" s="48" t="n">
        <v>18</v>
      </c>
      <c r="AL32" s="48" t="n">
        <v>53</v>
      </c>
      <c r="AM32" s="48" t="n">
        <v>27</v>
      </c>
      <c r="AN32" s="48" t="n">
        <v>327</v>
      </c>
      <c r="AO32" s="48" t="n">
        <v>207</v>
      </c>
      <c r="AP32" s="48" t="n">
        <v>21</v>
      </c>
      <c r="AQ32" s="48" t="n">
        <v>104</v>
      </c>
      <c r="AR32" s="48" t="n">
        <v>15</v>
      </c>
      <c r="AS32" s="48" t="n">
        <v>257</v>
      </c>
      <c r="AT32" s="48" t="n">
        <v>152</v>
      </c>
      <c r="AU32" s="48" t="n">
        <v>367</v>
      </c>
      <c r="AV32" s="48" t="n">
        <v>813</v>
      </c>
      <c r="AW32" s="48" t="n">
        <v>159</v>
      </c>
      <c r="AX32" s="48" t="n">
        <v>537</v>
      </c>
      <c r="AY32" s="48" t="n">
        <v>476</v>
      </c>
      <c r="AZ32" s="48" t="n">
        <v>326</v>
      </c>
      <c r="BA32" s="48" t="n">
        <v>322</v>
      </c>
      <c r="BB32" s="48" t="n">
        <v>560</v>
      </c>
      <c r="BC32" s="48" t="n">
        <v>680</v>
      </c>
      <c r="BD32" s="48" t="n">
        <v>1216</v>
      </c>
      <c r="BE32" s="48" t="n">
        <v>1043</v>
      </c>
      <c r="BF32" s="48" t="n">
        <v>598</v>
      </c>
      <c r="BG32" s="49" t="n">
        <v>2.95</v>
      </c>
    </row>
    <row r="33" customFormat="false" ht="15" hidden="false" customHeight="false" outlineLevel="0" collapsed="false">
      <c r="A33" s="43" t="s">
        <v>302</v>
      </c>
      <c r="B33" s="43" t="s">
        <v>303</v>
      </c>
      <c r="C33" s="44" t="str">
        <f aca="false">IF(A33="","",IFERROR(INDEX(Assumptions!$B$41:$B$55,MATCH(TRUE(),INDEX(ISNUMBER(SEARCH(" "&amp;Assumptions!$A$41:$A$55&amp;" "," "&amp;SUBSTITUTE(SUBSTITUTE(SUBSTITUTE(SUBSTITUTE(B33,"-"," "),","," "),"/"," "),"."," ")&amp;" ")),0),0)),"Other"))</f>
        <v>Other</v>
      </c>
      <c r="D33" s="45" t="n">
        <f aca="false">IF(A33="","",BG33*(1-Assumptions!$B$18))</f>
        <v>2.55</v>
      </c>
      <c r="E33" s="46" t="n">
        <f aca="false">IF(A33="","",INDEX(Assumptions!$B$23:$B$26,MOD(VALUE(LEFT(A33,5)),4)+1))</f>
        <v>6</v>
      </c>
      <c r="F33" s="47" t="n">
        <v>1253</v>
      </c>
      <c r="G33" s="48" t="n">
        <v>580</v>
      </c>
      <c r="H33" s="48" t="n">
        <v>159</v>
      </c>
      <c r="I33" s="48" t="n">
        <v>220</v>
      </c>
      <c r="J33" s="48" t="n">
        <v>0</v>
      </c>
      <c r="K33" s="48" t="n">
        <v>1</v>
      </c>
      <c r="L33" s="48" t="n">
        <v>0</v>
      </c>
      <c r="M33" s="48" t="n">
        <v>0</v>
      </c>
      <c r="N33" s="48" t="n">
        <v>1</v>
      </c>
      <c r="O33" s="48" t="n">
        <v>1</v>
      </c>
      <c r="P33" s="48" t="n">
        <v>0</v>
      </c>
      <c r="Q33" s="48" t="n">
        <v>0</v>
      </c>
      <c r="R33" s="48" t="n">
        <v>3</v>
      </c>
      <c r="S33" s="48" t="n">
        <v>5</v>
      </c>
      <c r="T33" s="48" t="n">
        <v>3</v>
      </c>
      <c r="U33" s="48" t="n">
        <v>0</v>
      </c>
      <c r="V33" s="48" t="n">
        <v>0</v>
      </c>
      <c r="W33" s="48" t="n">
        <v>0</v>
      </c>
      <c r="X33" s="48" t="n">
        <v>0</v>
      </c>
      <c r="Y33" s="48" t="n">
        <v>0</v>
      </c>
      <c r="Z33" s="48" t="n">
        <v>0</v>
      </c>
      <c r="AA33" s="48" t="n">
        <v>0</v>
      </c>
      <c r="AB33" s="48" t="n">
        <v>0</v>
      </c>
      <c r="AC33" s="48" t="n">
        <v>0</v>
      </c>
      <c r="AD33" s="48" t="n">
        <v>0</v>
      </c>
      <c r="AE33" s="48" t="n">
        <v>0</v>
      </c>
      <c r="AF33" s="48" t="n">
        <v>0</v>
      </c>
      <c r="AG33" s="48" t="n">
        <v>0</v>
      </c>
      <c r="AH33" s="48" t="n">
        <v>0</v>
      </c>
      <c r="AI33" s="48" t="n">
        <v>0</v>
      </c>
      <c r="AJ33" s="48" t="n">
        <v>0</v>
      </c>
      <c r="AK33" s="48" t="n">
        <v>0</v>
      </c>
      <c r="AL33" s="48" t="n">
        <v>0</v>
      </c>
      <c r="AM33" s="48" t="n">
        <v>0</v>
      </c>
      <c r="AN33" s="48" t="n">
        <v>0</v>
      </c>
      <c r="AO33" s="48" t="n">
        <v>0</v>
      </c>
      <c r="AP33" s="48" t="n">
        <v>0</v>
      </c>
      <c r="AQ33" s="48" t="n">
        <v>3</v>
      </c>
      <c r="AR33" s="48" t="n">
        <v>71</v>
      </c>
      <c r="AS33" s="48" t="n">
        <v>46</v>
      </c>
      <c r="AT33" s="48" t="n">
        <v>163</v>
      </c>
      <c r="AU33" s="48" t="n">
        <v>252</v>
      </c>
      <c r="AV33" s="48" t="n">
        <v>527</v>
      </c>
      <c r="AW33" s="48" t="n">
        <v>148</v>
      </c>
      <c r="AX33" s="48" t="n">
        <v>200</v>
      </c>
      <c r="AY33" s="48" t="n">
        <v>192</v>
      </c>
      <c r="AZ33" s="48" t="n">
        <v>214</v>
      </c>
      <c r="BA33" s="48" t="n">
        <v>210</v>
      </c>
      <c r="BB33" s="48" t="n">
        <v>207</v>
      </c>
      <c r="BC33" s="48" t="n">
        <v>444</v>
      </c>
      <c r="BD33" s="48" t="n">
        <v>567</v>
      </c>
      <c r="BE33" s="48" t="n">
        <v>357</v>
      </c>
      <c r="BF33" s="48" t="n">
        <v>438</v>
      </c>
      <c r="BG33" s="49" t="n">
        <v>4.25</v>
      </c>
    </row>
    <row r="34" customFormat="false" ht="15" hidden="false" customHeight="false" outlineLevel="0" collapsed="false">
      <c r="A34" s="43" t="s">
        <v>304</v>
      </c>
      <c r="B34" s="43" t="s">
        <v>305</v>
      </c>
      <c r="C34" s="44" t="str">
        <f aca="false">IF(A34="","",IFERROR(INDEX(Assumptions!$B$41:$B$55,MATCH(TRUE(),INDEX(ISNUMBER(SEARCH(" "&amp;Assumptions!$A$41:$A$55&amp;" "," "&amp;SUBSTITUTE(SUBSTITUTE(SUBSTITUTE(SUBSTITUTE(B34,"-"," "),","," "),"/"," "),"."," ")&amp;" ")),0),0)),"Other"))</f>
        <v>Other</v>
      </c>
      <c r="D34" s="45" t="n">
        <f aca="false">IF(A34="","",BG34*(1-Assumptions!$B$18))</f>
        <v>1.77</v>
      </c>
      <c r="E34" s="46" t="n">
        <f aca="false">IF(A34="","",INDEX(Assumptions!$B$23:$B$26,MOD(VALUE(LEFT(A34,5)),4)+1))</f>
        <v>8</v>
      </c>
      <c r="F34" s="47" t="n">
        <v>547</v>
      </c>
      <c r="G34" s="48" t="n">
        <v>149</v>
      </c>
      <c r="H34" s="48" t="n">
        <v>133</v>
      </c>
      <c r="I34" s="48" t="n">
        <v>84</v>
      </c>
      <c r="J34" s="48" t="n">
        <v>0</v>
      </c>
      <c r="K34" s="48" t="n">
        <v>54</v>
      </c>
      <c r="L34" s="48" t="n">
        <v>168</v>
      </c>
      <c r="M34" s="48" t="n">
        <v>41</v>
      </c>
      <c r="N34" s="48" t="n">
        <v>150</v>
      </c>
      <c r="O34" s="48" t="n">
        <v>227</v>
      </c>
      <c r="P34" s="48" t="n">
        <v>51</v>
      </c>
      <c r="Q34" s="48" t="n">
        <v>306</v>
      </c>
      <c r="R34" s="48" t="n">
        <v>143</v>
      </c>
      <c r="S34" s="48" t="n">
        <v>242</v>
      </c>
      <c r="T34" s="48" t="n">
        <v>129</v>
      </c>
      <c r="U34" s="48" t="n">
        <v>204</v>
      </c>
      <c r="V34" s="48" t="n">
        <v>94</v>
      </c>
      <c r="W34" s="48" t="n">
        <v>154</v>
      </c>
      <c r="X34" s="48" t="n">
        <v>121</v>
      </c>
      <c r="Y34" s="48" t="n">
        <v>264</v>
      </c>
      <c r="Z34" s="48" t="n">
        <v>106</v>
      </c>
      <c r="AA34" s="48" t="n">
        <v>79</v>
      </c>
      <c r="AB34" s="48" t="n">
        <v>113</v>
      </c>
      <c r="AC34" s="48" t="n">
        <v>191</v>
      </c>
      <c r="AD34" s="48" t="n">
        <v>313</v>
      </c>
      <c r="AE34" s="48" t="n">
        <v>167</v>
      </c>
      <c r="AF34" s="48" t="n">
        <v>113</v>
      </c>
      <c r="AG34" s="48" t="n">
        <v>209</v>
      </c>
      <c r="AH34" s="48" t="n">
        <v>219</v>
      </c>
      <c r="AI34" s="48" t="n">
        <v>90</v>
      </c>
      <c r="AJ34" s="48" t="n">
        <v>861</v>
      </c>
      <c r="AK34" s="48" t="n">
        <v>84</v>
      </c>
      <c r="AL34" s="48" t="n">
        <v>227</v>
      </c>
      <c r="AM34" s="48" t="n">
        <v>260</v>
      </c>
      <c r="AN34" s="48" t="n">
        <v>573</v>
      </c>
      <c r="AO34" s="48" t="n">
        <v>179</v>
      </c>
      <c r="AP34" s="48" t="n">
        <v>112</v>
      </c>
      <c r="AQ34" s="48" t="n">
        <v>216</v>
      </c>
      <c r="AR34" s="48" t="n">
        <v>80</v>
      </c>
      <c r="AS34" s="48" t="n">
        <v>185</v>
      </c>
      <c r="AT34" s="48" t="n">
        <v>266</v>
      </c>
      <c r="AU34" s="48" t="n">
        <v>225</v>
      </c>
      <c r="AV34" s="48" t="n">
        <v>218</v>
      </c>
      <c r="AW34" s="48" t="n">
        <v>155</v>
      </c>
      <c r="AX34" s="48" t="n">
        <v>353</v>
      </c>
      <c r="AY34" s="48" t="n">
        <v>131</v>
      </c>
      <c r="AZ34" s="48" t="n">
        <v>248</v>
      </c>
      <c r="BA34" s="48" t="n">
        <v>120</v>
      </c>
      <c r="BB34" s="48" t="n">
        <v>89</v>
      </c>
      <c r="BC34" s="48" t="n">
        <v>176</v>
      </c>
      <c r="BD34" s="48" t="n">
        <v>169</v>
      </c>
      <c r="BE34" s="48" t="n">
        <v>116</v>
      </c>
      <c r="BF34" s="48" t="n">
        <v>128</v>
      </c>
      <c r="BG34" s="49" t="n">
        <v>2.95</v>
      </c>
    </row>
    <row r="35" customFormat="false" ht="15" hidden="false" customHeight="false" outlineLevel="0" collapsed="false">
      <c r="A35" s="43" t="s">
        <v>306</v>
      </c>
      <c r="B35" s="43" t="s">
        <v>307</v>
      </c>
      <c r="C35" s="44" t="str">
        <f aca="false">IF(A35="","",IFERROR(INDEX(Assumptions!$B$41:$B$55,MATCH(TRUE(),INDEX(ISNUMBER(SEARCH(" "&amp;Assumptions!$A$41:$A$55&amp;" "," "&amp;SUBSTITUTE(SUBSTITUTE(SUBSTITUTE(SUBSTITUTE(B35,"-"," "),","," "),"/"," "),"."," ")&amp;" ")),0),0)),"Other"))</f>
        <v>Other</v>
      </c>
      <c r="D35" s="45" t="n">
        <f aca="false">IF(A35="","",BG35*(1-Assumptions!$B$18))</f>
        <v>1.248</v>
      </c>
      <c r="E35" s="46" t="n">
        <f aca="false">IF(A35="","",INDEX(Assumptions!$B$23:$B$26,MOD(VALUE(LEFT(A35,5)),4)+1))</f>
        <v>8</v>
      </c>
      <c r="F35" s="47" t="n">
        <v>3031</v>
      </c>
      <c r="G35" s="48" t="n">
        <v>282</v>
      </c>
      <c r="H35" s="48" t="n">
        <v>244</v>
      </c>
      <c r="I35" s="48" t="n">
        <v>57</v>
      </c>
      <c r="J35" s="48" t="n">
        <v>0</v>
      </c>
      <c r="K35" s="48" t="n">
        <v>108</v>
      </c>
      <c r="L35" s="48" t="n">
        <v>168</v>
      </c>
      <c r="M35" s="48" t="n">
        <v>106</v>
      </c>
      <c r="N35" s="48" t="n">
        <v>136</v>
      </c>
      <c r="O35" s="48" t="n">
        <v>114</v>
      </c>
      <c r="P35" s="48" t="n">
        <v>113</v>
      </c>
      <c r="Q35" s="48" t="n">
        <v>182</v>
      </c>
      <c r="R35" s="48" t="n">
        <v>198</v>
      </c>
      <c r="S35" s="48" t="n">
        <v>134</v>
      </c>
      <c r="T35" s="48" t="n">
        <v>135</v>
      </c>
      <c r="U35" s="48" t="n">
        <v>244</v>
      </c>
      <c r="V35" s="48" t="n">
        <v>345</v>
      </c>
      <c r="W35" s="48" t="n">
        <v>301</v>
      </c>
      <c r="X35" s="48" t="n">
        <v>53</v>
      </c>
      <c r="Y35" s="48" t="n">
        <v>155</v>
      </c>
      <c r="Z35" s="48" t="n">
        <v>235</v>
      </c>
      <c r="AA35" s="48" t="n">
        <v>162</v>
      </c>
      <c r="AB35" s="48" t="n">
        <v>169</v>
      </c>
      <c r="AC35" s="48" t="n">
        <v>525</v>
      </c>
      <c r="AD35" s="48" t="n">
        <v>404</v>
      </c>
      <c r="AE35" s="48" t="n">
        <v>338</v>
      </c>
      <c r="AF35" s="48" t="n">
        <v>85</v>
      </c>
      <c r="AG35" s="48" t="n">
        <v>188</v>
      </c>
      <c r="AH35" s="48" t="n">
        <v>144</v>
      </c>
      <c r="AI35" s="48" t="n">
        <v>231</v>
      </c>
      <c r="AJ35" s="48" t="n">
        <v>289</v>
      </c>
      <c r="AK35" s="48" t="n">
        <v>198</v>
      </c>
      <c r="AL35" s="48" t="n">
        <v>93</v>
      </c>
      <c r="AM35" s="48" t="n">
        <v>315</v>
      </c>
      <c r="AN35" s="48" t="n">
        <v>118</v>
      </c>
      <c r="AO35" s="48" t="n">
        <v>410</v>
      </c>
      <c r="AP35" s="48" t="n">
        <v>239</v>
      </c>
      <c r="AQ35" s="48" t="n">
        <v>363</v>
      </c>
      <c r="AR35" s="48" t="n">
        <v>312</v>
      </c>
      <c r="AS35" s="48" t="n">
        <v>155</v>
      </c>
      <c r="AT35" s="48" t="n">
        <v>284</v>
      </c>
      <c r="AU35" s="48" t="n">
        <v>335</v>
      </c>
      <c r="AV35" s="48" t="n">
        <v>552</v>
      </c>
      <c r="AW35" s="48" t="n">
        <v>489</v>
      </c>
      <c r="AX35" s="48" t="n">
        <v>213</v>
      </c>
      <c r="AY35" s="48" t="n">
        <v>250</v>
      </c>
      <c r="AZ35" s="48" t="n">
        <v>91</v>
      </c>
      <c r="BA35" s="48" t="n">
        <v>156</v>
      </c>
      <c r="BB35" s="48" t="n">
        <v>91</v>
      </c>
      <c r="BC35" s="48" t="n">
        <v>627</v>
      </c>
      <c r="BD35" s="48" t="n">
        <v>290</v>
      </c>
      <c r="BE35" s="48" t="n">
        <v>356</v>
      </c>
      <c r="BF35" s="48" t="n">
        <v>340</v>
      </c>
      <c r="BG35" s="49" t="n">
        <v>2.08</v>
      </c>
    </row>
    <row r="36" customFormat="false" ht="15" hidden="false" customHeight="false" outlineLevel="0" collapsed="false">
      <c r="A36" s="43" t="s">
        <v>308</v>
      </c>
      <c r="B36" s="43" t="s">
        <v>309</v>
      </c>
      <c r="C36" s="44" t="str">
        <f aca="false">IF(A36="","",IFERROR(INDEX(Assumptions!$B$41:$B$55,MATCH(TRUE(),INDEX(ISNUMBER(SEARCH(" "&amp;Assumptions!$A$41:$A$55&amp;" "," "&amp;SUBSTITUTE(SUBSTITUTE(SUBSTITUTE(SUBSTITUTE(B36,"-"," "),","," "),"/"," "),"."," ")&amp;" ")),0),0)),"Other"))</f>
        <v>Bags</v>
      </c>
      <c r="D36" s="45" t="n">
        <f aca="false">IF(A36="","",BG36*(1-Assumptions!$B$18))</f>
        <v>1.248</v>
      </c>
      <c r="E36" s="46" t="n">
        <f aca="false">IF(A36="","",INDEX(Assumptions!$B$23:$B$26,MOD(VALUE(LEFT(A36,5)),4)+1))</f>
        <v>4</v>
      </c>
      <c r="F36" s="47" t="n">
        <v>9406</v>
      </c>
      <c r="G36" s="48" t="n">
        <v>0</v>
      </c>
      <c r="H36" s="48" t="n">
        <v>0</v>
      </c>
      <c r="I36" s="48" t="n">
        <v>0</v>
      </c>
      <c r="J36" s="48" t="n">
        <v>0</v>
      </c>
      <c r="K36" s="48" t="n">
        <v>0</v>
      </c>
      <c r="L36" s="48" t="n">
        <v>0</v>
      </c>
      <c r="M36" s="48" t="n">
        <v>0</v>
      </c>
      <c r="N36" s="48" t="n">
        <v>0</v>
      </c>
      <c r="O36" s="48" t="n">
        <v>0</v>
      </c>
      <c r="P36" s="48" t="n">
        <v>0</v>
      </c>
      <c r="Q36" s="48" t="n">
        <v>0</v>
      </c>
      <c r="R36" s="48" t="n">
        <v>0</v>
      </c>
      <c r="S36" s="48" t="n">
        <v>0</v>
      </c>
      <c r="T36" s="48" t="n">
        <v>0</v>
      </c>
      <c r="U36" s="48" t="n">
        <v>0</v>
      </c>
      <c r="V36" s="48" t="n">
        <v>0</v>
      </c>
      <c r="W36" s="48" t="n">
        <v>0</v>
      </c>
      <c r="X36" s="48" t="n">
        <v>0</v>
      </c>
      <c r="Y36" s="48" t="n">
        <v>465</v>
      </c>
      <c r="Z36" s="48" t="n">
        <v>297</v>
      </c>
      <c r="AA36" s="48" t="n">
        <v>142</v>
      </c>
      <c r="AB36" s="48" t="n">
        <v>392</v>
      </c>
      <c r="AC36" s="48" t="n">
        <v>628</v>
      </c>
      <c r="AD36" s="48" t="n">
        <v>358</v>
      </c>
      <c r="AE36" s="48" t="n">
        <v>383</v>
      </c>
      <c r="AF36" s="48" t="n">
        <v>265</v>
      </c>
      <c r="AG36" s="48" t="n">
        <v>112</v>
      </c>
      <c r="AH36" s="48" t="n">
        <v>270</v>
      </c>
      <c r="AI36" s="48" t="n">
        <v>343</v>
      </c>
      <c r="AJ36" s="48" t="n">
        <v>339</v>
      </c>
      <c r="AK36" s="48" t="n">
        <v>380</v>
      </c>
      <c r="AL36" s="48" t="n">
        <v>116</v>
      </c>
      <c r="AM36" s="48" t="n">
        <v>188</v>
      </c>
      <c r="AN36" s="48" t="n">
        <v>455</v>
      </c>
      <c r="AO36" s="48" t="n">
        <v>426</v>
      </c>
      <c r="AP36" s="48" t="n">
        <v>688</v>
      </c>
      <c r="AQ36" s="48" t="n">
        <v>283</v>
      </c>
      <c r="AR36" s="48" t="n">
        <v>980</v>
      </c>
      <c r="AS36" s="48" t="n">
        <v>169</v>
      </c>
      <c r="AT36" s="48" t="n">
        <v>280</v>
      </c>
      <c r="AU36" s="48" t="n">
        <v>348</v>
      </c>
      <c r="AV36" s="48" t="n">
        <v>681</v>
      </c>
      <c r="AW36" s="48" t="n">
        <v>284</v>
      </c>
      <c r="AX36" s="48" t="n">
        <v>510</v>
      </c>
      <c r="AY36" s="48" t="n">
        <v>205</v>
      </c>
      <c r="AZ36" s="48" t="n">
        <v>376</v>
      </c>
      <c r="BA36" s="48" t="n">
        <v>405</v>
      </c>
      <c r="BB36" s="48" t="n">
        <v>150</v>
      </c>
      <c r="BC36" s="48" t="n">
        <v>912</v>
      </c>
      <c r="BD36" s="48" t="n">
        <v>483</v>
      </c>
      <c r="BE36" s="48" t="n">
        <v>138</v>
      </c>
      <c r="BF36" s="48" t="n">
        <v>768</v>
      </c>
      <c r="BG36" s="49" t="n">
        <v>2.08</v>
      </c>
    </row>
    <row r="37" customFormat="false" ht="15" hidden="false" customHeight="false" outlineLevel="0" collapsed="false">
      <c r="A37" s="43" t="s">
        <v>310</v>
      </c>
      <c r="B37" s="43" t="s">
        <v>311</v>
      </c>
      <c r="C37" s="44" t="str">
        <f aca="false">IF(A37="","",IFERROR(INDEX(Assumptions!$B$41:$B$55,MATCH(TRUE(),INDEX(ISNUMBER(SEARCH(" "&amp;Assumptions!$A$41:$A$55&amp;" "," "&amp;SUBSTITUTE(SUBSTITUTE(SUBSTITUTE(SUBSTITUTE(B37,"-"," "),","," "),"/"," "),"."," ")&amp;" ")),0),0)),"Other"))</f>
        <v>Bags</v>
      </c>
      <c r="D37" s="45" t="n">
        <f aca="false">IF(A37="","",BG37*(1-Assumptions!$B$18))</f>
        <v>0.51</v>
      </c>
      <c r="E37" s="46" t="n">
        <f aca="false">IF(A37="","",INDEX(Assumptions!$B$23:$B$26,MOD(VALUE(LEFT(A37,5)),4)+1))</f>
        <v>8</v>
      </c>
      <c r="F37" s="47" t="n">
        <v>11522</v>
      </c>
      <c r="G37" s="48" t="n">
        <v>645</v>
      </c>
      <c r="H37" s="48" t="n">
        <v>462</v>
      </c>
      <c r="I37" s="48" t="n">
        <v>567</v>
      </c>
      <c r="J37" s="48" t="n">
        <v>0</v>
      </c>
      <c r="K37" s="48" t="n">
        <v>173</v>
      </c>
      <c r="L37" s="48" t="n">
        <v>463</v>
      </c>
      <c r="M37" s="48" t="n">
        <v>191</v>
      </c>
      <c r="N37" s="48" t="n">
        <v>457</v>
      </c>
      <c r="O37" s="48" t="n">
        <v>148</v>
      </c>
      <c r="P37" s="48" t="n">
        <v>212</v>
      </c>
      <c r="Q37" s="48" t="n">
        <v>370</v>
      </c>
      <c r="R37" s="48" t="n">
        <v>480</v>
      </c>
      <c r="S37" s="48" t="n">
        <v>68</v>
      </c>
      <c r="T37" s="48" t="n">
        <v>418</v>
      </c>
      <c r="U37" s="48" t="n">
        <v>334</v>
      </c>
      <c r="V37" s="48" t="n">
        <v>344</v>
      </c>
      <c r="W37" s="48" t="n">
        <v>534</v>
      </c>
      <c r="X37" s="48" t="n">
        <v>184</v>
      </c>
      <c r="Y37" s="48" t="n">
        <v>227</v>
      </c>
      <c r="Z37" s="48" t="n">
        <v>279</v>
      </c>
      <c r="AA37" s="48" t="n">
        <v>179</v>
      </c>
      <c r="AB37" s="48" t="n">
        <v>173</v>
      </c>
      <c r="AC37" s="48" t="n">
        <v>578</v>
      </c>
      <c r="AD37" s="48" t="n">
        <v>247</v>
      </c>
      <c r="AE37" s="48" t="n">
        <v>354</v>
      </c>
      <c r="AF37" s="48" t="n">
        <v>152</v>
      </c>
      <c r="AG37" s="48" t="n">
        <v>243</v>
      </c>
      <c r="AH37" s="48" t="n">
        <v>405</v>
      </c>
      <c r="AI37" s="48" t="n">
        <v>161</v>
      </c>
      <c r="AJ37" s="48" t="n">
        <v>316</v>
      </c>
      <c r="AK37" s="48" t="n">
        <v>247</v>
      </c>
      <c r="AL37" s="48" t="n">
        <v>194</v>
      </c>
      <c r="AM37" s="48" t="n">
        <v>280</v>
      </c>
      <c r="AN37" s="48" t="n">
        <v>287</v>
      </c>
      <c r="AO37" s="48" t="n">
        <v>229</v>
      </c>
      <c r="AP37" s="48" t="n">
        <v>550</v>
      </c>
      <c r="AQ37" s="48" t="n">
        <v>183</v>
      </c>
      <c r="AR37" s="48" t="n">
        <v>432</v>
      </c>
      <c r="AS37" s="48" t="n">
        <v>261</v>
      </c>
      <c r="AT37" s="48" t="n">
        <v>229</v>
      </c>
      <c r="AU37" s="48" t="n">
        <v>421</v>
      </c>
      <c r="AV37" s="48" t="n">
        <v>207</v>
      </c>
      <c r="AW37" s="48" t="n">
        <v>170</v>
      </c>
      <c r="AX37" s="48" t="n">
        <v>364</v>
      </c>
      <c r="AY37" s="48" t="n">
        <v>281</v>
      </c>
      <c r="AZ37" s="48" t="n">
        <v>316</v>
      </c>
      <c r="BA37" s="48" t="n">
        <v>535</v>
      </c>
      <c r="BB37" s="48" t="n">
        <v>274</v>
      </c>
      <c r="BC37" s="48" t="n">
        <v>470</v>
      </c>
      <c r="BD37" s="48" t="n">
        <v>441</v>
      </c>
      <c r="BE37" s="48" t="n">
        <v>671</v>
      </c>
      <c r="BF37" s="48" t="n">
        <v>712</v>
      </c>
      <c r="BG37" s="49" t="n">
        <v>0.85</v>
      </c>
    </row>
    <row r="38" customFormat="false" ht="15" hidden="false" customHeight="false" outlineLevel="0" collapsed="false">
      <c r="A38" s="43" t="s">
        <v>312</v>
      </c>
      <c r="B38" s="43" t="s">
        <v>313</v>
      </c>
      <c r="C38" s="44" t="str">
        <f aca="false">IF(A38="","",IFERROR(INDEX(Assumptions!$B$41:$B$55,MATCH(TRUE(),INDEX(ISNUMBER(SEARCH(" "&amp;Assumptions!$A$41:$A$55&amp;" "," "&amp;SUBSTITUTE(SUBSTITUTE(SUBSTITUTE(SUBSTITUTE(B38,"-"," "),","," "),"/"," "),"."," ")&amp;" ")),0),0)),"Other"))</f>
        <v>Bags</v>
      </c>
      <c r="D38" s="45" t="n">
        <f aca="false">IF(A38="","",BG38*(1-Assumptions!$B$18))</f>
        <v>1.248</v>
      </c>
      <c r="E38" s="46" t="n">
        <f aca="false">IF(A38="","",INDEX(Assumptions!$B$23:$B$26,MOD(VALUE(LEFT(A38,5)),4)+1))</f>
        <v>8</v>
      </c>
      <c r="F38" s="47" t="n">
        <v>3385</v>
      </c>
      <c r="G38" s="48" t="n">
        <v>449</v>
      </c>
      <c r="H38" s="48" t="n">
        <v>137</v>
      </c>
      <c r="I38" s="48" t="n">
        <v>117</v>
      </c>
      <c r="J38" s="48" t="n">
        <v>0</v>
      </c>
      <c r="K38" s="48" t="n">
        <v>507</v>
      </c>
      <c r="L38" s="48" t="n">
        <v>76</v>
      </c>
      <c r="M38" s="48" t="n">
        <v>68</v>
      </c>
      <c r="N38" s="48" t="n">
        <v>211</v>
      </c>
      <c r="O38" s="48" t="n">
        <v>226</v>
      </c>
      <c r="P38" s="48" t="n">
        <v>69</v>
      </c>
      <c r="Q38" s="48" t="n">
        <v>448</v>
      </c>
      <c r="R38" s="48" t="n">
        <v>84</v>
      </c>
      <c r="S38" s="48" t="n">
        <v>108</v>
      </c>
      <c r="T38" s="48" t="n">
        <v>285</v>
      </c>
      <c r="U38" s="48" t="n">
        <v>697</v>
      </c>
      <c r="V38" s="48" t="n">
        <v>447</v>
      </c>
      <c r="W38" s="48" t="n">
        <v>357</v>
      </c>
      <c r="X38" s="48" t="n">
        <v>88</v>
      </c>
      <c r="Y38" s="48" t="n">
        <v>178</v>
      </c>
      <c r="Z38" s="48" t="n">
        <v>147</v>
      </c>
      <c r="AA38" s="48" t="n">
        <v>278</v>
      </c>
      <c r="AB38" s="48" t="n">
        <v>268</v>
      </c>
      <c r="AC38" s="48" t="n">
        <v>246</v>
      </c>
      <c r="AD38" s="48" t="n">
        <v>302</v>
      </c>
      <c r="AE38" s="48" t="n">
        <v>387</v>
      </c>
      <c r="AF38" s="48" t="n">
        <v>210</v>
      </c>
      <c r="AG38" s="48" t="n">
        <v>261</v>
      </c>
      <c r="AH38" s="48" t="n">
        <v>375</v>
      </c>
      <c r="AI38" s="48" t="n">
        <v>103</v>
      </c>
      <c r="AJ38" s="48" t="n">
        <v>191</v>
      </c>
      <c r="AK38" s="48" t="n">
        <v>324</v>
      </c>
      <c r="AL38" s="48" t="n">
        <v>93</v>
      </c>
      <c r="AM38" s="48" t="n">
        <v>210</v>
      </c>
      <c r="AN38" s="48" t="n">
        <v>164</v>
      </c>
      <c r="AO38" s="48" t="n">
        <v>264</v>
      </c>
      <c r="AP38" s="48" t="n">
        <v>262</v>
      </c>
      <c r="AQ38" s="48" t="n">
        <v>333</v>
      </c>
      <c r="AR38" s="48" t="n">
        <v>132</v>
      </c>
      <c r="AS38" s="48" t="n">
        <v>264</v>
      </c>
      <c r="AT38" s="48" t="n">
        <v>439</v>
      </c>
      <c r="AU38" s="48" t="n">
        <v>109</v>
      </c>
      <c r="AV38" s="48" t="n">
        <v>440</v>
      </c>
      <c r="AW38" s="48" t="n">
        <v>398</v>
      </c>
      <c r="AX38" s="48" t="n">
        <v>296</v>
      </c>
      <c r="AY38" s="48" t="n">
        <v>210</v>
      </c>
      <c r="AZ38" s="48" t="n">
        <v>200</v>
      </c>
      <c r="BA38" s="48" t="n">
        <v>391</v>
      </c>
      <c r="BB38" s="48" t="n">
        <v>100</v>
      </c>
      <c r="BC38" s="48" t="n">
        <v>353</v>
      </c>
      <c r="BD38" s="48" t="n">
        <v>620</v>
      </c>
      <c r="BE38" s="48" t="n">
        <v>203</v>
      </c>
      <c r="BF38" s="48" t="n">
        <v>414</v>
      </c>
      <c r="BG38" s="49" t="n">
        <v>2.08</v>
      </c>
    </row>
    <row r="39" customFormat="false" ht="15" hidden="false" customHeight="false" outlineLevel="0" collapsed="false">
      <c r="A39" s="43" t="s">
        <v>314</v>
      </c>
      <c r="B39" s="43" t="s">
        <v>315</v>
      </c>
      <c r="C39" s="44" t="str">
        <f aca="false">IF(A39="","",IFERROR(INDEX(Assumptions!$B$41:$B$55,MATCH(TRUE(),INDEX(ISNUMBER(SEARCH(" "&amp;Assumptions!$A$41:$A$55&amp;" "," "&amp;SUBSTITUTE(SUBSTITUTE(SUBSTITUTE(SUBSTITUTE(B39,"-"," "),","," "),"/"," "),"."," ")&amp;" ")),0),0)),"Other"))</f>
        <v>Other</v>
      </c>
      <c r="D39" s="45" t="n">
        <f aca="false">IF(A39="","",BG39*(1-Assumptions!$B$18))</f>
        <v>4.77</v>
      </c>
      <c r="E39" s="46" t="n">
        <f aca="false">IF(A39="","",INDEX(Assumptions!$B$23:$B$26,MOD(VALUE(LEFT(A39,5)),4)+1))</f>
        <v>4</v>
      </c>
      <c r="F39" s="47" t="n">
        <v>76</v>
      </c>
      <c r="G39" s="48" t="n">
        <v>173</v>
      </c>
      <c r="H39" s="48" t="n">
        <v>92</v>
      </c>
      <c r="I39" s="48" t="n">
        <v>20</v>
      </c>
      <c r="J39" s="48" t="n">
        <v>0</v>
      </c>
      <c r="K39" s="48" t="n">
        <v>56</v>
      </c>
      <c r="L39" s="48" t="n">
        <v>22</v>
      </c>
      <c r="M39" s="48" t="n">
        <v>86</v>
      </c>
      <c r="N39" s="48" t="n">
        <v>137</v>
      </c>
      <c r="O39" s="48" t="n">
        <v>54</v>
      </c>
      <c r="P39" s="48" t="n">
        <v>28</v>
      </c>
      <c r="Q39" s="48" t="n">
        <v>35</v>
      </c>
      <c r="R39" s="48" t="n">
        <v>67</v>
      </c>
      <c r="S39" s="48" t="n">
        <v>45</v>
      </c>
      <c r="T39" s="48" t="n">
        <v>84</v>
      </c>
      <c r="U39" s="48" t="n">
        <v>43</v>
      </c>
      <c r="V39" s="48" t="n">
        <v>36</v>
      </c>
      <c r="W39" s="48" t="n">
        <v>54</v>
      </c>
      <c r="X39" s="48" t="n">
        <v>61</v>
      </c>
      <c r="Y39" s="48" t="n">
        <v>35</v>
      </c>
      <c r="Z39" s="48" t="n">
        <v>9</v>
      </c>
      <c r="AA39" s="48" t="n">
        <v>14</v>
      </c>
      <c r="AB39" s="48" t="n">
        <v>76</v>
      </c>
      <c r="AC39" s="48" t="n">
        <v>101</v>
      </c>
      <c r="AD39" s="48" t="n">
        <v>291</v>
      </c>
      <c r="AE39" s="48" t="n">
        <v>66</v>
      </c>
      <c r="AF39" s="48" t="n">
        <v>39</v>
      </c>
      <c r="AG39" s="48" t="n">
        <v>548</v>
      </c>
      <c r="AH39" s="48" t="n">
        <v>55</v>
      </c>
      <c r="AI39" s="48" t="n">
        <v>45</v>
      </c>
      <c r="AJ39" s="48" t="n">
        <v>24</v>
      </c>
      <c r="AK39" s="48" t="n">
        <v>424</v>
      </c>
      <c r="AL39" s="48" t="n">
        <v>66</v>
      </c>
      <c r="AM39" s="48" t="n">
        <v>107</v>
      </c>
      <c r="AN39" s="48" t="n">
        <v>22</v>
      </c>
      <c r="AO39" s="48" t="n">
        <v>40</v>
      </c>
      <c r="AP39" s="48" t="n">
        <v>29</v>
      </c>
      <c r="AQ39" s="48" t="n">
        <v>38</v>
      </c>
      <c r="AR39" s="48" t="n">
        <v>40</v>
      </c>
      <c r="AS39" s="48" t="n">
        <v>45</v>
      </c>
      <c r="AT39" s="48" t="n">
        <v>26</v>
      </c>
      <c r="AU39" s="48" t="n">
        <v>24</v>
      </c>
      <c r="AV39" s="48" t="n">
        <v>17</v>
      </c>
      <c r="AW39" s="48" t="n">
        <v>95</v>
      </c>
      <c r="AX39" s="48" t="n">
        <v>52</v>
      </c>
      <c r="AY39" s="48" t="n">
        <v>51</v>
      </c>
      <c r="AZ39" s="48" t="n">
        <v>14</v>
      </c>
      <c r="BA39" s="48" t="n">
        <v>64</v>
      </c>
      <c r="BB39" s="48" t="n">
        <v>96</v>
      </c>
      <c r="BC39" s="48" t="n">
        <v>38</v>
      </c>
      <c r="BD39" s="48" t="n">
        <v>46</v>
      </c>
      <c r="BE39" s="48" t="n">
        <v>102</v>
      </c>
      <c r="BF39" s="48" t="n">
        <v>97</v>
      </c>
      <c r="BG39" s="49" t="n">
        <v>7.95</v>
      </c>
    </row>
    <row r="40" customFormat="false" ht="15" hidden="false" customHeight="false" outlineLevel="0" collapsed="false">
      <c r="A40" s="43" t="s">
        <v>316</v>
      </c>
      <c r="B40" s="43" t="s">
        <v>317</v>
      </c>
      <c r="C40" s="44" t="str">
        <f aca="false">IF(A40="","",IFERROR(INDEX(Assumptions!$B$41:$B$55,MATCH(TRUE(),INDEX(ISNUMBER(SEARCH(" "&amp;Assumptions!$A$41:$A$55&amp;" "," "&amp;SUBSTITUTE(SUBSTITUTE(SUBSTITUTE(SUBSTITUTE(B40,"-"," "),","," "),"/"," "),"."," ")&amp;" ")),0),0)),"Other"))</f>
        <v>Other</v>
      </c>
      <c r="D40" s="45" t="n">
        <f aca="false">IF(A40="","",BG40*(1-Assumptions!$B$18))</f>
        <v>2.25</v>
      </c>
      <c r="E40" s="46" t="n">
        <f aca="false">IF(A40="","",INDEX(Assumptions!$B$23:$B$26,MOD(VALUE(LEFT(A40,5)),4)+1))</f>
        <v>8</v>
      </c>
      <c r="F40" s="47" t="n">
        <v>2046</v>
      </c>
      <c r="G40" s="48" t="n">
        <v>153</v>
      </c>
      <c r="H40" s="48" t="n">
        <v>79</v>
      </c>
      <c r="I40" s="48" t="n">
        <v>36</v>
      </c>
      <c r="J40" s="48" t="n">
        <v>0</v>
      </c>
      <c r="K40" s="48" t="n">
        <v>105</v>
      </c>
      <c r="L40" s="48" t="n">
        <v>57</v>
      </c>
      <c r="M40" s="48" t="n">
        <v>93</v>
      </c>
      <c r="N40" s="48" t="n">
        <v>44</v>
      </c>
      <c r="O40" s="48" t="n">
        <v>96</v>
      </c>
      <c r="P40" s="48" t="n">
        <v>42</v>
      </c>
      <c r="Q40" s="48" t="n">
        <v>125</v>
      </c>
      <c r="R40" s="48" t="n">
        <v>68</v>
      </c>
      <c r="S40" s="48" t="n">
        <v>54</v>
      </c>
      <c r="T40" s="48" t="n">
        <v>63</v>
      </c>
      <c r="U40" s="48" t="n">
        <v>50</v>
      </c>
      <c r="V40" s="48" t="n">
        <v>65</v>
      </c>
      <c r="W40" s="48" t="n">
        <v>52</v>
      </c>
      <c r="X40" s="48" t="n">
        <v>622</v>
      </c>
      <c r="Y40" s="48" t="n">
        <v>89</v>
      </c>
      <c r="Z40" s="48" t="n">
        <v>57</v>
      </c>
      <c r="AA40" s="48" t="n">
        <v>63</v>
      </c>
      <c r="AB40" s="48" t="n">
        <v>59</v>
      </c>
      <c r="AC40" s="48" t="n">
        <v>89</v>
      </c>
      <c r="AD40" s="48" t="n">
        <v>116</v>
      </c>
      <c r="AE40" s="48" t="n">
        <v>56</v>
      </c>
      <c r="AF40" s="48" t="n">
        <v>50</v>
      </c>
      <c r="AG40" s="48" t="n">
        <v>35</v>
      </c>
      <c r="AH40" s="48" t="n">
        <v>104</v>
      </c>
      <c r="AI40" s="48" t="n">
        <v>65</v>
      </c>
      <c r="AJ40" s="48" t="n">
        <v>138</v>
      </c>
      <c r="AK40" s="48" t="n">
        <v>64</v>
      </c>
      <c r="AL40" s="48" t="n">
        <v>51</v>
      </c>
      <c r="AM40" s="48" t="n">
        <v>83</v>
      </c>
      <c r="AN40" s="48" t="n">
        <v>47</v>
      </c>
      <c r="AO40" s="48" t="n">
        <v>71</v>
      </c>
      <c r="AP40" s="48" t="n">
        <v>56</v>
      </c>
      <c r="AQ40" s="48" t="n">
        <v>115</v>
      </c>
      <c r="AR40" s="48" t="n">
        <v>477</v>
      </c>
      <c r="AS40" s="48" t="n">
        <v>76</v>
      </c>
      <c r="AT40" s="48" t="n">
        <v>202</v>
      </c>
      <c r="AU40" s="48" t="n">
        <v>117</v>
      </c>
      <c r="AV40" s="48" t="n">
        <v>197</v>
      </c>
      <c r="AW40" s="48" t="n">
        <v>137</v>
      </c>
      <c r="AX40" s="48" t="n">
        <v>253</v>
      </c>
      <c r="AY40" s="48" t="n">
        <v>100</v>
      </c>
      <c r="AZ40" s="48" t="n">
        <v>71</v>
      </c>
      <c r="BA40" s="48" t="n">
        <v>678</v>
      </c>
      <c r="BB40" s="48" t="n">
        <v>233</v>
      </c>
      <c r="BC40" s="48" t="n">
        <v>274</v>
      </c>
      <c r="BD40" s="48" t="n">
        <v>210</v>
      </c>
      <c r="BE40" s="48" t="n">
        <v>147</v>
      </c>
      <c r="BF40" s="48" t="n">
        <v>266</v>
      </c>
      <c r="BG40" s="49" t="n">
        <v>3.75</v>
      </c>
    </row>
    <row r="41" customFormat="false" ht="15" hidden="false" customHeight="false" outlineLevel="0" collapsed="false">
      <c r="A41" s="43" t="s">
        <v>318</v>
      </c>
      <c r="B41" s="43" t="s">
        <v>319</v>
      </c>
      <c r="C41" s="44" t="str">
        <f aca="false">IF(A41="","",IFERROR(INDEX(Assumptions!$B$41:$B$55,MATCH(TRUE(),INDEX(ISNUMBER(SEARCH(" "&amp;Assumptions!$A$41:$A$55&amp;" "," "&amp;SUBSTITUTE(SUBSTITUTE(SUBSTITUTE(SUBSTITUTE(B41,"-"," "),","," "),"/"," "),"."," ")&amp;" ")),0),0)),"Other"))</f>
        <v>Other</v>
      </c>
      <c r="D41" s="45" t="n">
        <f aca="false">IF(A41="","",BG41*(1-Assumptions!$B$18))</f>
        <v>1.53</v>
      </c>
      <c r="E41" s="46" t="n">
        <f aca="false">IF(A41="","",INDEX(Assumptions!$B$23:$B$26,MOD(VALUE(LEFT(A41,5)),4)+1))</f>
        <v>8</v>
      </c>
      <c r="F41" s="47" t="n">
        <v>3235</v>
      </c>
      <c r="G41" s="48" t="n">
        <v>214</v>
      </c>
      <c r="H41" s="48" t="n">
        <v>72</v>
      </c>
      <c r="I41" s="48" t="n">
        <v>46</v>
      </c>
      <c r="J41" s="48" t="n">
        <v>0</v>
      </c>
      <c r="K41" s="48" t="n">
        <v>182</v>
      </c>
      <c r="L41" s="48" t="n">
        <v>2127</v>
      </c>
      <c r="M41" s="48" t="n">
        <v>18</v>
      </c>
      <c r="N41" s="48" t="n">
        <v>82</v>
      </c>
      <c r="O41" s="48" t="n">
        <v>39</v>
      </c>
      <c r="P41" s="48" t="n">
        <v>107</v>
      </c>
      <c r="Q41" s="48" t="n">
        <v>78</v>
      </c>
      <c r="R41" s="48" t="n">
        <v>83</v>
      </c>
      <c r="S41" s="48" t="n">
        <v>36</v>
      </c>
      <c r="T41" s="48" t="n">
        <v>101</v>
      </c>
      <c r="U41" s="48" t="n">
        <v>211</v>
      </c>
      <c r="V41" s="48" t="n">
        <v>137</v>
      </c>
      <c r="W41" s="48" t="n">
        <v>100</v>
      </c>
      <c r="X41" s="48" t="n">
        <v>82</v>
      </c>
      <c r="Y41" s="48" t="n">
        <v>281</v>
      </c>
      <c r="Z41" s="48" t="n">
        <v>2098</v>
      </c>
      <c r="AA41" s="48" t="n">
        <v>27</v>
      </c>
      <c r="AB41" s="48" t="n">
        <v>132</v>
      </c>
      <c r="AC41" s="48" t="n">
        <v>159</v>
      </c>
      <c r="AD41" s="48" t="n">
        <v>180</v>
      </c>
      <c r="AE41" s="48" t="n">
        <v>77</v>
      </c>
      <c r="AF41" s="48" t="n">
        <v>105</v>
      </c>
      <c r="AG41" s="48" t="n">
        <v>80</v>
      </c>
      <c r="AH41" s="48" t="n">
        <v>98</v>
      </c>
      <c r="AI41" s="48" t="n">
        <v>124</v>
      </c>
      <c r="AJ41" s="48" t="n">
        <v>89</v>
      </c>
      <c r="AK41" s="48" t="n">
        <v>119</v>
      </c>
      <c r="AL41" s="48" t="n">
        <v>306</v>
      </c>
      <c r="AM41" s="48" t="n">
        <v>291</v>
      </c>
      <c r="AN41" s="48" t="n">
        <v>70</v>
      </c>
      <c r="AO41" s="48" t="n">
        <v>160</v>
      </c>
      <c r="AP41" s="48" t="n">
        <v>229</v>
      </c>
      <c r="AQ41" s="48" t="n">
        <v>61</v>
      </c>
      <c r="AR41" s="48" t="n">
        <v>12</v>
      </c>
      <c r="AS41" s="48" t="n">
        <v>16</v>
      </c>
      <c r="AT41" s="48" t="n">
        <v>336</v>
      </c>
      <c r="AU41" s="48" t="n">
        <v>166</v>
      </c>
      <c r="AV41" s="48" t="n">
        <v>354</v>
      </c>
      <c r="AW41" s="48" t="n">
        <v>146</v>
      </c>
      <c r="AX41" s="48" t="n">
        <v>323</v>
      </c>
      <c r="AY41" s="48" t="n">
        <v>302</v>
      </c>
      <c r="AZ41" s="48" t="n">
        <v>68</v>
      </c>
      <c r="BA41" s="48" t="n">
        <v>221</v>
      </c>
      <c r="BB41" s="48" t="n">
        <v>335</v>
      </c>
      <c r="BC41" s="48" t="n">
        <v>266</v>
      </c>
      <c r="BD41" s="48" t="n">
        <v>343</v>
      </c>
      <c r="BE41" s="48" t="n">
        <v>337</v>
      </c>
      <c r="BF41" s="48" t="n">
        <v>390</v>
      </c>
      <c r="BG41" s="49" t="n">
        <v>2.55</v>
      </c>
    </row>
    <row r="42" customFormat="false" ht="15" hidden="false" customHeight="false" outlineLevel="0" collapsed="false">
      <c r="A42" s="43" t="s">
        <v>320</v>
      </c>
      <c r="B42" s="43" t="s">
        <v>321</v>
      </c>
      <c r="C42" s="44" t="str">
        <f aca="false">IF(A42="","",IFERROR(INDEX(Assumptions!$B$41:$B$55,MATCH(TRUE(),INDEX(ISNUMBER(SEARCH(" "&amp;Assumptions!$A$41:$A$55&amp;" "," "&amp;SUBSTITUTE(SUBSTITUTE(SUBSTITUTE(SUBSTITUTE(B42,"-"," "),","," "),"/"," "),"."," ")&amp;" ")),0),0)),"Other"))</f>
        <v>Other</v>
      </c>
      <c r="D42" s="45" t="n">
        <f aca="false">IF(A42="","",BG42*(1-Assumptions!$B$18))</f>
        <v>2.97</v>
      </c>
      <c r="E42" s="46" t="n">
        <f aca="false">IF(A42="","",INDEX(Assumptions!$B$23:$B$26,MOD(VALUE(LEFT(A42,5)),4)+1))</f>
        <v>8</v>
      </c>
      <c r="F42" s="47" t="n">
        <v>3641</v>
      </c>
      <c r="G42" s="48" t="n">
        <v>0</v>
      </c>
      <c r="H42" s="48" t="n">
        <v>0</v>
      </c>
      <c r="I42" s="48" t="n">
        <v>0</v>
      </c>
      <c r="J42" s="48" t="n">
        <v>0</v>
      </c>
      <c r="K42" s="48" t="n">
        <v>0</v>
      </c>
      <c r="L42" s="48" t="n">
        <v>0</v>
      </c>
      <c r="M42" s="48" t="n">
        <v>0</v>
      </c>
      <c r="N42" s="48" t="n">
        <v>0</v>
      </c>
      <c r="O42" s="48" t="n">
        <v>0</v>
      </c>
      <c r="P42" s="48" t="n">
        <v>0</v>
      </c>
      <c r="Q42" s="48" t="n">
        <v>0</v>
      </c>
      <c r="R42" s="48" t="n">
        <v>0</v>
      </c>
      <c r="S42" s="48" t="n">
        <v>0</v>
      </c>
      <c r="T42" s="48" t="n">
        <v>0</v>
      </c>
      <c r="U42" s="48" t="n">
        <v>0</v>
      </c>
      <c r="V42" s="48" t="n">
        <v>0</v>
      </c>
      <c r="W42" s="48" t="n">
        <v>0</v>
      </c>
      <c r="X42" s="48" t="n">
        <v>0</v>
      </c>
      <c r="Y42" s="48" t="n">
        <v>0</v>
      </c>
      <c r="Z42" s="48" t="n">
        <v>0</v>
      </c>
      <c r="AA42" s="48" t="n">
        <v>0</v>
      </c>
      <c r="AB42" s="48" t="n">
        <v>0</v>
      </c>
      <c r="AC42" s="48" t="n">
        <v>0</v>
      </c>
      <c r="AD42" s="48" t="n">
        <v>0</v>
      </c>
      <c r="AE42" s="48" t="n">
        <v>0</v>
      </c>
      <c r="AF42" s="48" t="n">
        <v>0</v>
      </c>
      <c r="AG42" s="48" t="n">
        <v>0</v>
      </c>
      <c r="AH42" s="48" t="n">
        <v>0</v>
      </c>
      <c r="AI42" s="48" t="n">
        <v>0</v>
      </c>
      <c r="AJ42" s="48" t="n">
        <v>0</v>
      </c>
      <c r="AK42" s="48" t="n">
        <v>0</v>
      </c>
      <c r="AL42" s="48" t="n">
        <v>0</v>
      </c>
      <c r="AM42" s="48" t="n">
        <v>0</v>
      </c>
      <c r="AN42" s="48" t="n">
        <v>0</v>
      </c>
      <c r="AO42" s="48" t="n">
        <v>0</v>
      </c>
      <c r="AP42" s="48" t="n">
        <v>0</v>
      </c>
      <c r="AQ42" s="48" t="n">
        <v>0</v>
      </c>
      <c r="AR42" s="48" t="n">
        <v>110</v>
      </c>
      <c r="AS42" s="48" t="n">
        <v>147</v>
      </c>
      <c r="AT42" s="48" t="n">
        <v>249</v>
      </c>
      <c r="AU42" s="48" t="n">
        <v>341</v>
      </c>
      <c r="AV42" s="48" t="n">
        <v>320</v>
      </c>
      <c r="AW42" s="48" t="n">
        <v>338</v>
      </c>
      <c r="AX42" s="48" t="n">
        <v>540</v>
      </c>
      <c r="AY42" s="48" t="n">
        <v>194</v>
      </c>
      <c r="AZ42" s="48" t="n">
        <v>269</v>
      </c>
      <c r="BA42" s="48" t="n">
        <v>215</v>
      </c>
      <c r="BB42" s="48" t="n">
        <v>706</v>
      </c>
      <c r="BC42" s="48" t="n">
        <v>522</v>
      </c>
      <c r="BD42" s="48" t="n">
        <v>514</v>
      </c>
      <c r="BE42" s="48" t="n">
        <v>468</v>
      </c>
      <c r="BF42" s="48" t="n">
        <v>476</v>
      </c>
      <c r="BG42" s="49" t="n">
        <v>4.95</v>
      </c>
    </row>
    <row r="43" customFormat="false" ht="15" hidden="false" customHeight="false" outlineLevel="0" collapsed="false">
      <c r="A43" s="43" t="s">
        <v>322</v>
      </c>
      <c r="B43" s="43" t="s">
        <v>323</v>
      </c>
      <c r="C43" s="44" t="str">
        <f aca="false">IF(A43="","",IFERROR(INDEX(Assumptions!$B$41:$B$55,MATCH(TRUE(),INDEX(ISNUMBER(SEARCH(" "&amp;Assumptions!$A$41:$A$55&amp;" "," "&amp;SUBSTITUTE(SUBSTITUTE(SUBSTITUTE(SUBSTITUTE(B43,"-"," "),","," "),"/"," "),"."," ")&amp;" ")),0),0)),"Other"))</f>
        <v>Other</v>
      </c>
      <c r="D43" s="45" t="n">
        <f aca="false">IF(A43="","",BG43*(1-Assumptions!$B$18))</f>
        <v>1.77</v>
      </c>
      <c r="E43" s="46" t="n">
        <f aca="false">IF(A43="","",INDEX(Assumptions!$B$23:$B$26,MOD(VALUE(LEFT(A43,5)),4)+1))</f>
        <v>4</v>
      </c>
      <c r="F43" s="47" t="n">
        <v>2386</v>
      </c>
      <c r="G43" s="48" t="n">
        <v>243</v>
      </c>
      <c r="H43" s="48" t="n">
        <v>184</v>
      </c>
      <c r="I43" s="48" t="n">
        <v>67</v>
      </c>
      <c r="J43" s="48" t="n">
        <v>0</v>
      </c>
      <c r="K43" s="48" t="n">
        <v>257</v>
      </c>
      <c r="L43" s="48" t="n">
        <v>208</v>
      </c>
      <c r="M43" s="48" t="n">
        <v>102</v>
      </c>
      <c r="N43" s="48" t="n">
        <v>224</v>
      </c>
      <c r="O43" s="48" t="n">
        <v>149</v>
      </c>
      <c r="P43" s="48" t="n">
        <v>92</v>
      </c>
      <c r="Q43" s="48" t="n">
        <v>123</v>
      </c>
      <c r="R43" s="48" t="n">
        <v>138</v>
      </c>
      <c r="S43" s="48" t="n">
        <v>98</v>
      </c>
      <c r="T43" s="48" t="n">
        <v>196</v>
      </c>
      <c r="U43" s="48" t="n">
        <v>167</v>
      </c>
      <c r="V43" s="48" t="n">
        <v>272</v>
      </c>
      <c r="W43" s="48" t="n">
        <v>195</v>
      </c>
      <c r="X43" s="48" t="n">
        <v>125</v>
      </c>
      <c r="Y43" s="48" t="n">
        <v>278</v>
      </c>
      <c r="Z43" s="48" t="n">
        <v>127</v>
      </c>
      <c r="AA43" s="48" t="n">
        <v>123</v>
      </c>
      <c r="AB43" s="48" t="n">
        <v>90</v>
      </c>
      <c r="AC43" s="48" t="n">
        <v>95</v>
      </c>
      <c r="AD43" s="48" t="n">
        <v>400</v>
      </c>
      <c r="AE43" s="48" t="n">
        <v>84</v>
      </c>
      <c r="AF43" s="48" t="n">
        <v>181</v>
      </c>
      <c r="AG43" s="48" t="n">
        <v>108</v>
      </c>
      <c r="AH43" s="48" t="n">
        <v>85</v>
      </c>
      <c r="AI43" s="48" t="n">
        <v>84</v>
      </c>
      <c r="AJ43" s="48" t="n">
        <v>66</v>
      </c>
      <c r="AK43" s="48" t="n">
        <v>114</v>
      </c>
      <c r="AL43" s="48" t="n">
        <v>144</v>
      </c>
      <c r="AM43" s="48" t="n">
        <v>252</v>
      </c>
      <c r="AN43" s="48" t="n">
        <v>259</v>
      </c>
      <c r="AO43" s="48" t="n">
        <v>112</v>
      </c>
      <c r="AP43" s="48" t="n">
        <v>140</v>
      </c>
      <c r="AQ43" s="48" t="n">
        <v>128</v>
      </c>
      <c r="AR43" s="48" t="n">
        <v>134</v>
      </c>
      <c r="AS43" s="48" t="n">
        <v>148</v>
      </c>
      <c r="AT43" s="48" t="n">
        <v>168</v>
      </c>
      <c r="AU43" s="48" t="n">
        <v>94</v>
      </c>
      <c r="AV43" s="48" t="n">
        <v>166</v>
      </c>
      <c r="AW43" s="48" t="n">
        <v>135</v>
      </c>
      <c r="AX43" s="48" t="n">
        <v>221</v>
      </c>
      <c r="AY43" s="48" t="n">
        <v>190</v>
      </c>
      <c r="AZ43" s="48" t="n">
        <v>192</v>
      </c>
      <c r="BA43" s="48" t="n">
        <v>133</v>
      </c>
      <c r="BB43" s="48" t="n">
        <v>139</v>
      </c>
      <c r="BC43" s="48" t="n">
        <v>251</v>
      </c>
      <c r="BD43" s="48" t="n">
        <v>161</v>
      </c>
      <c r="BE43" s="48" t="n">
        <v>195</v>
      </c>
      <c r="BF43" s="48" t="n">
        <v>234</v>
      </c>
      <c r="BG43" s="49" t="n">
        <v>2.95</v>
      </c>
    </row>
    <row r="44" customFormat="false" ht="15" hidden="false" customHeight="false" outlineLevel="0" collapsed="false">
      <c r="A44" s="43" t="s">
        <v>324</v>
      </c>
      <c r="B44" s="43" t="s">
        <v>325</v>
      </c>
      <c r="C44" s="44" t="str">
        <f aca="false">IF(A44="","",IFERROR(INDEX(Assumptions!$B$41:$B$55,MATCH(TRUE(),INDEX(ISNUMBER(SEARCH(" "&amp;Assumptions!$A$41:$A$55&amp;" "," "&amp;SUBSTITUTE(SUBSTITUTE(SUBSTITUTE(SUBSTITUTE(B44,"-"," "),","," "),"/"," "),"."," ")&amp;" ")),0),0)),"Other"))</f>
        <v>Other</v>
      </c>
      <c r="D44" s="45" t="n">
        <f aca="false">IF(A44="","",BG44*(1-Assumptions!$B$18))</f>
        <v>2.25</v>
      </c>
      <c r="E44" s="46" t="n">
        <f aca="false">IF(A44="","",INDEX(Assumptions!$B$23:$B$26,MOD(VALUE(LEFT(A44,5)),4)+1))</f>
        <v>6</v>
      </c>
      <c r="F44" s="47" t="n">
        <v>232</v>
      </c>
      <c r="G44" s="48" t="n">
        <v>185</v>
      </c>
      <c r="H44" s="48" t="n">
        <v>90</v>
      </c>
      <c r="I44" s="48" t="n">
        <v>46</v>
      </c>
      <c r="J44" s="48" t="n">
        <v>0</v>
      </c>
      <c r="K44" s="48" t="n">
        <v>93</v>
      </c>
      <c r="L44" s="48" t="n">
        <v>40</v>
      </c>
      <c r="M44" s="48" t="n">
        <v>55</v>
      </c>
      <c r="N44" s="48" t="n">
        <v>34</v>
      </c>
      <c r="O44" s="48" t="n">
        <v>52</v>
      </c>
      <c r="P44" s="48" t="n">
        <v>35</v>
      </c>
      <c r="Q44" s="48" t="n">
        <v>71</v>
      </c>
      <c r="R44" s="48" t="n">
        <v>78</v>
      </c>
      <c r="S44" s="48" t="n">
        <v>53</v>
      </c>
      <c r="T44" s="48" t="n">
        <v>36</v>
      </c>
      <c r="U44" s="48" t="n">
        <v>65</v>
      </c>
      <c r="V44" s="48" t="n">
        <v>83</v>
      </c>
      <c r="W44" s="48" t="n">
        <v>107</v>
      </c>
      <c r="X44" s="48" t="n">
        <v>394</v>
      </c>
      <c r="Y44" s="48" t="n">
        <v>43</v>
      </c>
      <c r="Z44" s="48" t="n">
        <v>3</v>
      </c>
      <c r="AA44" s="48" t="n">
        <v>2</v>
      </c>
      <c r="AB44" s="48" t="n">
        <v>7</v>
      </c>
      <c r="AC44" s="48" t="n">
        <v>4</v>
      </c>
      <c r="AD44" s="48" t="n">
        <v>0</v>
      </c>
      <c r="AE44" s="48" t="n">
        <v>0</v>
      </c>
      <c r="AF44" s="48" t="n">
        <v>0</v>
      </c>
      <c r="AG44" s="48" t="n">
        <v>0</v>
      </c>
      <c r="AH44" s="48" t="n">
        <v>129</v>
      </c>
      <c r="AI44" s="48" t="n">
        <v>328</v>
      </c>
      <c r="AJ44" s="48" t="n">
        <v>88</v>
      </c>
      <c r="AK44" s="48" t="n">
        <v>110</v>
      </c>
      <c r="AL44" s="48" t="n">
        <v>79</v>
      </c>
      <c r="AM44" s="48" t="n">
        <v>84</v>
      </c>
      <c r="AN44" s="48" t="n">
        <v>115</v>
      </c>
      <c r="AO44" s="48" t="n">
        <v>102</v>
      </c>
      <c r="AP44" s="48" t="n">
        <v>80</v>
      </c>
      <c r="AQ44" s="48" t="n">
        <v>100</v>
      </c>
      <c r="AR44" s="48" t="n">
        <v>301</v>
      </c>
      <c r="AS44" s="48" t="n">
        <v>108</v>
      </c>
      <c r="AT44" s="48" t="n">
        <v>168</v>
      </c>
      <c r="AU44" s="48" t="n">
        <v>152</v>
      </c>
      <c r="AV44" s="48" t="n">
        <v>144</v>
      </c>
      <c r="AW44" s="48" t="n">
        <v>150</v>
      </c>
      <c r="AX44" s="48" t="n">
        <v>301</v>
      </c>
      <c r="AY44" s="48" t="n">
        <v>114</v>
      </c>
      <c r="AZ44" s="48" t="n">
        <v>74</v>
      </c>
      <c r="BA44" s="48" t="n">
        <v>524</v>
      </c>
      <c r="BB44" s="48" t="n">
        <v>233</v>
      </c>
      <c r="BC44" s="48" t="n">
        <v>255</v>
      </c>
      <c r="BD44" s="48" t="n">
        <v>229</v>
      </c>
      <c r="BE44" s="48" t="n">
        <v>185</v>
      </c>
      <c r="BF44" s="48" t="n">
        <v>294</v>
      </c>
      <c r="BG44" s="49" t="n">
        <v>3.75</v>
      </c>
    </row>
    <row r="45" customFormat="false" ht="15" hidden="false" customHeight="false" outlineLevel="0" collapsed="false">
      <c r="A45" s="43" t="s">
        <v>326</v>
      </c>
      <c r="B45" s="43" t="s">
        <v>327</v>
      </c>
      <c r="C45" s="44" t="str">
        <f aca="false">IF(A45="","",IFERROR(INDEX(Assumptions!$B$41:$B$55,MATCH(TRUE(),INDEX(ISNUMBER(SEARCH(" "&amp;Assumptions!$A$41:$A$55&amp;" "," "&amp;SUBSTITUTE(SUBSTITUTE(SUBSTITUTE(SUBSTITUTE(B45,"-"," "),","," "),"/"," "),"."," ")&amp;" ")),0),0)),"Other"))</f>
        <v>Other</v>
      </c>
      <c r="D45" s="45" t="n">
        <f aca="false">IF(A45="","",BG45*(1-Assumptions!$B$18))</f>
        <v>4.77</v>
      </c>
      <c r="E45" s="46" t="n">
        <f aca="false">IF(A45="","",INDEX(Assumptions!$B$23:$B$26,MOD(VALUE(LEFT(A45,5)),4)+1))</f>
        <v>6</v>
      </c>
      <c r="F45" s="47" t="n">
        <v>847</v>
      </c>
      <c r="G45" s="48" t="n">
        <v>109</v>
      </c>
      <c r="H45" s="48" t="n">
        <v>71</v>
      </c>
      <c r="I45" s="48" t="n">
        <v>9</v>
      </c>
      <c r="J45" s="48" t="n">
        <v>0</v>
      </c>
      <c r="K45" s="48" t="n">
        <v>44</v>
      </c>
      <c r="L45" s="48" t="n">
        <v>13</v>
      </c>
      <c r="M45" s="48" t="n">
        <v>44</v>
      </c>
      <c r="N45" s="48" t="n">
        <v>111</v>
      </c>
      <c r="O45" s="48" t="n">
        <v>41</v>
      </c>
      <c r="P45" s="48" t="n">
        <v>39</v>
      </c>
      <c r="Q45" s="48" t="n">
        <v>69</v>
      </c>
      <c r="R45" s="48" t="n">
        <v>57</v>
      </c>
      <c r="S45" s="48" t="n">
        <v>60</v>
      </c>
      <c r="T45" s="48" t="n">
        <v>73</v>
      </c>
      <c r="U45" s="48" t="n">
        <v>72</v>
      </c>
      <c r="V45" s="48" t="n">
        <v>26</v>
      </c>
      <c r="W45" s="48" t="n">
        <v>133</v>
      </c>
      <c r="X45" s="48" t="n">
        <v>111</v>
      </c>
      <c r="Y45" s="48" t="n">
        <v>103</v>
      </c>
      <c r="Z45" s="48" t="n">
        <v>33</v>
      </c>
      <c r="AA45" s="48" t="n">
        <v>33</v>
      </c>
      <c r="AB45" s="48" t="n">
        <v>46</v>
      </c>
      <c r="AC45" s="48" t="n">
        <v>87</v>
      </c>
      <c r="AD45" s="48" t="n">
        <v>151</v>
      </c>
      <c r="AE45" s="48" t="n">
        <v>52</v>
      </c>
      <c r="AF45" s="48" t="n">
        <v>58</v>
      </c>
      <c r="AG45" s="48" t="n">
        <v>513</v>
      </c>
      <c r="AH45" s="48" t="n">
        <v>16</v>
      </c>
      <c r="AI45" s="48" t="n">
        <v>19</v>
      </c>
      <c r="AJ45" s="48" t="n">
        <v>8</v>
      </c>
      <c r="AK45" s="48" t="n">
        <v>56</v>
      </c>
      <c r="AL45" s="48" t="n">
        <v>34</v>
      </c>
      <c r="AM45" s="48" t="n">
        <v>50</v>
      </c>
      <c r="AN45" s="48" t="n">
        <v>30</v>
      </c>
      <c r="AO45" s="48" t="n">
        <v>39</v>
      </c>
      <c r="AP45" s="48" t="n">
        <v>7</v>
      </c>
      <c r="AQ45" s="48" t="n">
        <v>59</v>
      </c>
      <c r="AR45" s="48" t="n">
        <v>16</v>
      </c>
      <c r="AS45" s="48" t="n">
        <v>21</v>
      </c>
      <c r="AT45" s="48" t="n">
        <v>29</v>
      </c>
      <c r="AU45" s="48" t="n">
        <v>556</v>
      </c>
      <c r="AV45" s="48" t="n">
        <v>27</v>
      </c>
      <c r="AW45" s="48" t="n">
        <v>176</v>
      </c>
      <c r="AX45" s="48" t="n">
        <v>30</v>
      </c>
      <c r="AY45" s="48" t="n">
        <v>67</v>
      </c>
      <c r="AZ45" s="48" t="n">
        <v>16</v>
      </c>
      <c r="BA45" s="48" t="n">
        <v>20</v>
      </c>
      <c r="BB45" s="48" t="n">
        <v>32</v>
      </c>
      <c r="BC45" s="48" t="n">
        <v>33</v>
      </c>
      <c r="BD45" s="48" t="n">
        <v>45</v>
      </c>
      <c r="BE45" s="48" t="n">
        <v>91</v>
      </c>
      <c r="BF45" s="48" t="n">
        <v>35</v>
      </c>
      <c r="BG45" s="49" t="n">
        <v>7.95</v>
      </c>
    </row>
    <row r="46" customFormat="false" ht="15" hidden="false" customHeight="false" outlineLevel="0" collapsed="false">
      <c r="A46" s="43" t="s">
        <v>328</v>
      </c>
      <c r="B46" s="43" t="s">
        <v>329</v>
      </c>
      <c r="C46" s="44" t="str">
        <f aca="false">IF(A46="","",IFERROR(INDEX(Assumptions!$B$41:$B$55,MATCH(TRUE(),INDEX(ISNUMBER(SEARCH(" "&amp;Assumptions!$A$41:$A$55&amp;" "," "&amp;SUBSTITUTE(SUBSTITUTE(SUBSTITUTE(SUBSTITUTE(B46,"-"," "),","," "),"/"," "),"."," ")&amp;" ")),0),0)),"Other"))</f>
        <v>Other</v>
      </c>
      <c r="D46" s="45" t="n">
        <f aca="false">IF(A46="","",BG46*(1-Assumptions!$B$18))</f>
        <v>1.17</v>
      </c>
      <c r="E46" s="46" t="n">
        <f aca="false">IF(A46="","",INDEX(Assumptions!$B$23:$B$26,MOD(VALUE(LEFT(A46,5)),4)+1))</f>
        <v>4</v>
      </c>
      <c r="F46" s="47" t="n">
        <v>3160</v>
      </c>
      <c r="G46" s="48" t="n">
        <v>263</v>
      </c>
      <c r="H46" s="48" t="n">
        <v>284</v>
      </c>
      <c r="I46" s="48" t="n">
        <v>147</v>
      </c>
      <c r="J46" s="48" t="n">
        <v>0</v>
      </c>
      <c r="K46" s="48" t="n">
        <v>77</v>
      </c>
      <c r="L46" s="48" t="n">
        <v>556</v>
      </c>
      <c r="M46" s="48" t="n">
        <v>626</v>
      </c>
      <c r="N46" s="48" t="n">
        <v>137</v>
      </c>
      <c r="O46" s="48" t="n">
        <v>460</v>
      </c>
      <c r="P46" s="48" t="n">
        <v>69</v>
      </c>
      <c r="Q46" s="48" t="n">
        <v>352</v>
      </c>
      <c r="R46" s="48" t="n">
        <v>353</v>
      </c>
      <c r="S46" s="48" t="n">
        <v>389</v>
      </c>
      <c r="T46" s="48" t="n">
        <v>190</v>
      </c>
      <c r="U46" s="48" t="n">
        <v>228</v>
      </c>
      <c r="V46" s="48" t="n">
        <v>207</v>
      </c>
      <c r="W46" s="48" t="n">
        <v>814</v>
      </c>
      <c r="X46" s="48" t="n">
        <v>205</v>
      </c>
      <c r="Y46" s="48" t="n">
        <v>137</v>
      </c>
      <c r="Z46" s="48" t="n">
        <v>81</v>
      </c>
      <c r="AA46" s="48" t="n">
        <v>84</v>
      </c>
      <c r="AB46" s="48" t="n">
        <v>125</v>
      </c>
      <c r="AC46" s="48" t="n">
        <v>556</v>
      </c>
      <c r="AD46" s="48" t="n">
        <v>216</v>
      </c>
      <c r="AE46" s="48" t="n">
        <v>187</v>
      </c>
      <c r="AF46" s="48" t="n">
        <v>476</v>
      </c>
      <c r="AG46" s="48" t="n">
        <v>125</v>
      </c>
      <c r="AH46" s="48" t="n">
        <v>225</v>
      </c>
      <c r="AI46" s="48" t="n">
        <v>134</v>
      </c>
      <c r="AJ46" s="48" t="n">
        <v>170</v>
      </c>
      <c r="AK46" s="48" t="n">
        <v>41</v>
      </c>
      <c r="AL46" s="48" t="n">
        <v>68</v>
      </c>
      <c r="AM46" s="48" t="n">
        <v>277</v>
      </c>
      <c r="AN46" s="48" t="n">
        <v>114</v>
      </c>
      <c r="AO46" s="48" t="n">
        <v>233</v>
      </c>
      <c r="AP46" s="48" t="n">
        <v>571</v>
      </c>
      <c r="AQ46" s="48" t="n">
        <v>399</v>
      </c>
      <c r="AR46" s="48" t="n">
        <v>598</v>
      </c>
      <c r="AS46" s="48" t="n">
        <v>135</v>
      </c>
      <c r="AT46" s="48" t="n">
        <v>119</v>
      </c>
      <c r="AU46" s="48" t="n">
        <v>133</v>
      </c>
      <c r="AV46" s="48" t="n">
        <v>419</v>
      </c>
      <c r="AW46" s="48" t="n">
        <v>196</v>
      </c>
      <c r="AX46" s="48" t="n">
        <v>304</v>
      </c>
      <c r="AY46" s="48" t="n">
        <v>127</v>
      </c>
      <c r="AZ46" s="48" t="n">
        <v>265</v>
      </c>
      <c r="BA46" s="48" t="n">
        <v>284</v>
      </c>
      <c r="BB46" s="48" t="n">
        <v>213</v>
      </c>
      <c r="BC46" s="48" t="n">
        <v>510</v>
      </c>
      <c r="BD46" s="48" t="n">
        <v>308</v>
      </c>
      <c r="BE46" s="48" t="n">
        <v>345</v>
      </c>
      <c r="BF46" s="48" t="n">
        <v>162</v>
      </c>
      <c r="BG46" s="49" t="n">
        <v>1.95</v>
      </c>
    </row>
    <row r="47" customFormat="false" ht="15" hidden="false" customHeight="false" outlineLevel="0" collapsed="false">
      <c r="A47" s="43" t="s">
        <v>330</v>
      </c>
      <c r="B47" s="43" t="s">
        <v>331</v>
      </c>
      <c r="C47" s="44" t="str">
        <f aca="false">IF(A47="","",IFERROR(INDEX(Assumptions!$B$41:$B$55,MATCH(TRUE(),INDEX(ISNUMBER(SEARCH(" "&amp;Assumptions!$A$41:$A$55&amp;" "," "&amp;SUBSTITUTE(SUBSTITUTE(SUBSTITUTE(SUBSTITUTE(B47,"-"," "),","," "),"/"," "),"."," ")&amp;" ")),0),0)),"Other"))</f>
        <v>Lighting</v>
      </c>
      <c r="D47" s="45" t="n">
        <f aca="false">IF(A47="","",BG47*(1-Assumptions!$B$18))</f>
        <v>0.75</v>
      </c>
      <c r="E47" s="46" t="n">
        <f aca="false">IF(A47="","",INDEX(Assumptions!$B$23:$B$26,MOD(VALUE(LEFT(A47,5)),4)+1))</f>
        <v>6</v>
      </c>
      <c r="F47" s="47" t="n">
        <v>2816</v>
      </c>
      <c r="G47" s="48" t="n">
        <v>857</v>
      </c>
      <c r="H47" s="48" t="n">
        <v>646</v>
      </c>
      <c r="I47" s="48" t="n">
        <v>85</v>
      </c>
      <c r="J47" s="48" t="n">
        <v>0</v>
      </c>
      <c r="K47" s="48" t="n">
        <v>328</v>
      </c>
      <c r="L47" s="48" t="n">
        <v>97</v>
      </c>
      <c r="M47" s="48" t="n">
        <v>237</v>
      </c>
      <c r="N47" s="48" t="n">
        <v>129</v>
      </c>
      <c r="O47" s="48" t="n">
        <v>160</v>
      </c>
      <c r="P47" s="48" t="n">
        <v>425</v>
      </c>
      <c r="Q47" s="48" t="n">
        <v>225</v>
      </c>
      <c r="R47" s="48" t="n">
        <v>160</v>
      </c>
      <c r="S47" s="48" t="n">
        <v>243</v>
      </c>
      <c r="T47" s="48" t="n">
        <v>91</v>
      </c>
      <c r="U47" s="48" t="n">
        <v>396</v>
      </c>
      <c r="V47" s="48" t="n">
        <v>367</v>
      </c>
      <c r="W47" s="48" t="n">
        <v>161</v>
      </c>
      <c r="X47" s="48" t="n">
        <v>196</v>
      </c>
      <c r="Y47" s="48" t="n">
        <v>240</v>
      </c>
      <c r="Z47" s="48" t="n">
        <v>259</v>
      </c>
      <c r="AA47" s="48" t="n">
        <v>161</v>
      </c>
      <c r="AB47" s="48" t="n">
        <v>380</v>
      </c>
      <c r="AC47" s="48" t="n">
        <v>242</v>
      </c>
      <c r="AD47" s="48" t="n">
        <v>411</v>
      </c>
      <c r="AE47" s="48" t="n">
        <v>595</v>
      </c>
      <c r="AF47" s="48" t="n">
        <v>269</v>
      </c>
      <c r="AG47" s="48" t="n">
        <v>576</v>
      </c>
      <c r="AH47" s="48" t="n">
        <v>294</v>
      </c>
      <c r="AI47" s="48" t="n">
        <v>156</v>
      </c>
      <c r="AJ47" s="48" t="n">
        <v>372</v>
      </c>
      <c r="AK47" s="48" t="n">
        <v>463</v>
      </c>
      <c r="AL47" s="48" t="n">
        <v>96</v>
      </c>
      <c r="AM47" s="48" t="n">
        <v>507</v>
      </c>
      <c r="AN47" s="48" t="n">
        <v>159</v>
      </c>
      <c r="AO47" s="48" t="n">
        <v>589</v>
      </c>
      <c r="AP47" s="48" t="n">
        <v>163</v>
      </c>
      <c r="AQ47" s="48" t="n">
        <v>540</v>
      </c>
      <c r="AR47" s="48" t="n">
        <v>264</v>
      </c>
      <c r="AS47" s="48" t="n">
        <v>184</v>
      </c>
      <c r="AT47" s="48" t="n">
        <v>271</v>
      </c>
      <c r="AU47" s="48" t="n">
        <v>115</v>
      </c>
      <c r="AV47" s="48" t="n">
        <v>501</v>
      </c>
      <c r="AW47" s="48" t="n">
        <v>378</v>
      </c>
      <c r="AX47" s="48" t="n">
        <v>342</v>
      </c>
      <c r="AY47" s="48" t="n">
        <v>499</v>
      </c>
      <c r="AZ47" s="48" t="n">
        <v>424</v>
      </c>
      <c r="BA47" s="48" t="n">
        <v>228</v>
      </c>
      <c r="BB47" s="48" t="n">
        <v>865</v>
      </c>
      <c r="BC47" s="48" t="n">
        <v>1079</v>
      </c>
      <c r="BD47" s="48" t="n">
        <v>815</v>
      </c>
      <c r="BE47" s="48" t="n">
        <v>577</v>
      </c>
      <c r="BF47" s="48" t="n">
        <v>489</v>
      </c>
      <c r="BG47" s="49" t="n">
        <v>1.25</v>
      </c>
    </row>
    <row r="48" customFormat="false" ht="15" hidden="false" customHeight="false" outlineLevel="0" collapsed="false">
      <c r="A48" s="43" t="s">
        <v>332</v>
      </c>
      <c r="B48" s="43" t="s">
        <v>333</v>
      </c>
      <c r="C48" s="44" t="str">
        <f aca="false">IF(A48="","",IFERROR(INDEX(Assumptions!$B$41:$B$55,MATCH(TRUE(),INDEX(ISNUMBER(SEARCH(" "&amp;Assumptions!$A$41:$A$55&amp;" "," "&amp;SUBSTITUTE(SUBSTITUTE(SUBSTITUTE(SUBSTITUTE(B48,"-"," "),","," "),"/"," "),"."," ")&amp;" ")),0),0)),"Other"))</f>
        <v>Other</v>
      </c>
      <c r="D48" s="45" t="n">
        <f aca="false">IF(A48="","",BG48*(1-Assumptions!$B$18))</f>
        <v>0.75</v>
      </c>
      <c r="E48" s="46" t="n">
        <f aca="false">IF(A48="","",INDEX(Assumptions!$B$23:$B$26,MOD(VALUE(LEFT(A48,5)),4)+1))</f>
        <v>8</v>
      </c>
      <c r="F48" s="47" t="n">
        <v>1169</v>
      </c>
      <c r="G48" s="48" t="n">
        <v>243</v>
      </c>
      <c r="H48" s="48" t="n">
        <v>314</v>
      </c>
      <c r="I48" s="48" t="n">
        <v>13</v>
      </c>
      <c r="J48" s="48" t="n">
        <v>0</v>
      </c>
      <c r="K48" s="48" t="n">
        <v>285</v>
      </c>
      <c r="L48" s="48" t="n">
        <v>72</v>
      </c>
      <c r="M48" s="48" t="n">
        <v>116</v>
      </c>
      <c r="N48" s="48" t="n">
        <v>84</v>
      </c>
      <c r="O48" s="48" t="n">
        <v>556</v>
      </c>
      <c r="P48" s="48" t="n">
        <v>25</v>
      </c>
      <c r="Q48" s="48" t="n">
        <v>39</v>
      </c>
      <c r="R48" s="48" t="n">
        <v>125</v>
      </c>
      <c r="S48" s="48" t="n">
        <v>604</v>
      </c>
      <c r="T48" s="48" t="n">
        <v>319</v>
      </c>
      <c r="U48" s="48" t="n">
        <v>192</v>
      </c>
      <c r="V48" s="48" t="n">
        <v>120</v>
      </c>
      <c r="W48" s="48" t="n">
        <v>742</v>
      </c>
      <c r="X48" s="48" t="n">
        <v>107</v>
      </c>
      <c r="Y48" s="48" t="n">
        <v>96</v>
      </c>
      <c r="Z48" s="48" t="n">
        <v>125</v>
      </c>
      <c r="AA48" s="48" t="n">
        <v>364</v>
      </c>
      <c r="AB48" s="48" t="n">
        <v>152</v>
      </c>
      <c r="AC48" s="48" t="n">
        <v>160</v>
      </c>
      <c r="AD48" s="48" t="n">
        <v>312</v>
      </c>
      <c r="AE48" s="48" t="n">
        <v>85</v>
      </c>
      <c r="AF48" s="48" t="n">
        <v>305</v>
      </c>
      <c r="AG48" s="48" t="n">
        <v>84</v>
      </c>
      <c r="AH48" s="48" t="n">
        <v>434</v>
      </c>
      <c r="AI48" s="48" t="n">
        <v>338</v>
      </c>
      <c r="AJ48" s="48" t="n">
        <v>126</v>
      </c>
      <c r="AK48" s="48" t="n">
        <v>85</v>
      </c>
      <c r="AL48" s="48" t="n">
        <v>175</v>
      </c>
      <c r="AM48" s="48" t="n">
        <v>231</v>
      </c>
      <c r="AN48" s="48" t="n">
        <v>186</v>
      </c>
      <c r="AO48" s="48" t="n">
        <v>381</v>
      </c>
      <c r="AP48" s="48" t="n">
        <v>857</v>
      </c>
      <c r="AQ48" s="48" t="n">
        <v>336</v>
      </c>
      <c r="AR48" s="48" t="n">
        <v>366</v>
      </c>
      <c r="AS48" s="48" t="n">
        <v>1621</v>
      </c>
      <c r="AT48" s="48" t="n">
        <v>262</v>
      </c>
      <c r="AU48" s="48" t="n">
        <v>307</v>
      </c>
      <c r="AV48" s="48" t="n">
        <v>545</v>
      </c>
      <c r="AW48" s="48" t="n">
        <v>312</v>
      </c>
      <c r="AX48" s="48" t="n">
        <v>1831</v>
      </c>
      <c r="AY48" s="48" t="n">
        <v>252</v>
      </c>
      <c r="AZ48" s="48" t="n">
        <v>830</v>
      </c>
      <c r="BA48" s="48" t="n">
        <v>351</v>
      </c>
      <c r="BB48" s="48" t="n">
        <v>2652</v>
      </c>
      <c r="BC48" s="48" t="n">
        <v>661</v>
      </c>
      <c r="BD48" s="48" t="n">
        <v>351</v>
      </c>
      <c r="BE48" s="48" t="n">
        <v>22</v>
      </c>
      <c r="BF48" s="48" t="n">
        <v>1120</v>
      </c>
      <c r="BG48" s="49" t="n">
        <v>1.25</v>
      </c>
    </row>
    <row r="49" customFormat="false" ht="15" hidden="false" customHeight="false" outlineLevel="0" collapsed="false">
      <c r="A49" s="43" t="s">
        <v>334</v>
      </c>
      <c r="B49" s="43" t="s">
        <v>335</v>
      </c>
      <c r="C49" s="44" t="str">
        <f aca="false">IF(A49="","",IFERROR(INDEX(Assumptions!$B$41:$B$55,MATCH(TRUE(),INDEX(ISNUMBER(SEARCH(" "&amp;Assumptions!$A$41:$A$55&amp;" "," "&amp;SUBSTITUTE(SUBSTITUTE(SUBSTITUTE(SUBSTITUTE(B49,"-"," "),","," "),"/"," "),"."," ")&amp;" ")),0),0)),"Other"))</f>
        <v>Other</v>
      </c>
      <c r="D49" s="45" t="n">
        <f aca="false">IF(A49="","",BG49*(1-Assumptions!$B$18))</f>
        <v>5.97</v>
      </c>
      <c r="E49" s="46" t="n">
        <f aca="false">IF(A49="","",INDEX(Assumptions!$B$23:$B$26,MOD(VALUE(LEFT(A49,5)),4)+1))</f>
        <v>4</v>
      </c>
      <c r="F49" s="47" t="n">
        <v>368</v>
      </c>
      <c r="G49" s="48" t="n">
        <v>0</v>
      </c>
      <c r="H49" s="48" t="n">
        <v>0</v>
      </c>
      <c r="I49" s="48" t="n">
        <v>0</v>
      </c>
      <c r="J49" s="48" t="n">
        <v>0</v>
      </c>
      <c r="K49" s="48" t="n">
        <v>0</v>
      </c>
      <c r="L49" s="48" t="n">
        <v>0</v>
      </c>
      <c r="M49" s="48" t="n">
        <v>0</v>
      </c>
      <c r="N49" s="48" t="n">
        <v>0</v>
      </c>
      <c r="O49" s="48" t="n">
        <v>0</v>
      </c>
      <c r="P49" s="48" t="n">
        <v>0</v>
      </c>
      <c r="Q49" s="48" t="n">
        <v>0</v>
      </c>
      <c r="R49" s="48" t="n">
        <v>0</v>
      </c>
      <c r="S49" s="48" t="n">
        <v>0</v>
      </c>
      <c r="T49" s="48" t="n">
        <v>0</v>
      </c>
      <c r="U49" s="48" t="n">
        <v>0</v>
      </c>
      <c r="V49" s="48" t="n">
        <v>0</v>
      </c>
      <c r="W49" s="48" t="n">
        <v>0</v>
      </c>
      <c r="X49" s="48" t="n">
        <v>0</v>
      </c>
      <c r="Y49" s="48" t="n">
        <v>0</v>
      </c>
      <c r="Z49" s="48" t="n">
        <v>0</v>
      </c>
      <c r="AA49" s="48" t="n">
        <v>0</v>
      </c>
      <c r="AB49" s="48" t="n">
        <v>0</v>
      </c>
      <c r="AC49" s="48" t="n">
        <v>128</v>
      </c>
      <c r="AD49" s="48" t="n">
        <v>164</v>
      </c>
      <c r="AE49" s="48" t="n">
        <v>88</v>
      </c>
      <c r="AF49" s="48" t="n">
        <v>55</v>
      </c>
      <c r="AG49" s="48" t="n">
        <v>48</v>
      </c>
      <c r="AH49" s="48" t="n">
        <v>167</v>
      </c>
      <c r="AI49" s="48" t="n">
        <v>46</v>
      </c>
      <c r="AJ49" s="48" t="n">
        <v>560</v>
      </c>
      <c r="AK49" s="48" t="n">
        <v>48</v>
      </c>
      <c r="AL49" s="48" t="n">
        <v>88</v>
      </c>
      <c r="AM49" s="48" t="n">
        <v>75</v>
      </c>
      <c r="AN49" s="48" t="n">
        <v>417</v>
      </c>
      <c r="AO49" s="48" t="n">
        <v>57</v>
      </c>
      <c r="AP49" s="48" t="n">
        <v>56</v>
      </c>
      <c r="AQ49" s="48" t="n">
        <v>50</v>
      </c>
      <c r="AR49" s="48" t="n">
        <v>16</v>
      </c>
      <c r="AS49" s="48" t="n">
        <v>63</v>
      </c>
      <c r="AT49" s="48" t="n">
        <v>82</v>
      </c>
      <c r="AU49" s="48" t="n">
        <v>119</v>
      </c>
      <c r="AV49" s="48" t="n">
        <v>29</v>
      </c>
      <c r="AW49" s="48" t="n">
        <v>73</v>
      </c>
      <c r="AX49" s="48" t="n">
        <v>18</v>
      </c>
      <c r="AY49" s="48" t="n">
        <v>46</v>
      </c>
      <c r="AZ49" s="48" t="n">
        <v>77</v>
      </c>
      <c r="BA49" s="48" t="n">
        <v>25</v>
      </c>
      <c r="BB49" s="48" t="n">
        <v>46</v>
      </c>
      <c r="BC49" s="48" t="n">
        <v>22</v>
      </c>
      <c r="BD49" s="48" t="n">
        <v>23</v>
      </c>
      <c r="BE49" s="48" t="n">
        <v>36</v>
      </c>
      <c r="BF49" s="48" t="n">
        <v>14</v>
      </c>
      <c r="BG49" s="49" t="n">
        <v>9.95</v>
      </c>
    </row>
    <row r="50" customFormat="false" ht="15" hidden="false" customHeight="false" outlineLevel="0" collapsed="false">
      <c r="A50" s="43" t="s">
        <v>336</v>
      </c>
      <c r="B50" s="43" t="s">
        <v>337</v>
      </c>
      <c r="C50" s="44" t="str">
        <f aca="false">IF(A50="","",IFERROR(INDEX(Assumptions!$B$41:$B$55,MATCH(TRUE(),INDEX(ISNUMBER(SEARCH(" "&amp;Assumptions!$A$41:$A$55&amp;" "," "&amp;SUBSTITUTE(SUBSTITUTE(SUBSTITUTE(SUBSTITUTE(B50,"-"," "),","," "),"/"," "),"."," ")&amp;" ")),0),0)),"Other"))</f>
        <v>Other</v>
      </c>
      <c r="D50" s="45" t="n">
        <f aca="false">IF(A50="","",BG50*(1-Assumptions!$B$18))</f>
        <v>1.77</v>
      </c>
      <c r="E50" s="46" t="n">
        <f aca="false">IF(A50="","",INDEX(Assumptions!$B$23:$B$26,MOD(VALUE(LEFT(A50,5)),4)+1))</f>
        <v>6</v>
      </c>
      <c r="F50" s="47" t="n">
        <v>6232</v>
      </c>
      <c r="G50" s="48" t="n">
        <v>104</v>
      </c>
      <c r="H50" s="48" t="n">
        <v>161</v>
      </c>
      <c r="I50" s="48" t="n">
        <v>55</v>
      </c>
      <c r="J50" s="48" t="n">
        <v>0</v>
      </c>
      <c r="K50" s="48" t="n">
        <v>42</v>
      </c>
      <c r="L50" s="48" t="n">
        <v>100</v>
      </c>
      <c r="M50" s="48" t="n">
        <v>92</v>
      </c>
      <c r="N50" s="48" t="n">
        <v>116</v>
      </c>
      <c r="O50" s="48" t="n">
        <v>72</v>
      </c>
      <c r="P50" s="48" t="n">
        <v>128</v>
      </c>
      <c r="Q50" s="48" t="n">
        <v>177</v>
      </c>
      <c r="R50" s="48" t="n">
        <v>135</v>
      </c>
      <c r="S50" s="48" t="n">
        <v>141</v>
      </c>
      <c r="T50" s="48" t="n">
        <v>112</v>
      </c>
      <c r="U50" s="48" t="n">
        <v>163</v>
      </c>
      <c r="V50" s="48" t="n">
        <v>119</v>
      </c>
      <c r="W50" s="48" t="n">
        <v>167</v>
      </c>
      <c r="X50" s="48" t="n">
        <v>73</v>
      </c>
      <c r="Y50" s="48" t="n">
        <v>134</v>
      </c>
      <c r="Z50" s="48" t="n">
        <v>80</v>
      </c>
      <c r="AA50" s="48" t="n">
        <v>52</v>
      </c>
      <c r="AB50" s="48" t="n">
        <v>174</v>
      </c>
      <c r="AC50" s="48" t="n">
        <v>176</v>
      </c>
      <c r="AD50" s="48" t="n">
        <v>220</v>
      </c>
      <c r="AE50" s="48" t="n">
        <v>43</v>
      </c>
      <c r="AF50" s="48" t="n">
        <v>64</v>
      </c>
      <c r="AG50" s="48" t="n">
        <v>143</v>
      </c>
      <c r="AH50" s="48" t="n">
        <v>221</v>
      </c>
      <c r="AI50" s="48" t="n">
        <v>69</v>
      </c>
      <c r="AJ50" s="48" t="n">
        <v>73</v>
      </c>
      <c r="AK50" s="48" t="n">
        <v>45</v>
      </c>
      <c r="AL50" s="48" t="n">
        <v>104</v>
      </c>
      <c r="AM50" s="48" t="n">
        <v>148</v>
      </c>
      <c r="AN50" s="48" t="n">
        <v>475</v>
      </c>
      <c r="AO50" s="48" t="n">
        <v>93</v>
      </c>
      <c r="AP50" s="48" t="n">
        <v>144</v>
      </c>
      <c r="AQ50" s="48" t="n">
        <v>174</v>
      </c>
      <c r="AR50" s="48" t="n">
        <v>32</v>
      </c>
      <c r="AS50" s="48" t="n">
        <v>120</v>
      </c>
      <c r="AT50" s="48" t="n">
        <v>105</v>
      </c>
      <c r="AU50" s="48" t="n">
        <v>71</v>
      </c>
      <c r="AV50" s="48" t="n">
        <v>810</v>
      </c>
      <c r="AW50" s="48" t="n">
        <v>303</v>
      </c>
      <c r="AX50" s="48" t="n">
        <v>83</v>
      </c>
      <c r="AY50" s="48" t="n">
        <v>124</v>
      </c>
      <c r="AZ50" s="48" t="n">
        <v>86</v>
      </c>
      <c r="BA50" s="48" t="n">
        <v>103</v>
      </c>
      <c r="BB50" s="48" t="n">
        <v>507</v>
      </c>
      <c r="BC50" s="48" t="n">
        <v>295</v>
      </c>
      <c r="BD50" s="48" t="n">
        <v>119</v>
      </c>
      <c r="BE50" s="48" t="n">
        <v>203</v>
      </c>
      <c r="BF50" s="48" t="n">
        <v>166</v>
      </c>
      <c r="BG50" s="49" t="n">
        <v>2.95</v>
      </c>
    </row>
    <row r="51" customFormat="false" ht="15" hidden="false" customHeight="false" outlineLevel="0" collapsed="false">
      <c r="A51" s="43" t="s">
        <v>338</v>
      </c>
      <c r="B51" s="43" t="s">
        <v>339</v>
      </c>
      <c r="C51" s="44" t="str">
        <f aca="false">IF(A51="","",IFERROR(INDEX(Assumptions!$B$41:$B$55,MATCH(TRUE(),INDEX(ISNUMBER(SEARCH(" "&amp;Assumptions!$A$41:$A$55&amp;" "," "&amp;SUBSTITUTE(SUBSTITUTE(SUBSTITUTE(SUBSTITUTE(B51,"-"," "),","," "),"/"," "),"."," ")&amp;" ")),0),0)),"Other"))</f>
        <v>Other</v>
      </c>
      <c r="D51" s="45" t="n">
        <f aca="false">IF(A51="","",BG51*(1-Assumptions!$B$18))</f>
        <v>5.1</v>
      </c>
      <c r="E51" s="46" t="n">
        <f aca="false">IF(A51="","",INDEX(Assumptions!$B$23:$B$26,MOD(VALUE(LEFT(A51,5)),4)+1))</f>
        <v>4</v>
      </c>
      <c r="F51" s="47" t="n">
        <v>851</v>
      </c>
      <c r="G51" s="48" t="n">
        <v>23</v>
      </c>
      <c r="H51" s="48" t="n">
        <v>21</v>
      </c>
      <c r="I51" s="48" t="n">
        <v>15</v>
      </c>
      <c r="J51" s="48" t="n">
        <v>0</v>
      </c>
      <c r="K51" s="48" t="n">
        <v>40</v>
      </c>
      <c r="L51" s="48" t="n">
        <v>338</v>
      </c>
      <c r="M51" s="48" t="n">
        <v>18</v>
      </c>
      <c r="N51" s="48" t="n">
        <v>39</v>
      </c>
      <c r="O51" s="48" t="n">
        <v>49</v>
      </c>
      <c r="P51" s="48" t="n">
        <v>28</v>
      </c>
      <c r="Q51" s="48" t="n">
        <v>137</v>
      </c>
      <c r="R51" s="48" t="n">
        <v>127</v>
      </c>
      <c r="S51" s="48" t="n">
        <v>305</v>
      </c>
      <c r="T51" s="48" t="n">
        <v>81</v>
      </c>
      <c r="U51" s="48" t="n">
        <v>11</v>
      </c>
      <c r="V51" s="48" t="n">
        <v>8</v>
      </c>
      <c r="W51" s="48" t="n">
        <v>230</v>
      </c>
      <c r="X51" s="48" t="n">
        <v>9</v>
      </c>
      <c r="Y51" s="48" t="n">
        <v>0</v>
      </c>
      <c r="Z51" s="48" t="n">
        <v>25</v>
      </c>
      <c r="AA51" s="48" t="n">
        <v>0</v>
      </c>
      <c r="AB51" s="48" t="n">
        <v>79</v>
      </c>
      <c r="AC51" s="48" t="n">
        <v>88</v>
      </c>
      <c r="AD51" s="48" t="n">
        <v>92</v>
      </c>
      <c r="AE51" s="48" t="n">
        <v>69</v>
      </c>
      <c r="AF51" s="48" t="n">
        <v>52</v>
      </c>
      <c r="AG51" s="48" t="n">
        <v>43</v>
      </c>
      <c r="AH51" s="48" t="n">
        <v>50</v>
      </c>
      <c r="AI51" s="48" t="n">
        <v>18</v>
      </c>
      <c r="AJ51" s="48" t="n">
        <v>33</v>
      </c>
      <c r="AK51" s="48" t="n">
        <v>48</v>
      </c>
      <c r="AL51" s="48" t="n">
        <v>6</v>
      </c>
      <c r="AM51" s="48" t="n">
        <v>32</v>
      </c>
      <c r="AN51" s="48" t="n">
        <v>19</v>
      </c>
      <c r="AO51" s="48" t="n">
        <v>150</v>
      </c>
      <c r="AP51" s="48" t="n">
        <v>17</v>
      </c>
      <c r="AQ51" s="48" t="n">
        <v>19</v>
      </c>
      <c r="AR51" s="48" t="n">
        <v>25</v>
      </c>
      <c r="AS51" s="48" t="n">
        <v>40</v>
      </c>
      <c r="AT51" s="48" t="n">
        <v>54</v>
      </c>
      <c r="AU51" s="48" t="n">
        <v>19</v>
      </c>
      <c r="AV51" s="48" t="n">
        <v>46</v>
      </c>
      <c r="AW51" s="48" t="n">
        <v>22</v>
      </c>
      <c r="AX51" s="48" t="n">
        <v>33</v>
      </c>
      <c r="AY51" s="48" t="n">
        <v>17</v>
      </c>
      <c r="AZ51" s="48" t="n">
        <v>35</v>
      </c>
      <c r="BA51" s="48" t="n">
        <v>17</v>
      </c>
      <c r="BB51" s="48" t="n">
        <v>23</v>
      </c>
      <c r="BC51" s="48" t="n">
        <v>38</v>
      </c>
      <c r="BD51" s="48" t="n">
        <v>20</v>
      </c>
      <c r="BE51" s="48" t="n">
        <v>25</v>
      </c>
      <c r="BF51" s="48" t="n">
        <v>33</v>
      </c>
      <c r="BG51" s="49" t="n">
        <v>8.5</v>
      </c>
    </row>
    <row r="52" customFormat="false" ht="15" hidden="false" customHeight="false" outlineLevel="0" collapsed="false">
      <c r="A52" s="43" t="s">
        <v>340</v>
      </c>
      <c r="B52" s="43" t="s">
        <v>341</v>
      </c>
      <c r="C52" s="44" t="str">
        <f aca="false">IF(A52="","",IFERROR(INDEX(Assumptions!$B$41:$B$55,MATCH(TRUE(),INDEX(ISNUMBER(SEARCH(" "&amp;Assumptions!$A$41:$A$55&amp;" "," "&amp;SUBSTITUTE(SUBSTITUTE(SUBSTITUTE(SUBSTITUTE(B52,"-"," "),","," "),"/"," "),"."," ")&amp;" ")),0),0)),"Other"))</f>
        <v>Kitchen</v>
      </c>
      <c r="D52" s="45" t="n">
        <f aca="false">IF(A52="","",BG52*(1-Assumptions!$B$18))</f>
        <v>2.37</v>
      </c>
      <c r="E52" s="46" t="n">
        <f aca="false">IF(A52="","",INDEX(Assumptions!$B$23:$B$26,MOD(VALUE(LEFT(A52,5)),4)+1))</f>
        <v>6</v>
      </c>
      <c r="F52" s="47" t="n">
        <v>1022</v>
      </c>
      <c r="G52" s="48" t="n">
        <v>0</v>
      </c>
      <c r="H52" s="48" t="n">
        <v>227</v>
      </c>
      <c r="I52" s="48" t="n">
        <v>40</v>
      </c>
      <c r="J52" s="48" t="n">
        <v>0</v>
      </c>
      <c r="K52" s="48" t="n">
        <v>286</v>
      </c>
      <c r="L52" s="48" t="n">
        <v>274</v>
      </c>
      <c r="M52" s="48" t="n">
        <v>77</v>
      </c>
      <c r="N52" s="48" t="n">
        <v>96</v>
      </c>
      <c r="O52" s="48" t="n">
        <v>148</v>
      </c>
      <c r="P52" s="48" t="n">
        <v>156</v>
      </c>
      <c r="Q52" s="48" t="n">
        <v>165</v>
      </c>
      <c r="R52" s="48" t="n">
        <v>101</v>
      </c>
      <c r="S52" s="48" t="n">
        <v>127</v>
      </c>
      <c r="T52" s="48" t="n">
        <v>101</v>
      </c>
      <c r="U52" s="48" t="n">
        <v>136</v>
      </c>
      <c r="V52" s="48" t="n">
        <v>119</v>
      </c>
      <c r="W52" s="48" t="n">
        <v>138</v>
      </c>
      <c r="X52" s="48" t="n">
        <v>84</v>
      </c>
      <c r="Y52" s="48" t="n">
        <v>95</v>
      </c>
      <c r="Z52" s="48" t="n">
        <v>135</v>
      </c>
      <c r="AA52" s="48" t="n">
        <v>20</v>
      </c>
      <c r="AB52" s="48" t="n">
        <v>120</v>
      </c>
      <c r="AC52" s="48" t="n">
        <v>144</v>
      </c>
      <c r="AD52" s="48" t="n">
        <v>63</v>
      </c>
      <c r="AE52" s="48" t="n">
        <v>70</v>
      </c>
      <c r="AF52" s="48" t="n">
        <v>3</v>
      </c>
      <c r="AG52" s="48" t="n">
        <v>0</v>
      </c>
      <c r="AH52" s="48" t="n">
        <v>264</v>
      </c>
      <c r="AI52" s="48" t="n">
        <v>0</v>
      </c>
      <c r="AJ52" s="48" t="n">
        <v>0</v>
      </c>
      <c r="AK52" s="48" t="n">
        <v>0</v>
      </c>
      <c r="AL52" s="48" t="n">
        <v>0</v>
      </c>
      <c r="AM52" s="48" t="n">
        <v>0</v>
      </c>
      <c r="AN52" s="48" t="n">
        <v>0</v>
      </c>
      <c r="AO52" s="48" t="n">
        <v>1</v>
      </c>
      <c r="AP52" s="48" t="n">
        <v>0</v>
      </c>
      <c r="AQ52" s="48" t="n">
        <v>210</v>
      </c>
      <c r="AR52" s="48" t="n">
        <v>7</v>
      </c>
      <c r="AS52" s="48" t="n">
        <v>4</v>
      </c>
      <c r="AT52" s="48" t="n">
        <v>0</v>
      </c>
      <c r="AU52" s="48" t="n">
        <v>4</v>
      </c>
      <c r="AV52" s="48" t="n">
        <v>1036</v>
      </c>
      <c r="AW52" s="48" t="n">
        <v>71</v>
      </c>
      <c r="AX52" s="48" t="n">
        <v>504</v>
      </c>
      <c r="AY52" s="48" t="n">
        <v>133</v>
      </c>
      <c r="AZ52" s="48" t="n">
        <v>22</v>
      </c>
      <c r="BA52" s="48" t="n">
        <v>156</v>
      </c>
      <c r="BB52" s="48" t="n">
        <v>66</v>
      </c>
      <c r="BC52" s="48" t="n">
        <v>208</v>
      </c>
      <c r="BD52" s="48" t="n">
        <v>124</v>
      </c>
      <c r="BE52" s="48" t="n">
        <v>101</v>
      </c>
      <c r="BF52" s="48" t="n">
        <v>71</v>
      </c>
      <c r="BG52" s="49" t="n">
        <v>3.95</v>
      </c>
    </row>
    <row r="53" customFormat="false" ht="15" hidden="false" customHeight="false" outlineLevel="0" collapsed="false">
      <c r="A53" s="43" t="s">
        <v>342</v>
      </c>
      <c r="B53" s="43" t="s">
        <v>343</v>
      </c>
      <c r="C53" s="44" t="str">
        <f aca="false">IF(A53="","",IFERROR(INDEX(Assumptions!$B$41:$B$55,MATCH(TRUE(),INDEX(ISNUMBER(SEARCH(" "&amp;Assumptions!$A$41:$A$55&amp;" "," "&amp;SUBSTITUTE(SUBSTITUTE(SUBSTITUTE(SUBSTITUTE(B53,"-"," "),","," "),"/"," "),"."," ")&amp;" ")),0),0)),"Other"))</f>
        <v>Other</v>
      </c>
      <c r="D53" s="45" t="n">
        <f aca="false">IF(A53="","",BG53*(1-Assumptions!$B$18))</f>
        <v>1.26</v>
      </c>
      <c r="E53" s="46" t="n">
        <f aca="false">IF(A53="","",INDEX(Assumptions!$B$23:$B$26,MOD(VALUE(LEFT(A53,5)),4)+1))</f>
        <v>4</v>
      </c>
      <c r="F53" s="47" t="n">
        <v>3156</v>
      </c>
      <c r="G53" s="48" t="n">
        <v>418</v>
      </c>
      <c r="H53" s="48" t="n">
        <v>643</v>
      </c>
      <c r="I53" s="48" t="n">
        <v>49</v>
      </c>
      <c r="J53" s="48" t="n">
        <v>0</v>
      </c>
      <c r="K53" s="48" t="n">
        <v>260</v>
      </c>
      <c r="L53" s="48" t="n">
        <v>125</v>
      </c>
      <c r="M53" s="48" t="n">
        <v>127</v>
      </c>
      <c r="N53" s="48" t="n">
        <v>96</v>
      </c>
      <c r="O53" s="48" t="n">
        <v>236</v>
      </c>
      <c r="P53" s="48" t="n">
        <v>86</v>
      </c>
      <c r="Q53" s="48" t="n">
        <v>200</v>
      </c>
      <c r="R53" s="48" t="n">
        <v>175</v>
      </c>
      <c r="S53" s="48" t="n">
        <v>238</v>
      </c>
      <c r="T53" s="48" t="n">
        <v>341</v>
      </c>
      <c r="U53" s="48" t="n">
        <v>270</v>
      </c>
      <c r="V53" s="48" t="n">
        <v>450</v>
      </c>
      <c r="W53" s="48" t="n">
        <v>146</v>
      </c>
      <c r="X53" s="48" t="n">
        <v>252</v>
      </c>
      <c r="Y53" s="48" t="n">
        <v>388</v>
      </c>
      <c r="Z53" s="48" t="n">
        <v>208</v>
      </c>
      <c r="AA53" s="48" t="n">
        <v>159</v>
      </c>
      <c r="AB53" s="48" t="n">
        <v>315</v>
      </c>
      <c r="AC53" s="48" t="n">
        <v>311</v>
      </c>
      <c r="AD53" s="48" t="n">
        <v>305</v>
      </c>
      <c r="AE53" s="48" t="n">
        <v>1</v>
      </c>
      <c r="AF53" s="48" t="n">
        <v>0</v>
      </c>
      <c r="AG53" s="48" t="n">
        <v>0</v>
      </c>
      <c r="AH53" s="48" t="n">
        <v>0</v>
      </c>
      <c r="AI53" s="48" t="n">
        <v>0</v>
      </c>
      <c r="AJ53" s="48" t="n">
        <v>0</v>
      </c>
      <c r="AK53" s="48" t="n">
        <v>0</v>
      </c>
      <c r="AL53" s="48" t="n">
        <v>192</v>
      </c>
      <c r="AM53" s="48" t="n">
        <v>0</v>
      </c>
      <c r="AN53" s="48" t="n">
        <v>0</v>
      </c>
      <c r="AO53" s="48" t="n">
        <v>1</v>
      </c>
      <c r="AP53" s="48" t="n">
        <v>0</v>
      </c>
      <c r="AQ53" s="48" t="n">
        <v>0</v>
      </c>
      <c r="AR53" s="48" t="n">
        <v>0</v>
      </c>
      <c r="AS53" s="48" t="n">
        <v>39</v>
      </c>
      <c r="AT53" s="48" t="n">
        <v>1398</v>
      </c>
      <c r="AU53" s="48" t="n">
        <v>497</v>
      </c>
      <c r="AV53" s="48" t="n">
        <v>236</v>
      </c>
      <c r="AW53" s="48" t="n">
        <v>373</v>
      </c>
      <c r="AX53" s="48" t="n">
        <v>577</v>
      </c>
      <c r="AY53" s="48" t="n">
        <v>329</v>
      </c>
      <c r="AZ53" s="48" t="n">
        <v>135</v>
      </c>
      <c r="BA53" s="48" t="n">
        <v>908</v>
      </c>
      <c r="BB53" s="48" t="n">
        <v>47</v>
      </c>
      <c r="BC53" s="48" t="n">
        <v>12</v>
      </c>
      <c r="BD53" s="48" t="n">
        <v>201</v>
      </c>
      <c r="BE53" s="48" t="n">
        <v>41</v>
      </c>
      <c r="BF53" s="48" t="n">
        <v>936</v>
      </c>
      <c r="BG53" s="49" t="n">
        <v>2.1</v>
      </c>
    </row>
    <row r="54" customFormat="false" ht="15" hidden="false" customHeight="false" outlineLevel="0" collapsed="false">
      <c r="A54" s="43" t="s">
        <v>344</v>
      </c>
      <c r="B54" s="43" t="s">
        <v>345</v>
      </c>
      <c r="C54" s="44" t="str">
        <f aca="false">IF(A54="","",IFERROR(INDEX(Assumptions!$B$41:$B$55,MATCH(TRUE(),INDEX(ISNUMBER(SEARCH(" "&amp;Assumptions!$A$41:$A$55&amp;" "," "&amp;SUBSTITUTE(SUBSTITUTE(SUBSTITUTE(SUBSTITUTE(B54,"-"," "),","," "),"/"," "),"."," ")&amp;" ")),0),0)),"Other"))</f>
        <v>Kitchen</v>
      </c>
      <c r="D54" s="45" t="n">
        <f aca="false">IF(A54="","",BG54*(1-Assumptions!$B$18))</f>
        <v>4.77</v>
      </c>
      <c r="E54" s="46" t="n">
        <f aca="false">IF(A54="","",INDEX(Assumptions!$B$23:$B$26,MOD(VALUE(LEFT(A54,5)),4)+1))</f>
        <v>4</v>
      </c>
      <c r="F54" s="47" t="n">
        <v>69</v>
      </c>
      <c r="G54" s="48" t="n">
        <v>27</v>
      </c>
      <c r="H54" s="48" t="n">
        <v>13</v>
      </c>
      <c r="I54" s="48" t="n">
        <v>5</v>
      </c>
      <c r="J54" s="48" t="n">
        <v>0</v>
      </c>
      <c r="K54" s="48" t="n">
        <v>46</v>
      </c>
      <c r="L54" s="48" t="n">
        <v>681</v>
      </c>
      <c r="M54" s="48" t="n">
        <v>18</v>
      </c>
      <c r="N54" s="48" t="n">
        <v>7</v>
      </c>
      <c r="O54" s="48" t="n">
        <v>13</v>
      </c>
      <c r="P54" s="48" t="n">
        <v>23</v>
      </c>
      <c r="Q54" s="48" t="n">
        <v>23</v>
      </c>
      <c r="R54" s="48" t="n">
        <v>30</v>
      </c>
      <c r="S54" s="48" t="n">
        <v>17</v>
      </c>
      <c r="T54" s="48" t="n">
        <v>126</v>
      </c>
      <c r="U54" s="48" t="n">
        <v>23</v>
      </c>
      <c r="V54" s="48" t="n">
        <v>12</v>
      </c>
      <c r="W54" s="48" t="n">
        <v>32</v>
      </c>
      <c r="X54" s="48" t="n">
        <v>17</v>
      </c>
      <c r="Y54" s="48" t="n">
        <v>25</v>
      </c>
      <c r="Z54" s="48" t="n">
        <v>707</v>
      </c>
      <c r="AA54" s="48" t="n">
        <v>5</v>
      </c>
      <c r="AB54" s="48" t="n">
        <v>18</v>
      </c>
      <c r="AC54" s="48" t="n">
        <v>43</v>
      </c>
      <c r="AD54" s="48" t="n">
        <v>129</v>
      </c>
      <c r="AE54" s="48" t="n">
        <v>15</v>
      </c>
      <c r="AF54" s="48" t="n">
        <v>21</v>
      </c>
      <c r="AG54" s="48" t="n">
        <v>503</v>
      </c>
      <c r="AH54" s="48" t="n">
        <v>12</v>
      </c>
      <c r="AI54" s="48" t="n">
        <v>7</v>
      </c>
      <c r="AJ54" s="48" t="n">
        <v>11</v>
      </c>
      <c r="AK54" s="48" t="n">
        <v>16</v>
      </c>
      <c r="AL54" s="48" t="n">
        <v>11</v>
      </c>
      <c r="AM54" s="48" t="n">
        <v>4</v>
      </c>
      <c r="AN54" s="48" t="n">
        <v>18</v>
      </c>
      <c r="AO54" s="48" t="n">
        <v>1</v>
      </c>
      <c r="AP54" s="48" t="n">
        <v>39</v>
      </c>
      <c r="AQ54" s="48" t="n">
        <v>34</v>
      </c>
      <c r="AR54" s="48" t="n">
        <v>10</v>
      </c>
      <c r="AS54" s="48" t="n">
        <v>10</v>
      </c>
      <c r="AT54" s="48" t="n">
        <v>14</v>
      </c>
      <c r="AU54" s="48" t="n">
        <v>538</v>
      </c>
      <c r="AV54" s="48" t="n">
        <v>17</v>
      </c>
      <c r="AW54" s="48" t="n">
        <v>48</v>
      </c>
      <c r="AX54" s="48" t="n">
        <v>34</v>
      </c>
      <c r="AY54" s="48" t="n">
        <v>18</v>
      </c>
      <c r="AZ54" s="48" t="n">
        <v>16</v>
      </c>
      <c r="BA54" s="48" t="n">
        <v>9</v>
      </c>
      <c r="BB54" s="48" t="n">
        <v>9</v>
      </c>
      <c r="BC54" s="48" t="n">
        <v>22</v>
      </c>
      <c r="BD54" s="48" t="n">
        <v>22</v>
      </c>
      <c r="BE54" s="48" t="n">
        <v>57</v>
      </c>
      <c r="BF54" s="48" t="n">
        <v>33</v>
      </c>
      <c r="BG54" s="49" t="n">
        <v>7.95</v>
      </c>
    </row>
    <row r="55" customFormat="false" ht="15" hidden="false" customHeight="false" outlineLevel="0" collapsed="false">
      <c r="A55" s="43" t="s">
        <v>346</v>
      </c>
      <c r="B55" s="43" t="s">
        <v>347</v>
      </c>
      <c r="C55" s="44" t="str">
        <f aca="false">IF(A55="","",IFERROR(INDEX(Assumptions!$B$41:$B$55,MATCH(TRUE(),INDEX(ISNUMBER(SEARCH(" "&amp;Assumptions!$A$41:$A$55&amp;" "," "&amp;SUBSTITUTE(SUBSTITUTE(SUBSTITUTE(SUBSTITUTE(B55,"-"," "),","," "),"/"," "),"."," ")&amp;" ")),0),0)),"Other"))</f>
        <v>Other</v>
      </c>
      <c r="D55" s="45" t="n">
        <f aca="false">IF(A55="","",BG55*(1-Assumptions!$B$18))</f>
        <v>4.77</v>
      </c>
      <c r="E55" s="46" t="n">
        <f aca="false">IF(A55="","",INDEX(Assumptions!$B$23:$B$26,MOD(VALUE(LEFT(A55,5)),4)+1))</f>
        <v>8</v>
      </c>
      <c r="F55" s="47" t="n">
        <v>1008</v>
      </c>
      <c r="G55" s="48" t="n">
        <v>69</v>
      </c>
      <c r="H55" s="48" t="n">
        <v>25</v>
      </c>
      <c r="I55" s="48" t="n">
        <v>8</v>
      </c>
      <c r="J55" s="48" t="n">
        <v>0</v>
      </c>
      <c r="K55" s="48" t="n">
        <v>74</v>
      </c>
      <c r="L55" s="48" t="n">
        <v>33</v>
      </c>
      <c r="M55" s="48" t="n">
        <v>19</v>
      </c>
      <c r="N55" s="48" t="n">
        <v>114</v>
      </c>
      <c r="O55" s="48" t="n">
        <v>50</v>
      </c>
      <c r="P55" s="48" t="n">
        <v>20</v>
      </c>
      <c r="Q55" s="48" t="n">
        <v>25</v>
      </c>
      <c r="R55" s="48" t="n">
        <v>24</v>
      </c>
      <c r="S55" s="48" t="n">
        <v>74</v>
      </c>
      <c r="T55" s="48" t="n">
        <v>32</v>
      </c>
      <c r="U55" s="48" t="n">
        <v>68</v>
      </c>
      <c r="V55" s="48" t="n">
        <v>52</v>
      </c>
      <c r="W55" s="48" t="n">
        <v>37</v>
      </c>
      <c r="X55" s="48" t="n">
        <v>19</v>
      </c>
      <c r="Y55" s="48" t="n">
        <v>61</v>
      </c>
      <c r="Z55" s="48" t="n">
        <v>54</v>
      </c>
      <c r="AA55" s="48" t="n">
        <v>19</v>
      </c>
      <c r="AB55" s="48" t="n">
        <v>59</v>
      </c>
      <c r="AC55" s="48" t="n">
        <v>68</v>
      </c>
      <c r="AD55" s="48" t="n">
        <v>141</v>
      </c>
      <c r="AE55" s="48" t="n">
        <v>23</v>
      </c>
      <c r="AF55" s="48" t="n">
        <v>13</v>
      </c>
      <c r="AG55" s="48" t="n">
        <v>537</v>
      </c>
      <c r="AH55" s="48" t="n">
        <v>15</v>
      </c>
      <c r="AI55" s="48" t="n">
        <v>29</v>
      </c>
      <c r="AJ55" s="48" t="n">
        <v>11</v>
      </c>
      <c r="AK55" s="48" t="n">
        <v>546</v>
      </c>
      <c r="AL55" s="48" t="n">
        <v>34</v>
      </c>
      <c r="AM55" s="48" t="n">
        <v>45</v>
      </c>
      <c r="AN55" s="48" t="n">
        <v>33</v>
      </c>
      <c r="AO55" s="48" t="n">
        <v>37</v>
      </c>
      <c r="AP55" s="48" t="n">
        <v>25</v>
      </c>
      <c r="AQ55" s="48" t="n">
        <v>71</v>
      </c>
      <c r="AR55" s="48" t="n">
        <v>21</v>
      </c>
      <c r="AS55" s="48" t="n">
        <v>43</v>
      </c>
      <c r="AT55" s="48" t="n">
        <v>33</v>
      </c>
      <c r="AU55" s="48" t="n">
        <v>551</v>
      </c>
      <c r="AV55" s="48" t="n">
        <v>16</v>
      </c>
      <c r="AW55" s="48" t="n">
        <v>150</v>
      </c>
      <c r="AX55" s="48" t="n">
        <v>39</v>
      </c>
      <c r="AY55" s="48" t="n">
        <v>23</v>
      </c>
      <c r="AZ55" s="48" t="n">
        <v>30</v>
      </c>
      <c r="BA55" s="48" t="n">
        <v>16</v>
      </c>
      <c r="BB55" s="48" t="n">
        <v>34</v>
      </c>
      <c r="BC55" s="48" t="n">
        <v>24</v>
      </c>
      <c r="BD55" s="48" t="n">
        <v>21</v>
      </c>
      <c r="BE55" s="48" t="n">
        <v>97</v>
      </c>
      <c r="BF55" s="48" t="n">
        <v>81</v>
      </c>
      <c r="BG55" s="49" t="n">
        <v>7.95</v>
      </c>
    </row>
    <row r="56" customFormat="false" ht="15" hidden="false" customHeight="false" outlineLevel="0" collapsed="false">
      <c r="A56" s="43" t="s">
        <v>348</v>
      </c>
      <c r="B56" s="43" t="s">
        <v>349</v>
      </c>
      <c r="C56" s="44" t="str">
        <f aca="false">IF(A56="","",IFERROR(INDEX(Assumptions!$B$41:$B$55,MATCH(TRUE(),INDEX(ISNUMBER(SEARCH(" "&amp;Assumptions!$A$41:$A$55&amp;" "," "&amp;SUBSTITUTE(SUBSTITUTE(SUBSTITUTE(SUBSTITUTE(B56,"-"," "),","," "),"/"," "),"."," ")&amp;" ")),0),0)),"Other"))</f>
        <v>Other</v>
      </c>
      <c r="D56" s="45" t="n">
        <f aca="false">IF(A56="","",BG56*(1-Assumptions!$B$18))</f>
        <v>0.87</v>
      </c>
      <c r="E56" s="46" t="n">
        <f aca="false">IF(A56="","",INDEX(Assumptions!$B$23:$B$26,MOD(VALUE(LEFT(A56,5)),4)+1))</f>
        <v>4</v>
      </c>
      <c r="F56" s="47" t="n">
        <v>290</v>
      </c>
      <c r="G56" s="48" t="n">
        <v>521</v>
      </c>
      <c r="H56" s="48" t="n">
        <v>600</v>
      </c>
      <c r="I56" s="48" t="n">
        <v>125</v>
      </c>
      <c r="J56" s="48" t="n">
        <v>0</v>
      </c>
      <c r="K56" s="48" t="n">
        <v>155</v>
      </c>
      <c r="L56" s="48" t="n">
        <v>683</v>
      </c>
      <c r="M56" s="48" t="n">
        <v>197</v>
      </c>
      <c r="N56" s="48" t="n">
        <v>324</v>
      </c>
      <c r="O56" s="48" t="n">
        <v>294</v>
      </c>
      <c r="P56" s="48" t="n">
        <v>167</v>
      </c>
      <c r="Q56" s="48" t="n">
        <v>361</v>
      </c>
      <c r="R56" s="48" t="n">
        <v>396</v>
      </c>
      <c r="S56" s="48" t="n">
        <v>371</v>
      </c>
      <c r="T56" s="48" t="n">
        <v>429</v>
      </c>
      <c r="U56" s="48" t="n">
        <v>318</v>
      </c>
      <c r="V56" s="48" t="n">
        <v>275</v>
      </c>
      <c r="W56" s="48" t="n">
        <v>436</v>
      </c>
      <c r="X56" s="48" t="n">
        <v>131</v>
      </c>
      <c r="Y56" s="48" t="n">
        <v>11</v>
      </c>
      <c r="Z56" s="48" t="n">
        <v>9</v>
      </c>
      <c r="AA56" s="48" t="n">
        <v>3</v>
      </c>
      <c r="AB56" s="48" t="n">
        <v>1</v>
      </c>
      <c r="AC56" s="48" t="n">
        <v>387</v>
      </c>
      <c r="AD56" s="48" t="n">
        <v>306</v>
      </c>
      <c r="AE56" s="48" t="n">
        <v>203</v>
      </c>
      <c r="AF56" s="48" t="n">
        <v>141</v>
      </c>
      <c r="AG56" s="48" t="n">
        <v>212</v>
      </c>
      <c r="AH56" s="48" t="n">
        <v>182</v>
      </c>
      <c r="AI56" s="48" t="n">
        <v>165</v>
      </c>
      <c r="AJ56" s="48" t="n">
        <v>226</v>
      </c>
      <c r="AK56" s="48" t="n">
        <v>243</v>
      </c>
      <c r="AL56" s="48" t="n">
        <v>169</v>
      </c>
      <c r="AM56" s="48" t="n">
        <v>193</v>
      </c>
      <c r="AN56" s="48" t="n">
        <v>492</v>
      </c>
      <c r="AO56" s="48" t="n">
        <v>635</v>
      </c>
      <c r="AP56" s="48" t="n">
        <v>291</v>
      </c>
      <c r="AQ56" s="48" t="n">
        <v>118</v>
      </c>
      <c r="AR56" s="48" t="n">
        <v>350</v>
      </c>
      <c r="AS56" s="48" t="n">
        <v>166</v>
      </c>
      <c r="AT56" s="48" t="n">
        <v>463</v>
      </c>
      <c r="AU56" s="48" t="n">
        <v>427</v>
      </c>
      <c r="AV56" s="48" t="n">
        <v>453</v>
      </c>
      <c r="AW56" s="48" t="n">
        <v>206</v>
      </c>
      <c r="AX56" s="48" t="n">
        <v>513</v>
      </c>
      <c r="AY56" s="48" t="n">
        <v>477</v>
      </c>
      <c r="AZ56" s="48" t="n">
        <v>290</v>
      </c>
      <c r="BA56" s="48" t="n">
        <v>162</v>
      </c>
      <c r="BB56" s="48" t="n">
        <v>360</v>
      </c>
      <c r="BC56" s="48" t="n">
        <v>289</v>
      </c>
      <c r="BD56" s="48" t="n">
        <v>355</v>
      </c>
      <c r="BE56" s="48" t="n">
        <v>516</v>
      </c>
      <c r="BF56" s="48" t="n">
        <v>269</v>
      </c>
      <c r="BG56" s="49" t="n">
        <v>1.45</v>
      </c>
    </row>
    <row r="57" customFormat="false" ht="15" hidden="false" customHeight="false" outlineLevel="0" collapsed="false">
      <c r="A57" s="43" t="s">
        <v>350</v>
      </c>
      <c r="B57" s="43" t="s">
        <v>351</v>
      </c>
      <c r="C57" s="44" t="str">
        <f aca="false">IF(A57="","",IFERROR(INDEX(Assumptions!$B$41:$B$55,MATCH(TRUE(),INDEX(ISNUMBER(SEARCH(" "&amp;Assumptions!$A$41:$A$55&amp;" "," "&amp;SUBSTITUTE(SUBSTITUTE(SUBSTITUTE(SUBSTITUTE(B57,"-"," "),","," "),"/"," "),"."," ")&amp;" ")),0),0)),"Other"))</f>
        <v>Other</v>
      </c>
      <c r="D57" s="45" t="n">
        <f aca="false">IF(A57="","",BG57*(1-Assumptions!$B$18))</f>
        <v>1.77</v>
      </c>
      <c r="E57" s="46" t="n">
        <f aca="false">IF(A57="","",INDEX(Assumptions!$B$23:$B$26,MOD(VALUE(LEFT(A57,5)),4)+1))</f>
        <v>6</v>
      </c>
      <c r="F57" s="47" t="n">
        <v>316</v>
      </c>
      <c r="G57" s="48" t="n">
        <v>134</v>
      </c>
      <c r="H57" s="48" t="n">
        <v>81</v>
      </c>
      <c r="I57" s="48" t="n">
        <v>211</v>
      </c>
      <c r="J57" s="48" t="n">
        <v>0</v>
      </c>
      <c r="K57" s="48" t="n">
        <v>85</v>
      </c>
      <c r="L57" s="48" t="n">
        <v>197</v>
      </c>
      <c r="M57" s="48" t="n">
        <v>369</v>
      </c>
      <c r="N57" s="48" t="n">
        <v>159</v>
      </c>
      <c r="O57" s="48" t="n">
        <v>41</v>
      </c>
      <c r="P57" s="48" t="n">
        <v>83</v>
      </c>
      <c r="Q57" s="48" t="n">
        <v>201</v>
      </c>
      <c r="R57" s="48" t="n">
        <v>240</v>
      </c>
      <c r="S57" s="48" t="n">
        <v>91</v>
      </c>
      <c r="T57" s="48" t="n">
        <v>41</v>
      </c>
      <c r="U57" s="48" t="n">
        <v>90</v>
      </c>
      <c r="V57" s="48" t="n">
        <v>151</v>
      </c>
      <c r="W57" s="48" t="n">
        <v>173</v>
      </c>
      <c r="X57" s="48" t="n">
        <v>174</v>
      </c>
      <c r="Y57" s="48" t="n">
        <v>79</v>
      </c>
      <c r="Z57" s="48" t="n">
        <v>63</v>
      </c>
      <c r="AA57" s="48" t="n">
        <v>69</v>
      </c>
      <c r="AB57" s="48" t="n">
        <v>69</v>
      </c>
      <c r="AC57" s="48" t="n">
        <v>337</v>
      </c>
      <c r="AD57" s="48" t="n">
        <v>63</v>
      </c>
      <c r="AE57" s="48" t="n">
        <v>103</v>
      </c>
      <c r="AF57" s="48" t="n">
        <v>374</v>
      </c>
      <c r="AG57" s="48" t="n">
        <v>104</v>
      </c>
      <c r="AH57" s="48" t="n">
        <v>346</v>
      </c>
      <c r="AI57" s="48" t="n">
        <v>79</v>
      </c>
      <c r="AJ57" s="48" t="n">
        <v>69</v>
      </c>
      <c r="AK57" s="48" t="n">
        <v>80</v>
      </c>
      <c r="AL57" s="48" t="n">
        <v>81</v>
      </c>
      <c r="AM57" s="48" t="n">
        <v>119</v>
      </c>
      <c r="AN57" s="48" t="n">
        <v>116</v>
      </c>
      <c r="AO57" s="48" t="n">
        <v>65</v>
      </c>
      <c r="AP57" s="48" t="n">
        <v>518</v>
      </c>
      <c r="AQ57" s="48" t="n">
        <v>217</v>
      </c>
      <c r="AR57" s="48" t="n">
        <v>224</v>
      </c>
      <c r="AS57" s="48" t="n">
        <v>139</v>
      </c>
      <c r="AT57" s="48" t="n">
        <v>111</v>
      </c>
      <c r="AU57" s="48" t="n">
        <v>15</v>
      </c>
      <c r="AV57" s="48" t="n">
        <v>268</v>
      </c>
      <c r="AW57" s="48" t="n">
        <v>88</v>
      </c>
      <c r="AX57" s="48" t="n">
        <v>93</v>
      </c>
      <c r="AY57" s="48" t="n">
        <v>238</v>
      </c>
      <c r="AZ57" s="48" t="n">
        <v>392</v>
      </c>
      <c r="BA57" s="48" t="n">
        <v>167</v>
      </c>
      <c r="BB57" s="48" t="n">
        <v>158</v>
      </c>
      <c r="BC57" s="48" t="n">
        <v>127</v>
      </c>
      <c r="BD57" s="48" t="n">
        <v>319</v>
      </c>
      <c r="BE57" s="48" t="n">
        <v>261</v>
      </c>
      <c r="BF57" s="48" t="n">
        <v>145</v>
      </c>
      <c r="BG57" s="49" t="n">
        <v>2.95</v>
      </c>
    </row>
    <row r="58" customFormat="false" ht="15" hidden="false" customHeight="false" outlineLevel="0" collapsed="false">
      <c r="A58" s="43" t="s">
        <v>352</v>
      </c>
      <c r="B58" s="43" t="s">
        <v>353</v>
      </c>
      <c r="C58" s="44" t="str">
        <f aca="false">IF(A58="","",IFERROR(INDEX(Assumptions!$B$41:$B$55,MATCH(TRUE(),INDEX(ISNUMBER(SEARCH(" "&amp;Assumptions!$A$41:$A$55&amp;" "," "&amp;SUBSTITUTE(SUBSTITUTE(SUBSTITUTE(SUBSTITUTE(B58,"-"," "),","," "),"/"," "),"."," ")&amp;" ")),0),0)),"Other"))</f>
        <v>Kitchen</v>
      </c>
      <c r="D58" s="45" t="n">
        <f aca="false">IF(A58="","",BG58*(1-Assumptions!$B$18))</f>
        <v>2.97</v>
      </c>
      <c r="E58" s="46" t="n">
        <f aca="false">IF(A58="","",INDEX(Assumptions!$B$23:$B$26,MOD(VALUE(LEFT(A58,5)),4)+1))</f>
        <v>8</v>
      </c>
      <c r="F58" s="47" t="n">
        <v>734</v>
      </c>
      <c r="G58" s="48" t="n">
        <v>0</v>
      </c>
      <c r="H58" s="48" t="n">
        <v>0</v>
      </c>
      <c r="I58" s="48" t="n">
        <v>0</v>
      </c>
      <c r="J58" s="48" t="n">
        <v>0</v>
      </c>
      <c r="K58" s="48" t="n">
        <v>0</v>
      </c>
      <c r="L58" s="48" t="n">
        <v>0</v>
      </c>
      <c r="M58" s="48" t="n">
        <v>0</v>
      </c>
      <c r="N58" s="48" t="n">
        <v>0</v>
      </c>
      <c r="O58" s="48" t="n">
        <v>0</v>
      </c>
      <c r="P58" s="48" t="n">
        <v>0</v>
      </c>
      <c r="Q58" s="48" t="n">
        <v>0</v>
      </c>
      <c r="R58" s="48" t="n">
        <v>0</v>
      </c>
      <c r="S58" s="48" t="n">
        <v>0</v>
      </c>
      <c r="T58" s="48" t="n">
        <v>0</v>
      </c>
      <c r="U58" s="48" t="n">
        <v>0</v>
      </c>
      <c r="V58" s="48" t="n">
        <v>0</v>
      </c>
      <c r="W58" s="48" t="n">
        <v>0</v>
      </c>
      <c r="X58" s="48" t="n">
        <v>0</v>
      </c>
      <c r="Y58" s="48" t="n">
        <v>0</v>
      </c>
      <c r="Z58" s="48" t="n">
        <v>0</v>
      </c>
      <c r="AA58" s="48" t="n">
        <v>0</v>
      </c>
      <c r="AB58" s="48" t="n">
        <v>0</v>
      </c>
      <c r="AC58" s="48" t="n">
        <v>0</v>
      </c>
      <c r="AD58" s="48" t="n">
        <v>0</v>
      </c>
      <c r="AE58" s="48" t="n">
        <v>0</v>
      </c>
      <c r="AF58" s="48" t="n">
        <v>0</v>
      </c>
      <c r="AG58" s="48" t="n">
        <v>105</v>
      </c>
      <c r="AH58" s="48" t="n">
        <v>512</v>
      </c>
      <c r="AI58" s="48" t="n">
        <v>81</v>
      </c>
      <c r="AJ58" s="48" t="n">
        <v>74</v>
      </c>
      <c r="AK58" s="48" t="n">
        <v>65</v>
      </c>
      <c r="AL58" s="48" t="n">
        <v>149</v>
      </c>
      <c r="AM58" s="48" t="n">
        <v>96</v>
      </c>
      <c r="AN58" s="48" t="n">
        <v>154</v>
      </c>
      <c r="AO58" s="48" t="n">
        <v>61</v>
      </c>
      <c r="AP58" s="48" t="n">
        <v>89</v>
      </c>
      <c r="AQ58" s="48" t="n">
        <v>426</v>
      </c>
      <c r="AR58" s="48" t="n">
        <v>54</v>
      </c>
      <c r="AS58" s="48" t="n">
        <v>64</v>
      </c>
      <c r="AT58" s="48" t="n">
        <v>97</v>
      </c>
      <c r="AU58" s="48" t="n">
        <v>65</v>
      </c>
      <c r="AV58" s="48" t="n">
        <v>1801</v>
      </c>
      <c r="AW58" s="48" t="n">
        <v>61</v>
      </c>
      <c r="AX58" s="48" t="n">
        <v>70</v>
      </c>
      <c r="AY58" s="48" t="n">
        <v>124</v>
      </c>
      <c r="AZ58" s="48" t="n">
        <v>40</v>
      </c>
      <c r="BA58" s="48" t="n">
        <v>61</v>
      </c>
      <c r="BB58" s="48" t="n">
        <v>99</v>
      </c>
      <c r="BC58" s="48" t="n">
        <v>70</v>
      </c>
      <c r="BD58" s="48" t="n">
        <v>98</v>
      </c>
      <c r="BE58" s="48" t="n">
        <v>36</v>
      </c>
      <c r="BF58" s="48" t="n">
        <v>218</v>
      </c>
      <c r="BG58" s="49" t="n">
        <v>4.95</v>
      </c>
    </row>
    <row r="59" customFormat="false" ht="15" hidden="false" customHeight="false" outlineLevel="0" collapsed="false">
      <c r="A59" s="43" t="s">
        <v>354</v>
      </c>
      <c r="B59" s="43" t="s">
        <v>355</v>
      </c>
      <c r="C59" s="44" t="str">
        <f aca="false">IF(A59="","",IFERROR(INDEX(Assumptions!$B$41:$B$55,MATCH(TRUE(),INDEX(ISNUMBER(SEARCH(" "&amp;Assumptions!$A$41:$A$55&amp;" "," "&amp;SUBSTITUTE(SUBSTITUTE(SUBSTITUTE(SUBSTITUTE(B59,"-"," "),","," "),"/"," "),"."," ")&amp;" ")),0),0)),"Other"))</f>
        <v>Other</v>
      </c>
      <c r="D59" s="45" t="n">
        <f aca="false">IF(A59="","",BG59*(1-Assumptions!$B$18))</f>
        <v>2.97</v>
      </c>
      <c r="E59" s="46" t="n">
        <f aca="false">IF(A59="","",INDEX(Assumptions!$B$23:$B$26,MOD(VALUE(LEFT(A59,5)),4)+1))</f>
        <v>6</v>
      </c>
      <c r="F59" s="47" t="n">
        <v>1096</v>
      </c>
      <c r="G59" s="48" t="n">
        <v>0</v>
      </c>
      <c r="H59" s="48" t="n">
        <v>0</v>
      </c>
      <c r="I59" s="48" t="n">
        <v>15</v>
      </c>
      <c r="J59" s="48" t="n">
        <v>0</v>
      </c>
      <c r="K59" s="48" t="n">
        <v>41</v>
      </c>
      <c r="L59" s="48" t="n">
        <v>21</v>
      </c>
      <c r="M59" s="48" t="n">
        <v>108</v>
      </c>
      <c r="N59" s="48" t="n">
        <v>47</v>
      </c>
      <c r="O59" s="48" t="n">
        <v>47</v>
      </c>
      <c r="P59" s="48" t="n">
        <v>17</v>
      </c>
      <c r="Q59" s="48" t="n">
        <v>69</v>
      </c>
      <c r="R59" s="48" t="n">
        <v>156</v>
      </c>
      <c r="S59" s="48" t="n">
        <v>47</v>
      </c>
      <c r="T59" s="48" t="n">
        <v>52</v>
      </c>
      <c r="U59" s="48" t="n">
        <v>70</v>
      </c>
      <c r="V59" s="48" t="n">
        <v>78</v>
      </c>
      <c r="W59" s="48" t="n">
        <v>49</v>
      </c>
      <c r="X59" s="48" t="n">
        <v>59</v>
      </c>
      <c r="Y59" s="48" t="n">
        <v>53</v>
      </c>
      <c r="Z59" s="48" t="n">
        <v>52</v>
      </c>
      <c r="AA59" s="48" t="n">
        <v>10</v>
      </c>
      <c r="AB59" s="48" t="n">
        <v>119</v>
      </c>
      <c r="AC59" s="48" t="n">
        <v>93</v>
      </c>
      <c r="AD59" s="48" t="n">
        <v>69</v>
      </c>
      <c r="AE59" s="48" t="n">
        <v>39</v>
      </c>
      <c r="AF59" s="48" t="n">
        <v>55</v>
      </c>
      <c r="AG59" s="48" t="n">
        <v>165</v>
      </c>
      <c r="AH59" s="48" t="n">
        <v>88</v>
      </c>
      <c r="AI59" s="48" t="n">
        <v>27</v>
      </c>
      <c r="AJ59" s="48" t="n">
        <v>12</v>
      </c>
      <c r="AK59" s="48" t="n">
        <v>37</v>
      </c>
      <c r="AL59" s="48" t="n">
        <v>53</v>
      </c>
      <c r="AM59" s="48" t="n">
        <v>70</v>
      </c>
      <c r="AN59" s="48" t="n">
        <v>35</v>
      </c>
      <c r="AO59" s="48" t="n">
        <v>36</v>
      </c>
      <c r="AP59" s="48" t="n">
        <v>40</v>
      </c>
      <c r="AQ59" s="48" t="n">
        <v>115</v>
      </c>
      <c r="AR59" s="48" t="n">
        <v>42</v>
      </c>
      <c r="AS59" s="48" t="n">
        <v>17</v>
      </c>
      <c r="AT59" s="48" t="n">
        <v>69</v>
      </c>
      <c r="AU59" s="48" t="n">
        <v>124</v>
      </c>
      <c r="AV59" s="48" t="n">
        <v>483</v>
      </c>
      <c r="AW59" s="48" t="n">
        <v>119</v>
      </c>
      <c r="AX59" s="48" t="n">
        <v>111</v>
      </c>
      <c r="AY59" s="48" t="n">
        <v>100</v>
      </c>
      <c r="AZ59" s="48" t="n">
        <v>161</v>
      </c>
      <c r="BA59" s="48" t="n">
        <v>203</v>
      </c>
      <c r="BB59" s="48" t="n">
        <v>220</v>
      </c>
      <c r="BC59" s="48" t="n">
        <v>331</v>
      </c>
      <c r="BD59" s="48" t="n">
        <v>297</v>
      </c>
      <c r="BE59" s="48" t="n">
        <v>238</v>
      </c>
      <c r="BF59" s="48" t="n">
        <v>190</v>
      </c>
      <c r="BG59" s="49" t="n">
        <v>4.95</v>
      </c>
    </row>
    <row r="60" customFormat="false" ht="15" hidden="false" customHeight="false" outlineLevel="0" collapsed="false">
      <c r="A60" s="43" t="s">
        <v>356</v>
      </c>
      <c r="B60" s="43" t="s">
        <v>357</v>
      </c>
      <c r="C60" s="44" t="str">
        <f aca="false">IF(A60="","",IFERROR(INDEX(Assumptions!$B$41:$B$55,MATCH(TRUE(),INDEX(ISNUMBER(SEARCH(" "&amp;Assumptions!$A$41:$A$55&amp;" "," "&amp;SUBSTITUTE(SUBSTITUTE(SUBSTITUTE(SUBSTITUTE(B60,"-"," "),","," "),"/"," "),"."," ")&amp;" ")),0),0)),"Other"))</f>
        <v>Lighting</v>
      </c>
      <c r="D60" s="45" t="n">
        <f aca="false">IF(A60="","",BG60*(1-Assumptions!$B$18))</f>
        <v>1.53</v>
      </c>
      <c r="E60" s="46" t="n">
        <f aca="false">IF(A60="","",INDEX(Assumptions!$B$23:$B$26,MOD(VALUE(LEFT(A60,5)),4)+1))</f>
        <v>8</v>
      </c>
      <c r="F60" s="47" t="n">
        <v>6200</v>
      </c>
      <c r="G60" s="48" t="n">
        <v>661</v>
      </c>
      <c r="H60" s="48" t="n">
        <v>801</v>
      </c>
      <c r="I60" s="48" t="n">
        <v>184</v>
      </c>
      <c r="J60" s="48" t="n">
        <v>0</v>
      </c>
      <c r="K60" s="48" t="n">
        <v>9</v>
      </c>
      <c r="L60" s="48" t="n">
        <v>13</v>
      </c>
      <c r="M60" s="48" t="n">
        <v>11</v>
      </c>
      <c r="N60" s="48" t="n">
        <v>1</v>
      </c>
      <c r="O60" s="48" t="n">
        <v>12</v>
      </c>
      <c r="P60" s="48" t="n">
        <v>11</v>
      </c>
      <c r="Q60" s="48" t="n">
        <v>5</v>
      </c>
      <c r="R60" s="48" t="n">
        <v>6</v>
      </c>
      <c r="S60" s="48" t="n">
        <v>3</v>
      </c>
      <c r="T60" s="48" t="n">
        <v>2</v>
      </c>
      <c r="U60" s="48" t="n">
        <v>5</v>
      </c>
      <c r="V60" s="48" t="n">
        <v>0</v>
      </c>
      <c r="W60" s="48" t="n">
        <v>3</v>
      </c>
      <c r="X60" s="48" t="n">
        <v>0</v>
      </c>
      <c r="Y60" s="48" t="n">
        <v>0</v>
      </c>
      <c r="Z60" s="48" t="n">
        <v>6</v>
      </c>
      <c r="AA60" s="48" t="n">
        <v>0</v>
      </c>
      <c r="AB60" s="48" t="n">
        <v>0</v>
      </c>
      <c r="AC60" s="48" t="n">
        <v>48</v>
      </c>
      <c r="AD60" s="48" t="n">
        <v>0</v>
      </c>
      <c r="AE60" s="48" t="n">
        <v>12</v>
      </c>
      <c r="AF60" s="48" t="n">
        <v>1</v>
      </c>
      <c r="AG60" s="48" t="n">
        <v>0</v>
      </c>
      <c r="AH60" s="48" t="n">
        <v>2</v>
      </c>
      <c r="AI60" s="48" t="n">
        <v>1</v>
      </c>
      <c r="AJ60" s="48" t="n">
        <v>3</v>
      </c>
      <c r="AK60" s="48" t="n">
        <v>120</v>
      </c>
      <c r="AL60" s="48" t="n">
        <v>0</v>
      </c>
      <c r="AM60" s="48" t="n">
        <v>1</v>
      </c>
      <c r="AN60" s="48" t="n">
        <v>7</v>
      </c>
      <c r="AO60" s="48" t="n">
        <v>12</v>
      </c>
      <c r="AP60" s="48" t="n">
        <v>6</v>
      </c>
      <c r="AQ60" s="48" t="n">
        <v>17</v>
      </c>
      <c r="AR60" s="48" t="n">
        <v>18</v>
      </c>
      <c r="AS60" s="48" t="n">
        <v>64</v>
      </c>
      <c r="AT60" s="48" t="n">
        <v>56</v>
      </c>
      <c r="AU60" s="48" t="n">
        <v>294</v>
      </c>
      <c r="AV60" s="48" t="n">
        <v>373</v>
      </c>
      <c r="AW60" s="48" t="n">
        <v>40</v>
      </c>
      <c r="AX60" s="48" t="n">
        <v>202</v>
      </c>
      <c r="AY60" s="48" t="n">
        <v>487</v>
      </c>
      <c r="AZ60" s="48" t="n">
        <v>526</v>
      </c>
      <c r="BA60" s="48" t="n">
        <v>695</v>
      </c>
      <c r="BB60" s="48" t="n">
        <v>319</v>
      </c>
      <c r="BC60" s="48" t="n">
        <v>596</v>
      </c>
      <c r="BD60" s="48" t="n">
        <v>735</v>
      </c>
      <c r="BE60" s="48" t="n">
        <v>1170</v>
      </c>
      <c r="BF60" s="48" t="n">
        <v>729</v>
      </c>
      <c r="BG60" s="49" t="n">
        <v>2.55</v>
      </c>
    </row>
    <row r="61" customFormat="false" ht="15" hidden="false" customHeight="false" outlineLevel="0" collapsed="false">
      <c r="A61" s="43" t="s">
        <v>358</v>
      </c>
      <c r="B61" s="43" t="s">
        <v>359</v>
      </c>
      <c r="C61" s="44" t="str">
        <f aca="false">IF(A61="","",IFERROR(INDEX(Assumptions!$B$41:$B$55,MATCH(TRUE(),INDEX(ISNUMBER(SEARCH(" "&amp;Assumptions!$A$41:$A$55&amp;" "," "&amp;SUBSTITUTE(SUBSTITUTE(SUBSTITUTE(SUBSTITUTE(B61,"-"," "),","," "),"/"," "),"."," ")&amp;" ")),0),0)),"Other"))</f>
        <v>Other</v>
      </c>
      <c r="D61" s="45" t="n">
        <f aca="false">IF(A61="","",BG61*(1-Assumptions!$B$18))</f>
        <v>3.57</v>
      </c>
      <c r="E61" s="46" t="n">
        <f aca="false">IF(A61="","",INDEX(Assumptions!$B$23:$B$26,MOD(VALUE(LEFT(A61,5)),4)+1))</f>
        <v>2</v>
      </c>
      <c r="F61" s="47" t="n">
        <v>836</v>
      </c>
      <c r="G61" s="48" t="n">
        <v>29</v>
      </c>
      <c r="H61" s="48" t="n">
        <v>20</v>
      </c>
      <c r="I61" s="48" t="n">
        <v>38</v>
      </c>
      <c r="J61" s="48" t="n">
        <v>0</v>
      </c>
      <c r="K61" s="48" t="n">
        <v>24</v>
      </c>
      <c r="L61" s="48" t="n">
        <v>55</v>
      </c>
      <c r="M61" s="48" t="n">
        <v>23</v>
      </c>
      <c r="N61" s="48" t="n">
        <v>36</v>
      </c>
      <c r="O61" s="48" t="n">
        <v>22</v>
      </c>
      <c r="P61" s="48" t="n">
        <v>200</v>
      </c>
      <c r="Q61" s="48" t="n">
        <v>39</v>
      </c>
      <c r="R61" s="48" t="n">
        <v>18</v>
      </c>
      <c r="S61" s="48" t="n">
        <v>91</v>
      </c>
      <c r="T61" s="48" t="n">
        <v>85</v>
      </c>
      <c r="U61" s="48" t="n">
        <v>191</v>
      </c>
      <c r="V61" s="48" t="n">
        <v>55</v>
      </c>
      <c r="W61" s="48" t="n">
        <v>78</v>
      </c>
      <c r="X61" s="48" t="n">
        <v>74</v>
      </c>
      <c r="Y61" s="48" t="n">
        <v>33</v>
      </c>
      <c r="Z61" s="48" t="n">
        <v>23</v>
      </c>
      <c r="AA61" s="48" t="n">
        <v>50</v>
      </c>
      <c r="AB61" s="48" t="n">
        <v>176</v>
      </c>
      <c r="AC61" s="48" t="n">
        <v>98</v>
      </c>
      <c r="AD61" s="48" t="n">
        <v>29</v>
      </c>
      <c r="AE61" s="48" t="n">
        <v>40</v>
      </c>
      <c r="AF61" s="48" t="n">
        <v>55</v>
      </c>
      <c r="AG61" s="48" t="n">
        <v>116</v>
      </c>
      <c r="AH61" s="48" t="n">
        <v>151</v>
      </c>
      <c r="AI61" s="48" t="n">
        <v>88</v>
      </c>
      <c r="AJ61" s="48" t="n">
        <v>22</v>
      </c>
      <c r="AK61" s="48" t="n">
        <v>259</v>
      </c>
      <c r="AL61" s="48" t="n">
        <v>113</v>
      </c>
      <c r="AM61" s="48" t="n">
        <v>319</v>
      </c>
      <c r="AN61" s="48" t="n">
        <v>25</v>
      </c>
      <c r="AO61" s="48" t="n">
        <v>105</v>
      </c>
      <c r="AP61" s="48" t="n">
        <v>37</v>
      </c>
      <c r="AQ61" s="48" t="n">
        <v>138</v>
      </c>
      <c r="AR61" s="48" t="n">
        <v>155</v>
      </c>
      <c r="AS61" s="48" t="n">
        <v>26</v>
      </c>
      <c r="AT61" s="48" t="n">
        <v>131</v>
      </c>
      <c r="AU61" s="48" t="n">
        <v>117</v>
      </c>
      <c r="AV61" s="48" t="n">
        <v>67</v>
      </c>
      <c r="AW61" s="48" t="n">
        <v>52</v>
      </c>
      <c r="AX61" s="48" t="n">
        <v>55</v>
      </c>
      <c r="AY61" s="48" t="n">
        <v>32</v>
      </c>
      <c r="AZ61" s="48" t="n">
        <v>61</v>
      </c>
      <c r="BA61" s="48" t="n">
        <v>107</v>
      </c>
      <c r="BB61" s="48" t="n">
        <v>10</v>
      </c>
      <c r="BC61" s="48" t="n">
        <v>38</v>
      </c>
      <c r="BD61" s="48" t="n">
        <v>100</v>
      </c>
      <c r="BE61" s="48" t="n">
        <v>8</v>
      </c>
      <c r="BF61" s="48" t="n">
        <v>36</v>
      </c>
      <c r="BG61" s="49" t="n">
        <v>5.95</v>
      </c>
    </row>
    <row r="62" customFormat="false" ht="15" hidden="false" customHeight="false" outlineLevel="0" collapsed="false">
      <c r="A62" s="43" t="s">
        <v>360</v>
      </c>
      <c r="B62" s="43" t="s">
        <v>361</v>
      </c>
      <c r="C62" s="44" t="str">
        <f aca="false">IF(A62="","",IFERROR(INDEX(Assumptions!$B$41:$B$55,MATCH(TRUE(),INDEX(ISNUMBER(SEARCH(" "&amp;Assumptions!$A$41:$A$55&amp;" "," "&amp;SUBSTITUTE(SUBSTITUTE(SUBSTITUTE(SUBSTITUTE(B62,"-"," "),","," "),"/"," "),"."," ")&amp;" ")),0),0)),"Other"))</f>
        <v>Bags</v>
      </c>
      <c r="D62" s="45" t="n">
        <f aca="false">IF(A62="","",BG62*(1-Assumptions!$B$18))</f>
        <v>1.248</v>
      </c>
      <c r="E62" s="46" t="n">
        <f aca="false">IF(A62="","",INDEX(Assumptions!$B$23:$B$26,MOD(VALUE(LEFT(A62,5)),4)+1))</f>
        <v>4</v>
      </c>
      <c r="F62" s="47" t="n">
        <v>2467</v>
      </c>
      <c r="G62" s="48" t="n">
        <v>207</v>
      </c>
      <c r="H62" s="48" t="n">
        <v>183</v>
      </c>
      <c r="I62" s="48" t="n">
        <v>13</v>
      </c>
      <c r="J62" s="48" t="n">
        <v>0</v>
      </c>
      <c r="K62" s="48" t="n">
        <v>410</v>
      </c>
      <c r="L62" s="48" t="n">
        <v>82</v>
      </c>
      <c r="M62" s="48" t="n">
        <v>151</v>
      </c>
      <c r="N62" s="48" t="n">
        <v>201</v>
      </c>
      <c r="O62" s="48" t="n">
        <v>235</v>
      </c>
      <c r="P62" s="48" t="n">
        <v>89</v>
      </c>
      <c r="Q62" s="48" t="n">
        <v>240</v>
      </c>
      <c r="R62" s="48" t="n">
        <v>116</v>
      </c>
      <c r="S62" s="48" t="n">
        <v>206</v>
      </c>
      <c r="T62" s="48" t="n">
        <v>382</v>
      </c>
      <c r="U62" s="48" t="n">
        <v>498</v>
      </c>
      <c r="V62" s="48" t="n">
        <v>430</v>
      </c>
      <c r="W62" s="48" t="n">
        <v>473</v>
      </c>
      <c r="X62" s="48" t="n">
        <v>224</v>
      </c>
      <c r="Y62" s="48" t="n">
        <v>125</v>
      </c>
      <c r="Z62" s="48" t="n">
        <v>43</v>
      </c>
      <c r="AA62" s="48" t="n">
        <v>108</v>
      </c>
      <c r="AB62" s="48" t="n">
        <v>124</v>
      </c>
      <c r="AC62" s="48" t="n">
        <v>255</v>
      </c>
      <c r="AD62" s="48" t="n">
        <v>280</v>
      </c>
      <c r="AE62" s="48" t="n">
        <v>332</v>
      </c>
      <c r="AF62" s="48" t="n">
        <v>204</v>
      </c>
      <c r="AG62" s="48" t="n">
        <v>230</v>
      </c>
      <c r="AH62" s="48" t="n">
        <v>324</v>
      </c>
      <c r="AI62" s="48" t="n">
        <v>175</v>
      </c>
      <c r="AJ62" s="48" t="n">
        <v>58</v>
      </c>
      <c r="AK62" s="48" t="n">
        <v>132</v>
      </c>
      <c r="AL62" s="48" t="n">
        <v>53</v>
      </c>
      <c r="AM62" s="48" t="n">
        <v>443</v>
      </c>
      <c r="AN62" s="48" t="n">
        <v>295</v>
      </c>
      <c r="AO62" s="48" t="n">
        <v>403</v>
      </c>
      <c r="AP62" s="48" t="n">
        <v>110</v>
      </c>
      <c r="AQ62" s="48" t="n">
        <v>344</v>
      </c>
      <c r="AR62" s="48" t="n">
        <v>91</v>
      </c>
      <c r="AS62" s="48" t="n">
        <v>217</v>
      </c>
      <c r="AT62" s="48" t="n">
        <v>144</v>
      </c>
      <c r="AU62" s="48" t="n">
        <v>78</v>
      </c>
      <c r="AV62" s="48" t="n">
        <v>379</v>
      </c>
      <c r="AW62" s="48" t="n">
        <v>122</v>
      </c>
      <c r="AX62" s="48" t="n">
        <v>491</v>
      </c>
      <c r="AY62" s="48" t="n">
        <v>81</v>
      </c>
      <c r="AZ62" s="48" t="n">
        <v>84</v>
      </c>
      <c r="BA62" s="48" t="n">
        <v>67</v>
      </c>
      <c r="BB62" s="48" t="n">
        <v>79</v>
      </c>
      <c r="BC62" s="48" t="n">
        <v>417</v>
      </c>
      <c r="BD62" s="48" t="n">
        <v>102</v>
      </c>
      <c r="BE62" s="48" t="n">
        <v>53</v>
      </c>
      <c r="BF62" s="48" t="n">
        <v>108</v>
      </c>
      <c r="BG62" s="49" t="n">
        <v>2.08</v>
      </c>
    </row>
    <row r="63" customFormat="false" ht="15" hidden="false" customHeight="false" outlineLevel="0" collapsed="false">
      <c r="A63" s="43" t="s">
        <v>362</v>
      </c>
      <c r="B63" s="43" t="s">
        <v>363</v>
      </c>
      <c r="C63" s="44" t="str">
        <f aca="false">IF(A63="","",IFERROR(INDEX(Assumptions!$B$41:$B$55,MATCH(TRUE(),INDEX(ISNUMBER(SEARCH(" "&amp;Assumptions!$A$41:$A$55&amp;" "," "&amp;SUBSTITUTE(SUBSTITUTE(SUBSTITUTE(SUBSTITUTE(B63,"-"," "),","," "),"/"," "),"."," ")&amp;" ")),0),0)),"Other"))</f>
        <v>Other</v>
      </c>
      <c r="D63" s="45" t="n">
        <f aca="false">IF(A63="","",BG63*(1-Assumptions!$B$18))</f>
        <v>1.53</v>
      </c>
      <c r="E63" s="46" t="n">
        <f aca="false">IF(A63="","",INDEX(Assumptions!$B$23:$B$26,MOD(VALUE(LEFT(A63,5)),4)+1))</f>
        <v>6</v>
      </c>
      <c r="F63" s="47" t="n">
        <v>5748</v>
      </c>
      <c r="G63" s="48" t="n">
        <v>118</v>
      </c>
      <c r="H63" s="48" t="n">
        <v>262</v>
      </c>
      <c r="I63" s="48" t="n">
        <v>19</v>
      </c>
      <c r="J63" s="48" t="n">
        <v>0</v>
      </c>
      <c r="K63" s="48" t="n">
        <v>101</v>
      </c>
      <c r="L63" s="48" t="n">
        <v>100</v>
      </c>
      <c r="M63" s="48" t="n">
        <v>64</v>
      </c>
      <c r="N63" s="48" t="n">
        <v>116</v>
      </c>
      <c r="O63" s="48" t="n">
        <v>179</v>
      </c>
      <c r="P63" s="48" t="n">
        <v>93</v>
      </c>
      <c r="Q63" s="48" t="n">
        <v>128</v>
      </c>
      <c r="R63" s="48" t="n">
        <v>69</v>
      </c>
      <c r="S63" s="48" t="n">
        <v>86</v>
      </c>
      <c r="T63" s="48" t="n">
        <v>101</v>
      </c>
      <c r="U63" s="48" t="n">
        <v>249</v>
      </c>
      <c r="V63" s="48" t="n">
        <v>175</v>
      </c>
      <c r="W63" s="48" t="n">
        <v>198</v>
      </c>
      <c r="X63" s="48" t="n">
        <v>113</v>
      </c>
      <c r="Y63" s="48" t="n">
        <v>221</v>
      </c>
      <c r="Z63" s="48" t="n">
        <v>64</v>
      </c>
      <c r="AA63" s="48" t="n">
        <v>55</v>
      </c>
      <c r="AB63" s="48" t="n">
        <v>135</v>
      </c>
      <c r="AC63" s="48" t="n">
        <v>267</v>
      </c>
      <c r="AD63" s="48" t="n">
        <v>291</v>
      </c>
      <c r="AE63" s="48" t="n">
        <v>214</v>
      </c>
      <c r="AF63" s="48" t="n">
        <v>211</v>
      </c>
      <c r="AG63" s="48" t="n">
        <v>163</v>
      </c>
      <c r="AH63" s="48" t="n">
        <v>99</v>
      </c>
      <c r="AI63" s="48" t="n">
        <v>70</v>
      </c>
      <c r="AJ63" s="48" t="n">
        <v>178</v>
      </c>
      <c r="AK63" s="48" t="n">
        <v>67</v>
      </c>
      <c r="AL63" s="48" t="n">
        <v>143</v>
      </c>
      <c r="AM63" s="48" t="n">
        <v>370</v>
      </c>
      <c r="AN63" s="48" t="n">
        <v>306</v>
      </c>
      <c r="AO63" s="48" t="n">
        <v>234</v>
      </c>
      <c r="AP63" s="48" t="n">
        <v>187</v>
      </c>
      <c r="AQ63" s="48" t="n">
        <v>86</v>
      </c>
      <c r="AR63" s="48" t="n">
        <v>274</v>
      </c>
      <c r="AS63" s="48" t="n">
        <v>390</v>
      </c>
      <c r="AT63" s="48" t="n">
        <v>110</v>
      </c>
      <c r="AU63" s="48" t="n">
        <v>188</v>
      </c>
      <c r="AV63" s="48" t="n">
        <v>208</v>
      </c>
      <c r="AW63" s="48" t="n">
        <v>143</v>
      </c>
      <c r="AX63" s="48" t="n">
        <v>154</v>
      </c>
      <c r="AY63" s="48" t="n">
        <v>130</v>
      </c>
      <c r="AZ63" s="48" t="n">
        <v>292</v>
      </c>
      <c r="BA63" s="48" t="n">
        <v>129</v>
      </c>
      <c r="BB63" s="48" t="n">
        <v>512</v>
      </c>
      <c r="BC63" s="48" t="n">
        <v>190</v>
      </c>
      <c r="BD63" s="48" t="n">
        <v>181</v>
      </c>
      <c r="BE63" s="48" t="n">
        <v>142</v>
      </c>
      <c r="BF63" s="48" t="n">
        <v>216</v>
      </c>
      <c r="BG63" s="49" t="n">
        <v>2.55</v>
      </c>
    </row>
    <row r="64" customFormat="false" ht="15" hidden="false" customHeight="false" outlineLevel="0" collapsed="false">
      <c r="A64" s="43" t="s">
        <v>364</v>
      </c>
      <c r="B64" s="43" t="s">
        <v>365</v>
      </c>
      <c r="C64" s="44" t="str">
        <f aca="false">IF(A64="","",IFERROR(INDEX(Assumptions!$B$41:$B$55,MATCH(TRUE(),INDEX(ISNUMBER(SEARCH(" "&amp;Assumptions!$A$41:$A$55&amp;" "," "&amp;SUBSTITUTE(SUBSTITUTE(SUBSTITUTE(SUBSTITUTE(B64,"-"," "),","," "),"/"," "),"."," ")&amp;" ")),0),0)),"Other"))</f>
        <v>Lighting</v>
      </c>
      <c r="D64" s="45" t="n">
        <f aca="false">IF(A64="","",BG64*(1-Assumptions!$B$18))</f>
        <v>0.99</v>
      </c>
      <c r="E64" s="46" t="n">
        <f aca="false">IF(A64="","",INDEX(Assumptions!$B$23:$B$26,MOD(VALUE(LEFT(A64,5)),4)+1))</f>
        <v>8</v>
      </c>
      <c r="F64" s="47" t="n">
        <v>756</v>
      </c>
      <c r="G64" s="48" t="n">
        <v>251</v>
      </c>
      <c r="H64" s="48" t="n">
        <v>645</v>
      </c>
      <c r="I64" s="48" t="n">
        <v>333</v>
      </c>
      <c r="J64" s="48" t="n">
        <v>0</v>
      </c>
      <c r="K64" s="48" t="n">
        <v>137</v>
      </c>
      <c r="L64" s="48" t="n">
        <v>377</v>
      </c>
      <c r="M64" s="48" t="n">
        <v>123</v>
      </c>
      <c r="N64" s="48" t="n">
        <v>130</v>
      </c>
      <c r="O64" s="48" t="n">
        <v>106</v>
      </c>
      <c r="P64" s="48" t="n">
        <v>70</v>
      </c>
      <c r="Q64" s="48" t="n">
        <v>443</v>
      </c>
      <c r="R64" s="48" t="n">
        <v>391</v>
      </c>
      <c r="S64" s="48" t="n">
        <v>85</v>
      </c>
      <c r="T64" s="48" t="n">
        <v>173</v>
      </c>
      <c r="U64" s="48" t="n">
        <v>122</v>
      </c>
      <c r="V64" s="48" t="n">
        <v>106</v>
      </c>
      <c r="W64" s="48" t="n">
        <v>71</v>
      </c>
      <c r="X64" s="48" t="n">
        <v>140</v>
      </c>
      <c r="Y64" s="48" t="n">
        <v>240</v>
      </c>
      <c r="Z64" s="48" t="n">
        <v>24</v>
      </c>
      <c r="AA64" s="48" t="n">
        <v>65</v>
      </c>
      <c r="AB64" s="48" t="n">
        <v>46</v>
      </c>
      <c r="AC64" s="48" t="n">
        <v>186</v>
      </c>
      <c r="AD64" s="48" t="n">
        <v>548</v>
      </c>
      <c r="AE64" s="48" t="n">
        <v>332</v>
      </c>
      <c r="AF64" s="48" t="n">
        <v>165</v>
      </c>
      <c r="AG64" s="48" t="n">
        <v>96</v>
      </c>
      <c r="AH64" s="48" t="n">
        <v>203</v>
      </c>
      <c r="AI64" s="48" t="n">
        <v>80</v>
      </c>
      <c r="AJ64" s="48" t="n">
        <v>183</v>
      </c>
      <c r="AK64" s="48" t="n">
        <v>155</v>
      </c>
      <c r="AL64" s="48" t="n">
        <v>48</v>
      </c>
      <c r="AM64" s="48" t="n">
        <v>144</v>
      </c>
      <c r="AN64" s="48" t="n">
        <v>174</v>
      </c>
      <c r="AO64" s="48" t="n">
        <v>668</v>
      </c>
      <c r="AP64" s="48" t="n">
        <v>960</v>
      </c>
      <c r="AQ64" s="48" t="n">
        <v>535</v>
      </c>
      <c r="AR64" s="48" t="n">
        <v>121</v>
      </c>
      <c r="AS64" s="48" t="n">
        <v>108</v>
      </c>
      <c r="AT64" s="48" t="n">
        <v>303</v>
      </c>
      <c r="AU64" s="48" t="n">
        <v>170</v>
      </c>
      <c r="AV64" s="48" t="n">
        <v>555</v>
      </c>
      <c r="AW64" s="48" t="n">
        <v>273</v>
      </c>
      <c r="AX64" s="48" t="n">
        <v>123</v>
      </c>
      <c r="AY64" s="48" t="n">
        <v>196</v>
      </c>
      <c r="AZ64" s="48" t="n">
        <v>429</v>
      </c>
      <c r="BA64" s="48" t="n">
        <v>146</v>
      </c>
      <c r="BB64" s="48" t="n">
        <v>222</v>
      </c>
      <c r="BC64" s="48" t="n">
        <v>425</v>
      </c>
      <c r="BD64" s="48" t="n">
        <v>836</v>
      </c>
      <c r="BE64" s="48" t="n">
        <v>285</v>
      </c>
      <c r="BF64" s="48" t="n">
        <v>359</v>
      </c>
      <c r="BG64" s="49" t="n">
        <v>1.65</v>
      </c>
    </row>
    <row r="65" customFormat="false" ht="15" hidden="false" customHeight="false" outlineLevel="0" collapsed="false">
      <c r="A65" s="43" t="s">
        <v>366</v>
      </c>
      <c r="B65" s="43" t="s">
        <v>367</v>
      </c>
      <c r="C65" s="44" t="str">
        <f aca="false">IF(A65="","",IFERROR(INDEX(Assumptions!$B$41:$B$55,MATCH(TRUE(),INDEX(ISNUMBER(SEARCH(" "&amp;Assumptions!$A$41:$A$55&amp;" "," "&amp;SUBSTITUTE(SUBSTITUTE(SUBSTITUTE(SUBSTITUTE(B65,"-"," "),","," "),"/"," "),"."," ")&amp;" ")),0),0)),"Other"))</f>
        <v>Bags</v>
      </c>
      <c r="D65" s="45" t="n">
        <f aca="false">IF(A65="","",BG65*(1-Assumptions!$B$18))</f>
        <v>1.248</v>
      </c>
      <c r="E65" s="46" t="n">
        <f aca="false">IF(A65="","",INDEX(Assumptions!$B$23:$B$26,MOD(VALUE(LEFT(A65,5)),4)+1))</f>
        <v>4</v>
      </c>
      <c r="F65" s="47" t="n">
        <v>1929</v>
      </c>
      <c r="G65" s="48" t="n">
        <v>292</v>
      </c>
      <c r="H65" s="48" t="n">
        <v>107</v>
      </c>
      <c r="I65" s="48" t="n">
        <v>27</v>
      </c>
      <c r="J65" s="48" t="n">
        <v>0</v>
      </c>
      <c r="K65" s="48" t="n">
        <v>349</v>
      </c>
      <c r="L65" s="48" t="n">
        <v>46</v>
      </c>
      <c r="M65" s="48" t="n">
        <v>194</v>
      </c>
      <c r="N65" s="48" t="n">
        <v>119</v>
      </c>
      <c r="O65" s="48" t="n">
        <v>116</v>
      </c>
      <c r="P65" s="48" t="n">
        <v>159</v>
      </c>
      <c r="Q65" s="48" t="n">
        <v>288</v>
      </c>
      <c r="R65" s="48" t="n">
        <v>273</v>
      </c>
      <c r="S65" s="48" t="n">
        <v>71</v>
      </c>
      <c r="T65" s="48" t="n">
        <v>282</v>
      </c>
      <c r="U65" s="48" t="n">
        <v>844</v>
      </c>
      <c r="V65" s="48" t="n">
        <v>223</v>
      </c>
      <c r="W65" s="48" t="n">
        <v>158</v>
      </c>
      <c r="X65" s="48" t="n">
        <v>0</v>
      </c>
      <c r="Y65" s="48" t="n">
        <v>0</v>
      </c>
      <c r="Z65" s="48" t="n">
        <v>0</v>
      </c>
      <c r="AA65" s="48" t="n">
        <v>0</v>
      </c>
      <c r="AB65" s="48" t="n">
        <v>0</v>
      </c>
      <c r="AC65" s="48" t="n">
        <v>0</v>
      </c>
      <c r="AD65" s="48" t="n">
        <v>0</v>
      </c>
      <c r="AE65" s="48" t="n">
        <v>0</v>
      </c>
      <c r="AF65" s="48" t="n">
        <v>0</v>
      </c>
      <c r="AG65" s="48" t="n">
        <v>24</v>
      </c>
      <c r="AH65" s="48" t="n">
        <v>135</v>
      </c>
      <c r="AI65" s="48" t="n">
        <v>271</v>
      </c>
      <c r="AJ65" s="48" t="n">
        <v>492</v>
      </c>
      <c r="AK65" s="48" t="n">
        <v>589</v>
      </c>
      <c r="AL65" s="48" t="n">
        <v>53</v>
      </c>
      <c r="AM65" s="48" t="n">
        <v>250</v>
      </c>
      <c r="AN65" s="48" t="n">
        <v>190</v>
      </c>
      <c r="AO65" s="48" t="n">
        <v>129</v>
      </c>
      <c r="AP65" s="48" t="n">
        <v>348</v>
      </c>
      <c r="AQ65" s="48" t="n">
        <v>249</v>
      </c>
      <c r="AR65" s="48" t="n">
        <v>858</v>
      </c>
      <c r="AS65" s="48" t="n">
        <v>170</v>
      </c>
      <c r="AT65" s="48" t="n">
        <v>289</v>
      </c>
      <c r="AU65" s="48" t="n">
        <v>602</v>
      </c>
      <c r="AV65" s="48" t="n">
        <v>762</v>
      </c>
      <c r="AW65" s="48" t="n">
        <v>218</v>
      </c>
      <c r="AX65" s="48" t="n">
        <v>506</v>
      </c>
      <c r="AY65" s="48" t="n">
        <v>232</v>
      </c>
      <c r="AZ65" s="48" t="n">
        <v>0</v>
      </c>
      <c r="BA65" s="48" t="n">
        <v>238</v>
      </c>
      <c r="BB65" s="48" t="n">
        <v>84</v>
      </c>
      <c r="BC65" s="48" t="n">
        <v>287</v>
      </c>
      <c r="BD65" s="48" t="n">
        <v>146</v>
      </c>
      <c r="BE65" s="48" t="n">
        <v>50</v>
      </c>
      <c r="BF65" s="48" t="n">
        <v>427</v>
      </c>
      <c r="BG65" s="49" t="n">
        <v>2.08</v>
      </c>
    </row>
    <row r="66" customFormat="false" ht="15" hidden="false" customHeight="false" outlineLevel="0" collapsed="false">
      <c r="A66" s="43" t="s">
        <v>368</v>
      </c>
      <c r="B66" s="43" t="s">
        <v>369</v>
      </c>
      <c r="C66" s="44" t="str">
        <f aca="false">IF(A66="","",IFERROR(INDEX(Assumptions!$B$41:$B$55,MATCH(TRUE(),INDEX(ISNUMBER(SEARCH(" "&amp;Assumptions!$A$41:$A$55&amp;" "," "&amp;SUBSTITUTE(SUBSTITUTE(SUBSTITUTE(SUBSTITUTE(B66,"-"," "),","," "),"/"," "),"."," ")&amp;" ")),0),0)),"Other"))</f>
        <v>Other</v>
      </c>
      <c r="D66" s="45" t="n">
        <f aca="false">IF(A66="","",BG66*(1-Assumptions!$B$18))</f>
        <v>1.77</v>
      </c>
      <c r="E66" s="46" t="n">
        <f aca="false">IF(A66="","",INDEX(Assumptions!$B$23:$B$26,MOD(VALUE(LEFT(A66,5)),4)+1))</f>
        <v>6</v>
      </c>
      <c r="F66" s="47" t="n">
        <v>4281</v>
      </c>
      <c r="G66" s="48" t="n">
        <v>20</v>
      </c>
      <c r="H66" s="48" t="n">
        <v>11</v>
      </c>
      <c r="I66" s="48" t="n">
        <v>28</v>
      </c>
      <c r="J66" s="48" t="n">
        <v>0</v>
      </c>
      <c r="K66" s="48" t="n">
        <v>43</v>
      </c>
      <c r="L66" s="48" t="n">
        <v>194</v>
      </c>
      <c r="M66" s="48" t="n">
        <v>114</v>
      </c>
      <c r="N66" s="48" t="n">
        <v>118</v>
      </c>
      <c r="O66" s="48" t="n">
        <v>88</v>
      </c>
      <c r="P66" s="48" t="n">
        <v>115</v>
      </c>
      <c r="Q66" s="48" t="n">
        <v>118</v>
      </c>
      <c r="R66" s="48" t="n">
        <v>89</v>
      </c>
      <c r="S66" s="48" t="n">
        <v>166</v>
      </c>
      <c r="T66" s="48" t="n">
        <v>76</v>
      </c>
      <c r="U66" s="48" t="n">
        <v>170</v>
      </c>
      <c r="V66" s="48" t="n">
        <v>81</v>
      </c>
      <c r="W66" s="48" t="n">
        <v>204</v>
      </c>
      <c r="X66" s="48" t="n">
        <v>214</v>
      </c>
      <c r="Y66" s="48" t="n">
        <v>188</v>
      </c>
      <c r="Z66" s="48" t="n">
        <v>261</v>
      </c>
      <c r="AA66" s="48" t="n">
        <v>114</v>
      </c>
      <c r="AB66" s="48" t="n">
        <v>434</v>
      </c>
      <c r="AC66" s="48" t="n">
        <v>252</v>
      </c>
      <c r="AD66" s="48" t="n">
        <v>408</v>
      </c>
      <c r="AE66" s="48" t="n">
        <v>386</v>
      </c>
      <c r="AF66" s="48" t="n">
        <v>195</v>
      </c>
      <c r="AG66" s="48" t="n">
        <v>329</v>
      </c>
      <c r="AH66" s="48" t="n">
        <v>139</v>
      </c>
      <c r="AI66" s="48" t="n">
        <v>313</v>
      </c>
      <c r="AJ66" s="48" t="n">
        <v>103</v>
      </c>
      <c r="AK66" s="48" t="n">
        <v>220</v>
      </c>
      <c r="AL66" s="48" t="n">
        <v>267</v>
      </c>
      <c r="AM66" s="48" t="n">
        <v>108</v>
      </c>
      <c r="AN66" s="48" t="n">
        <v>194</v>
      </c>
      <c r="AO66" s="48" t="n">
        <v>150</v>
      </c>
      <c r="AP66" s="48" t="n">
        <v>154</v>
      </c>
      <c r="AQ66" s="48" t="n">
        <v>121</v>
      </c>
      <c r="AR66" s="48" t="n">
        <v>209</v>
      </c>
      <c r="AS66" s="48" t="n">
        <v>85</v>
      </c>
      <c r="AT66" s="48" t="n">
        <v>48</v>
      </c>
      <c r="AU66" s="48" t="n">
        <v>102</v>
      </c>
      <c r="AV66" s="48" t="n">
        <v>91</v>
      </c>
      <c r="AW66" s="48" t="n">
        <v>90</v>
      </c>
      <c r="AX66" s="48" t="n">
        <v>85</v>
      </c>
      <c r="AY66" s="48" t="n">
        <v>67</v>
      </c>
      <c r="AZ66" s="48" t="n">
        <v>32</v>
      </c>
      <c r="BA66" s="48" t="n">
        <v>39</v>
      </c>
      <c r="BB66" s="48" t="n">
        <v>79</v>
      </c>
      <c r="BC66" s="48" t="n">
        <v>96</v>
      </c>
      <c r="BD66" s="48" t="n">
        <v>83</v>
      </c>
      <c r="BE66" s="48" t="n">
        <v>69</v>
      </c>
      <c r="BF66" s="48" t="n">
        <v>60</v>
      </c>
      <c r="BG66" s="49" t="n">
        <v>2.95</v>
      </c>
    </row>
    <row r="67" customFormat="false" ht="15" hidden="false" customHeight="false" outlineLevel="0" collapsed="false">
      <c r="A67" s="43" t="s">
        <v>370</v>
      </c>
      <c r="B67" s="43" t="s">
        <v>371</v>
      </c>
      <c r="C67" s="44" t="str">
        <f aca="false">IF(A67="","",IFERROR(INDEX(Assumptions!$B$41:$B$55,MATCH(TRUE(),INDEX(ISNUMBER(SEARCH(" "&amp;Assumptions!$A$41:$A$55&amp;" "," "&amp;SUBSTITUTE(SUBSTITUTE(SUBSTITUTE(SUBSTITUTE(B67,"-"," "),","," "),"/"," "),"."," ")&amp;" ")),0),0)),"Other"))</f>
        <v>Other</v>
      </c>
      <c r="D67" s="45" t="n">
        <f aca="false">IF(A67="","",BG67*(1-Assumptions!$B$18))</f>
        <v>5.97</v>
      </c>
      <c r="E67" s="46" t="n">
        <f aca="false">IF(A67="","",INDEX(Assumptions!$B$23:$B$26,MOD(VALUE(LEFT(A67,5)),4)+1))</f>
        <v>8</v>
      </c>
      <c r="F67" s="47" t="n">
        <v>184</v>
      </c>
      <c r="G67" s="48" t="n">
        <v>1018</v>
      </c>
      <c r="H67" s="48" t="n">
        <v>26</v>
      </c>
      <c r="I67" s="48" t="n">
        <v>2</v>
      </c>
      <c r="J67" s="48" t="n">
        <v>0</v>
      </c>
      <c r="K67" s="48" t="n">
        <v>5</v>
      </c>
      <c r="L67" s="48" t="n">
        <v>6</v>
      </c>
      <c r="M67" s="48" t="n">
        <v>3</v>
      </c>
      <c r="N67" s="48" t="n">
        <v>10</v>
      </c>
      <c r="O67" s="48" t="n">
        <v>1</v>
      </c>
      <c r="P67" s="48" t="n">
        <v>1015</v>
      </c>
      <c r="Q67" s="48" t="n">
        <v>23</v>
      </c>
      <c r="R67" s="48" t="n">
        <v>8</v>
      </c>
      <c r="S67" s="48" t="n">
        <v>16</v>
      </c>
      <c r="T67" s="48" t="n">
        <v>9</v>
      </c>
      <c r="U67" s="48" t="n">
        <v>41</v>
      </c>
      <c r="V67" s="48" t="n">
        <v>308</v>
      </c>
      <c r="W67" s="48" t="n">
        <v>10</v>
      </c>
      <c r="X67" s="48" t="n">
        <v>7</v>
      </c>
      <c r="Y67" s="48" t="n">
        <v>38</v>
      </c>
      <c r="Z67" s="48" t="n">
        <v>6</v>
      </c>
      <c r="AA67" s="48" t="n">
        <v>4</v>
      </c>
      <c r="AB67" s="48" t="n">
        <v>9</v>
      </c>
      <c r="AC67" s="48" t="n">
        <v>4</v>
      </c>
      <c r="AD67" s="48" t="n">
        <v>81</v>
      </c>
      <c r="AE67" s="48" t="n">
        <v>5</v>
      </c>
      <c r="AF67" s="48" t="n">
        <v>3</v>
      </c>
      <c r="AG67" s="48" t="n">
        <v>8</v>
      </c>
      <c r="AH67" s="48" t="n">
        <v>208</v>
      </c>
      <c r="AI67" s="48" t="n">
        <v>2</v>
      </c>
      <c r="AJ67" s="48" t="n">
        <v>3</v>
      </c>
      <c r="AK67" s="48" t="n">
        <v>9</v>
      </c>
      <c r="AL67" s="48" t="n">
        <v>5</v>
      </c>
      <c r="AM67" s="48" t="n">
        <v>14</v>
      </c>
      <c r="AN67" s="48" t="n">
        <v>4</v>
      </c>
      <c r="AO67" s="48" t="n">
        <v>5</v>
      </c>
      <c r="AP67" s="48" t="n">
        <v>2</v>
      </c>
      <c r="AQ67" s="48" t="n">
        <v>1</v>
      </c>
      <c r="AR67" s="48" t="n">
        <v>6</v>
      </c>
      <c r="AS67" s="48" t="n">
        <v>4</v>
      </c>
      <c r="AT67" s="48" t="n">
        <v>3</v>
      </c>
      <c r="AU67" s="48" t="n">
        <v>6</v>
      </c>
      <c r="AV67" s="48" t="n">
        <v>4</v>
      </c>
      <c r="AW67" s="48" t="n">
        <v>54</v>
      </c>
      <c r="AX67" s="48" t="n">
        <v>2</v>
      </c>
      <c r="AY67" s="48" t="n">
        <v>5</v>
      </c>
      <c r="AZ67" s="48" t="n">
        <v>2</v>
      </c>
      <c r="BA67" s="48" t="n">
        <v>9</v>
      </c>
      <c r="BB67" s="48" t="n">
        <v>97</v>
      </c>
      <c r="BC67" s="48" t="n">
        <v>60</v>
      </c>
      <c r="BD67" s="48" t="n">
        <v>5</v>
      </c>
      <c r="BE67" s="48" t="n">
        <v>10</v>
      </c>
      <c r="BF67" s="48" t="n">
        <v>7</v>
      </c>
      <c r="BG67" s="49" t="n">
        <v>9.95</v>
      </c>
    </row>
    <row r="68" customFormat="false" ht="15" hidden="false" customHeight="false" outlineLevel="0" collapsed="false">
      <c r="A68" s="43" t="s">
        <v>372</v>
      </c>
      <c r="B68" s="43" t="s">
        <v>373</v>
      </c>
      <c r="C68" s="44" t="str">
        <f aca="false">IF(A68="","",IFERROR(INDEX(Assumptions!$B$41:$B$55,MATCH(TRUE(),INDEX(ISNUMBER(SEARCH(" "&amp;Assumptions!$A$41:$A$55&amp;" "," "&amp;SUBSTITUTE(SUBSTITUTE(SUBSTITUTE(SUBSTITUTE(B68,"-"," "),","," "),"/"," "),"."," ")&amp;" ")),0),0)),"Other"))</f>
        <v>Bags</v>
      </c>
      <c r="D68" s="45" t="n">
        <f aca="false">IF(A68="","",BG68*(1-Assumptions!$B$18))</f>
        <v>1.248</v>
      </c>
      <c r="E68" s="46" t="n">
        <f aca="false">IF(A68="","",INDEX(Assumptions!$B$23:$B$26,MOD(VALUE(LEFT(A68,5)),4)+1))</f>
        <v>2</v>
      </c>
      <c r="F68" s="47" t="n">
        <v>5141</v>
      </c>
      <c r="G68" s="48" t="n">
        <v>0</v>
      </c>
      <c r="H68" s="48" t="n">
        <v>0</v>
      </c>
      <c r="I68" s="48" t="n">
        <v>0</v>
      </c>
      <c r="J68" s="48" t="n">
        <v>0</v>
      </c>
      <c r="K68" s="48" t="n">
        <v>0</v>
      </c>
      <c r="L68" s="48" t="n">
        <v>0</v>
      </c>
      <c r="M68" s="48" t="n">
        <v>0</v>
      </c>
      <c r="N68" s="48" t="n">
        <v>0</v>
      </c>
      <c r="O68" s="48" t="n">
        <v>0</v>
      </c>
      <c r="P68" s="48" t="n">
        <v>0</v>
      </c>
      <c r="Q68" s="48" t="n">
        <v>0</v>
      </c>
      <c r="R68" s="48" t="n">
        <v>0</v>
      </c>
      <c r="S68" s="48" t="n">
        <v>0</v>
      </c>
      <c r="T68" s="48" t="n">
        <v>0</v>
      </c>
      <c r="U68" s="48" t="n">
        <v>0</v>
      </c>
      <c r="V68" s="48" t="n">
        <v>0</v>
      </c>
      <c r="W68" s="48" t="n">
        <v>0</v>
      </c>
      <c r="X68" s="48" t="n">
        <v>0</v>
      </c>
      <c r="Y68" s="48" t="n">
        <v>0</v>
      </c>
      <c r="Z68" s="48" t="n">
        <v>0</v>
      </c>
      <c r="AA68" s="48" t="n">
        <v>0</v>
      </c>
      <c r="AB68" s="48" t="n">
        <v>0</v>
      </c>
      <c r="AC68" s="48" t="n">
        <v>0</v>
      </c>
      <c r="AD68" s="48" t="n">
        <v>0</v>
      </c>
      <c r="AE68" s="48" t="n">
        <v>0</v>
      </c>
      <c r="AF68" s="48" t="n">
        <v>0</v>
      </c>
      <c r="AG68" s="48" t="n">
        <v>0</v>
      </c>
      <c r="AH68" s="48" t="n">
        <v>11</v>
      </c>
      <c r="AI68" s="48" t="n">
        <v>17</v>
      </c>
      <c r="AJ68" s="48" t="n">
        <v>5</v>
      </c>
      <c r="AK68" s="48" t="n">
        <v>25</v>
      </c>
      <c r="AL68" s="48" t="n">
        <v>26</v>
      </c>
      <c r="AM68" s="48" t="n">
        <v>51</v>
      </c>
      <c r="AN68" s="48" t="n">
        <v>368</v>
      </c>
      <c r="AO68" s="48" t="n">
        <v>98</v>
      </c>
      <c r="AP68" s="48" t="n">
        <v>75</v>
      </c>
      <c r="AQ68" s="48" t="n">
        <v>74</v>
      </c>
      <c r="AR68" s="48" t="n">
        <v>286</v>
      </c>
      <c r="AS68" s="48" t="n">
        <v>105</v>
      </c>
      <c r="AT68" s="48" t="n">
        <v>394</v>
      </c>
      <c r="AU68" s="48" t="n">
        <v>393</v>
      </c>
      <c r="AV68" s="48" t="n">
        <v>271</v>
      </c>
      <c r="AW68" s="48" t="n">
        <v>530</v>
      </c>
      <c r="AX68" s="48" t="n">
        <v>507</v>
      </c>
      <c r="AY68" s="48" t="n">
        <v>318</v>
      </c>
      <c r="AZ68" s="48" t="n">
        <v>588</v>
      </c>
      <c r="BA68" s="48" t="n">
        <v>972</v>
      </c>
      <c r="BB68" s="48" t="n">
        <v>403</v>
      </c>
      <c r="BC68" s="48" t="n">
        <v>1379</v>
      </c>
      <c r="BD68" s="48" t="n">
        <v>1229</v>
      </c>
      <c r="BE68" s="48" t="n">
        <v>535</v>
      </c>
      <c r="BF68" s="48" t="n">
        <v>887</v>
      </c>
      <c r="BG68" s="49" t="n">
        <v>2.08</v>
      </c>
    </row>
    <row r="69" customFormat="false" ht="15" hidden="false" customHeight="false" outlineLevel="0" collapsed="false">
      <c r="A69" s="43" t="s">
        <v>374</v>
      </c>
      <c r="B69" s="43" t="s">
        <v>375</v>
      </c>
      <c r="C69" s="44" t="str">
        <f aca="false">IF(A69="","",IFERROR(INDEX(Assumptions!$B$41:$B$55,MATCH(TRUE(),INDEX(ISNUMBER(SEARCH(" "&amp;Assumptions!$A$41:$A$55&amp;" "," "&amp;SUBSTITUTE(SUBSTITUTE(SUBSTITUTE(SUBSTITUTE(B69,"-"," "),","," "),"/"," "),"."," ")&amp;" ")),0),0)),"Other"))</f>
        <v>Lighting</v>
      </c>
      <c r="D69" s="45" t="n">
        <f aca="false">IF(A69="","",BG69*(1-Assumptions!$B$18))</f>
        <v>1.77</v>
      </c>
      <c r="E69" s="46" t="n">
        <f aca="false">IF(A69="","",INDEX(Assumptions!$B$23:$B$26,MOD(VALUE(LEFT(A69,5)),4)+1))</f>
        <v>4</v>
      </c>
      <c r="F69" s="47" t="n">
        <v>6881</v>
      </c>
      <c r="G69" s="48" t="n">
        <v>257</v>
      </c>
      <c r="H69" s="48" t="n">
        <v>199</v>
      </c>
      <c r="I69" s="48" t="n">
        <v>48</v>
      </c>
      <c r="J69" s="48" t="n">
        <v>0</v>
      </c>
      <c r="K69" s="48" t="n">
        <v>181</v>
      </c>
      <c r="L69" s="48" t="n">
        <v>1000</v>
      </c>
      <c r="M69" s="48" t="n">
        <v>95</v>
      </c>
      <c r="N69" s="48" t="n">
        <v>297</v>
      </c>
      <c r="O69" s="48" t="n">
        <v>128</v>
      </c>
      <c r="P69" s="48" t="n">
        <v>83</v>
      </c>
      <c r="Q69" s="48" t="n">
        <v>14</v>
      </c>
      <c r="R69" s="48" t="n">
        <v>111</v>
      </c>
      <c r="S69" s="48" t="n">
        <v>67</v>
      </c>
      <c r="T69" s="48" t="n">
        <v>64</v>
      </c>
      <c r="U69" s="48" t="n">
        <v>76</v>
      </c>
      <c r="V69" s="48" t="n">
        <v>67</v>
      </c>
      <c r="W69" s="48" t="n">
        <v>50</v>
      </c>
      <c r="X69" s="48" t="n">
        <v>27</v>
      </c>
      <c r="Y69" s="48" t="n">
        <v>53</v>
      </c>
      <c r="Z69" s="48" t="n">
        <v>50</v>
      </c>
      <c r="AA69" s="48" t="n">
        <v>43</v>
      </c>
      <c r="AB69" s="48" t="n">
        <v>142</v>
      </c>
      <c r="AC69" s="48" t="n">
        <v>203</v>
      </c>
      <c r="AD69" s="48" t="n">
        <v>92</v>
      </c>
      <c r="AE69" s="48" t="n">
        <v>310</v>
      </c>
      <c r="AF69" s="48" t="n">
        <v>12</v>
      </c>
      <c r="AG69" s="48" t="n">
        <v>43</v>
      </c>
      <c r="AH69" s="48" t="n">
        <v>31</v>
      </c>
      <c r="AI69" s="48" t="n">
        <v>12</v>
      </c>
      <c r="AJ69" s="48" t="n">
        <v>23</v>
      </c>
      <c r="AK69" s="48" t="n">
        <v>15</v>
      </c>
      <c r="AL69" s="48" t="n">
        <v>196</v>
      </c>
      <c r="AM69" s="48" t="n">
        <v>139</v>
      </c>
      <c r="AN69" s="48" t="n">
        <v>403</v>
      </c>
      <c r="AO69" s="48" t="n">
        <v>32</v>
      </c>
      <c r="AP69" s="48" t="n">
        <v>61</v>
      </c>
      <c r="AQ69" s="48" t="n">
        <v>41</v>
      </c>
      <c r="AR69" s="48" t="n">
        <v>60</v>
      </c>
      <c r="AS69" s="48" t="n">
        <v>42</v>
      </c>
      <c r="AT69" s="48" t="n">
        <v>37</v>
      </c>
      <c r="AU69" s="48" t="n">
        <v>123</v>
      </c>
      <c r="AV69" s="48" t="n">
        <v>379</v>
      </c>
      <c r="AW69" s="48" t="n">
        <v>49</v>
      </c>
      <c r="AX69" s="48" t="n">
        <v>92</v>
      </c>
      <c r="AY69" s="48" t="n">
        <v>151</v>
      </c>
      <c r="AZ69" s="48" t="n">
        <v>89</v>
      </c>
      <c r="BA69" s="48" t="n">
        <v>144</v>
      </c>
      <c r="BB69" s="48" t="n">
        <v>660</v>
      </c>
      <c r="BC69" s="48" t="n">
        <v>190</v>
      </c>
      <c r="BD69" s="48" t="n">
        <v>164</v>
      </c>
      <c r="BE69" s="48" t="n">
        <v>319</v>
      </c>
      <c r="BF69" s="48" t="n">
        <v>290</v>
      </c>
      <c r="BG69" s="49" t="n">
        <v>2.95</v>
      </c>
    </row>
    <row r="70" customFormat="false" ht="15" hidden="false" customHeight="false" outlineLevel="0" collapsed="false">
      <c r="A70" s="43" t="s">
        <v>376</v>
      </c>
      <c r="B70" s="43" t="s">
        <v>377</v>
      </c>
      <c r="C70" s="44" t="str">
        <f aca="false">IF(A70="","",IFERROR(INDEX(Assumptions!$B$41:$B$55,MATCH(TRUE(),INDEX(ISNUMBER(SEARCH(" "&amp;Assumptions!$A$41:$A$55&amp;" "," "&amp;SUBSTITUTE(SUBSTITUTE(SUBSTITUTE(SUBSTITUTE(B70,"-"," "),","," "),"/"," "),"."," ")&amp;" ")),0),0)),"Other"))</f>
        <v>Bags</v>
      </c>
      <c r="D70" s="45" t="n">
        <f aca="false">IF(A70="","",BG70*(1-Assumptions!$B$18))</f>
        <v>0.99</v>
      </c>
      <c r="E70" s="46" t="n">
        <f aca="false">IF(A70="","",INDEX(Assumptions!$B$23:$B$26,MOD(VALUE(LEFT(A70,5)),4)+1))</f>
        <v>8</v>
      </c>
      <c r="F70" s="47" t="n">
        <v>2359</v>
      </c>
      <c r="G70" s="48" t="n">
        <v>190</v>
      </c>
      <c r="H70" s="48" t="n">
        <v>146</v>
      </c>
      <c r="I70" s="48" t="n">
        <v>110</v>
      </c>
      <c r="J70" s="48" t="n">
        <v>0</v>
      </c>
      <c r="K70" s="48" t="n">
        <v>140</v>
      </c>
      <c r="L70" s="48" t="n">
        <v>289</v>
      </c>
      <c r="M70" s="48" t="n">
        <v>100</v>
      </c>
      <c r="N70" s="48" t="n">
        <v>237</v>
      </c>
      <c r="O70" s="48" t="n">
        <v>251</v>
      </c>
      <c r="P70" s="48" t="n">
        <v>61</v>
      </c>
      <c r="Q70" s="48" t="n">
        <v>259</v>
      </c>
      <c r="R70" s="48" t="n">
        <v>202</v>
      </c>
      <c r="S70" s="48" t="n">
        <v>130</v>
      </c>
      <c r="T70" s="48" t="n">
        <v>80</v>
      </c>
      <c r="U70" s="48" t="n">
        <v>116</v>
      </c>
      <c r="V70" s="48" t="n">
        <v>221</v>
      </c>
      <c r="W70" s="48" t="n">
        <v>443</v>
      </c>
      <c r="X70" s="48" t="n">
        <v>230</v>
      </c>
      <c r="Y70" s="48" t="n">
        <v>224</v>
      </c>
      <c r="Z70" s="48" t="n">
        <v>156</v>
      </c>
      <c r="AA70" s="48" t="n">
        <v>123</v>
      </c>
      <c r="AB70" s="48" t="n">
        <v>301</v>
      </c>
      <c r="AC70" s="48" t="n">
        <v>491</v>
      </c>
      <c r="AD70" s="48" t="n">
        <v>245</v>
      </c>
      <c r="AE70" s="48" t="n">
        <v>353</v>
      </c>
      <c r="AF70" s="48" t="n">
        <v>293</v>
      </c>
      <c r="AG70" s="48" t="n">
        <v>302</v>
      </c>
      <c r="AH70" s="48" t="n">
        <v>184</v>
      </c>
      <c r="AI70" s="48" t="n">
        <v>187</v>
      </c>
      <c r="AJ70" s="48" t="n">
        <v>312</v>
      </c>
      <c r="AK70" s="48" t="n">
        <v>541</v>
      </c>
      <c r="AL70" s="48" t="n">
        <v>178</v>
      </c>
      <c r="AM70" s="48" t="n">
        <v>420</v>
      </c>
      <c r="AN70" s="48" t="n">
        <v>300</v>
      </c>
      <c r="AO70" s="48" t="n">
        <v>310</v>
      </c>
      <c r="AP70" s="48" t="n">
        <v>543</v>
      </c>
      <c r="AQ70" s="48" t="n">
        <v>388</v>
      </c>
      <c r="AR70" s="48" t="n">
        <v>330</v>
      </c>
      <c r="AS70" s="48" t="n">
        <v>270</v>
      </c>
      <c r="AT70" s="48" t="n">
        <v>210</v>
      </c>
      <c r="AU70" s="48" t="n">
        <v>270</v>
      </c>
      <c r="AV70" s="48" t="n">
        <v>274</v>
      </c>
      <c r="AW70" s="48" t="n">
        <v>153</v>
      </c>
      <c r="AX70" s="48" t="n">
        <v>175</v>
      </c>
      <c r="AY70" s="48" t="n">
        <v>182</v>
      </c>
      <c r="AZ70" s="48" t="n">
        <v>99</v>
      </c>
      <c r="BA70" s="48" t="n">
        <v>210</v>
      </c>
      <c r="BB70" s="48" t="n">
        <v>228</v>
      </c>
      <c r="BC70" s="48" t="n">
        <v>219</v>
      </c>
      <c r="BD70" s="48" t="n">
        <v>163</v>
      </c>
      <c r="BE70" s="48" t="n">
        <v>291</v>
      </c>
      <c r="BF70" s="48" t="n">
        <v>136</v>
      </c>
      <c r="BG70" s="49" t="n">
        <v>1.65</v>
      </c>
    </row>
    <row r="71" customFormat="false" ht="15" hidden="false" customHeight="false" outlineLevel="0" collapsed="false">
      <c r="A71" s="43" t="s">
        <v>378</v>
      </c>
      <c r="B71" s="43" t="s">
        <v>379</v>
      </c>
      <c r="C71" s="44" t="str">
        <f aca="false">IF(A71="","",IFERROR(INDEX(Assumptions!$B$41:$B$55,MATCH(TRUE(),INDEX(ISNUMBER(SEARCH(" "&amp;Assumptions!$A$41:$A$55&amp;" "," "&amp;SUBSTITUTE(SUBSTITUTE(SUBSTITUTE(SUBSTITUTE(B71,"-"," "),","," "),"/"," "),"."," ")&amp;" ")),0),0)),"Other"))</f>
        <v>Other</v>
      </c>
      <c r="D71" s="45" t="n">
        <f aca="false">IF(A71="","",BG71*(1-Assumptions!$B$18))</f>
        <v>2.97</v>
      </c>
      <c r="E71" s="46" t="n">
        <f aca="false">IF(A71="","",INDEX(Assumptions!$B$23:$B$26,MOD(VALUE(LEFT(A71,5)),4)+1))</f>
        <v>8</v>
      </c>
      <c r="F71" s="47" t="n">
        <v>1047</v>
      </c>
      <c r="G71" s="48" t="n">
        <v>278</v>
      </c>
      <c r="H71" s="48" t="n">
        <v>311</v>
      </c>
      <c r="I71" s="48" t="n">
        <v>191</v>
      </c>
      <c r="J71" s="48" t="n">
        <v>0</v>
      </c>
      <c r="K71" s="48" t="n">
        <v>118</v>
      </c>
      <c r="L71" s="48" t="n">
        <v>92</v>
      </c>
      <c r="M71" s="48" t="n">
        <v>66</v>
      </c>
      <c r="N71" s="48" t="n">
        <v>43</v>
      </c>
      <c r="O71" s="48" t="n">
        <v>9</v>
      </c>
      <c r="P71" s="48" t="n">
        <v>10</v>
      </c>
      <c r="Q71" s="48" t="n">
        <v>12</v>
      </c>
      <c r="R71" s="48" t="n">
        <v>13</v>
      </c>
      <c r="S71" s="48" t="n">
        <v>2</v>
      </c>
      <c r="T71" s="48" t="n">
        <v>4</v>
      </c>
      <c r="U71" s="48" t="n">
        <v>3</v>
      </c>
      <c r="V71" s="48" t="n">
        <v>1</v>
      </c>
      <c r="W71" s="48" t="n">
        <v>4</v>
      </c>
      <c r="X71" s="48" t="n">
        <v>4</v>
      </c>
      <c r="Y71" s="48" t="n">
        <v>0</v>
      </c>
      <c r="Z71" s="48" t="n">
        <v>7</v>
      </c>
      <c r="AA71" s="48" t="n">
        <v>0</v>
      </c>
      <c r="AB71" s="48" t="n">
        <v>31</v>
      </c>
      <c r="AC71" s="48" t="n">
        <v>7</v>
      </c>
      <c r="AD71" s="48" t="n">
        <v>33</v>
      </c>
      <c r="AE71" s="48" t="n">
        <v>1</v>
      </c>
      <c r="AF71" s="48" t="n">
        <v>3</v>
      </c>
      <c r="AG71" s="48" t="n">
        <v>9</v>
      </c>
      <c r="AH71" s="48" t="n">
        <v>1</v>
      </c>
      <c r="AI71" s="48" t="n">
        <v>29</v>
      </c>
      <c r="AJ71" s="48" t="n">
        <v>1</v>
      </c>
      <c r="AK71" s="48" t="n">
        <v>0</v>
      </c>
      <c r="AL71" s="48" t="n">
        <v>1</v>
      </c>
      <c r="AM71" s="48" t="n">
        <v>81</v>
      </c>
      <c r="AN71" s="48" t="n">
        <v>51</v>
      </c>
      <c r="AO71" s="48" t="n">
        <v>12</v>
      </c>
      <c r="AP71" s="48" t="n">
        <v>10</v>
      </c>
      <c r="AQ71" s="48" t="n">
        <v>34</v>
      </c>
      <c r="AR71" s="48" t="n">
        <v>70</v>
      </c>
      <c r="AS71" s="48" t="n">
        <v>43</v>
      </c>
      <c r="AT71" s="48" t="n">
        <v>117</v>
      </c>
      <c r="AU71" s="48" t="n">
        <v>107</v>
      </c>
      <c r="AV71" s="48" t="n">
        <v>730</v>
      </c>
      <c r="AW71" s="48" t="n">
        <v>122</v>
      </c>
      <c r="AX71" s="48" t="n">
        <v>85</v>
      </c>
      <c r="AY71" s="48" t="n">
        <v>93</v>
      </c>
      <c r="AZ71" s="48" t="n">
        <v>131</v>
      </c>
      <c r="BA71" s="48" t="n">
        <v>104</v>
      </c>
      <c r="BB71" s="48" t="n">
        <v>135</v>
      </c>
      <c r="BC71" s="48" t="n">
        <v>271</v>
      </c>
      <c r="BD71" s="48" t="n">
        <v>297</v>
      </c>
      <c r="BE71" s="48" t="n">
        <v>161</v>
      </c>
      <c r="BF71" s="48" t="n">
        <v>249</v>
      </c>
      <c r="BG71" s="49" t="n">
        <v>4.95</v>
      </c>
    </row>
    <row r="72" customFormat="false" ht="15" hidden="false" customHeight="false" outlineLevel="0" collapsed="false">
      <c r="A72" s="43" t="s">
        <v>380</v>
      </c>
      <c r="B72" s="43" t="s">
        <v>381</v>
      </c>
      <c r="C72" s="44" t="str">
        <f aca="false">IF(A72="","",IFERROR(INDEX(Assumptions!$B$41:$B$55,MATCH(TRUE(),INDEX(ISNUMBER(SEARCH(" "&amp;Assumptions!$A$41:$A$55&amp;" "," "&amp;SUBSTITUTE(SUBSTITUTE(SUBSTITUTE(SUBSTITUTE(B72,"-"," "),","," "),"/"," "),"."," ")&amp;" ")),0),0)),"Other"))</f>
        <v>Other</v>
      </c>
      <c r="D72" s="45" t="n">
        <f aca="false">IF(A72="","",BG72*(1-Assumptions!$B$18))</f>
        <v>2.49</v>
      </c>
      <c r="E72" s="46" t="n">
        <f aca="false">IF(A72="","",INDEX(Assumptions!$B$23:$B$26,MOD(VALUE(LEFT(A72,5)),4)+1))</f>
        <v>4</v>
      </c>
      <c r="F72" s="47" t="n">
        <v>614</v>
      </c>
      <c r="G72" s="48" t="n">
        <v>58</v>
      </c>
      <c r="H72" s="48" t="n">
        <v>75</v>
      </c>
      <c r="I72" s="48" t="n">
        <v>83</v>
      </c>
      <c r="J72" s="48" t="n">
        <v>0</v>
      </c>
      <c r="K72" s="48" t="n">
        <v>143</v>
      </c>
      <c r="L72" s="48" t="n">
        <v>406</v>
      </c>
      <c r="M72" s="48" t="n">
        <v>113</v>
      </c>
      <c r="N72" s="48" t="n">
        <v>140</v>
      </c>
      <c r="O72" s="48" t="n">
        <v>50</v>
      </c>
      <c r="P72" s="48" t="n">
        <v>58</v>
      </c>
      <c r="Q72" s="48" t="n">
        <v>181</v>
      </c>
      <c r="R72" s="48" t="n">
        <v>197</v>
      </c>
      <c r="S72" s="48" t="n">
        <v>13</v>
      </c>
      <c r="T72" s="48" t="n">
        <v>119</v>
      </c>
      <c r="U72" s="48" t="n">
        <v>30</v>
      </c>
      <c r="V72" s="48" t="n">
        <v>34</v>
      </c>
      <c r="W72" s="48" t="n">
        <v>33</v>
      </c>
      <c r="X72" s="48" t="n">
        <v>26</v>
      </c>
      <c r="Y72" s="48" t="n">
        <v>75</v>
      </c>
      <c r="Z72" s="48" t="n">
        <v>96</v>
      </c>
      <c r="AA72" s="48" t="n">
        <v>14</v>
      </c>
      <c r="AB72" s="48" t="n">
        <v>44</v>
      </c>
      <c r="AC72" s="48" t="n">
        <v>23</v>
      </c>
      <c r="AD72" s="48" t="n">
        <v>66</v>
      </c>
      <c r="AE72" s="48" t="n">
        <v>46</v>
      </c>
      <c r="AF72" s="48" t="n">
        <v>24</v>
      </c>
      <c r="AG72" s="48" t="n">
        <v>51</v>
      </c>
      <c r="AH72" s="48" t="n">
        <v>174</v>
      </c>
      <c r="AI72" s="48" t="n">
        <v>50</v>
      </c>
      <c r="AJ72" s="48" t="n">
        <v>14</v>
      </c>
      <c r="AK72" s="48" t="n">
        <v>460</v>
      </c>
      <c r="AL72" s="48" t="n">
        <v>49</v>
      </c>
      <c r="AM72" s="48" t="n">
        <v>248</v>
      </c>
      <c r="AN72" s="48" t="n">
        <v>19</v>
      </c>
      <c r="AO72" s="48" t="n">
        <v>19</v>
      </c>
      <c r="AP72" s="48" t="n">
        <v>35</v>
      </c>
      <c r="AQ72" s="48" t="n">
        <v>33</v>
      </c>
      <c r="AR72" s="48" t="n">
        <v>163</v>
      </c>
      <c r="AS72" s="48" t="n">
        <v>48</v>
      </c>
      <c r="AT72" s="48" t="n">
        <v>100</v>
      </c>
      <c r="AU72" s="48" t="n">
        <v>74</v>
      </c>
      <c r="AV72" s="48" t="n">
        <v>181</v>
      </c>
      <c r="AW72" s="48" t="n">
        <v>96</v>
      </c>
      <c r="AX72" s="48" t="n">
        <v>196</v>
      </c>
      <c r="AY72" s="48" t="n">
        <v>45</v>
      </c>
      <c r="AZ72" s="48" t="n">
        <v>138</v>
      </c>
      <c r="BA72" s="48" t="n">
        <v>96</v>
      </c>
      <c r="BB72" s="48" t="n">
        <v>121</v>
      </c>
      <c r="BC72" s="48" t="n">
        <v>32</v>
      </c>
      <c r="BD72" s="48" t="n">
        <v>102</v>
      </c>
      <c r="BE72" s="48" t="n">
        <v>510</v>
      </c>
      <c r="BF72" s="48" t="n">
        <v>116</v>
      </c>
      <c r="BG72" s="49" t="n">
        <v>4.15</v>
      </c>
    </row>
    <row r="73" customFormat="false" ht="15" hidden="false" customHeight="false" outlineLevel="0" collapsed="false">
      <c r="A73" s="43" t="s">
        <v>382</v>
      </c>
      <c r="B73" s="43" t="s">
        <v>383</v>
      </c>
      <c r="C73" s="44" t="str">
        <f aca="false">IF(A73="","",IFERROR(INDEX(Assumptions!$B$41:$B$55,MATCH(TRUE(),INDEX(ISNUMBER(SEARCH(" "&amp;Assumptions!$A$41:$A$55&amp;" "," "&amp;SUBSTITUTE(SUBSTITUTE(SUBSTITUTE(SUBSTITUTE(B73,"-"," "),","," "),"/"," "),"."," ")&amp;" ")),0),0)),"Other"))</f>
        <v>Cards/Gifts</v>
      </c>
      <c r="D73" s="45" t="n">
        <f aca="false">IF(A73="","",BG73*(1-Assumptions!$B$18))</f>
        <v>2.37</v>
      </c>
      <c r="E73" s="46" t="n">
        <f aca="false">IF(A73="","",INDEX(Assumptions!$B$23:$B$26,MOD(VALUE(LEFT(A73,5)),4)+1))</f>
        <v>4</v>
      </c>
      <c r="F73" s="47" t="n">
        <v>1507</v>
      </c>
      <c r="G73" s="48" t="n">
        <v>2074</v>
      </c>
      <c r="H73" s="48" t="n">
        <v>104</v>
      </c>
      <c r="I73" s="48" t="n">
        <v>6</v>
      </c>
      <c r="J73" s="48" t="n">
        <v>0</v>
      </c>
      <c r="K73" s="48" t="n">
        <v>55</v>
      </c>
      <c r="L73" s="48" t="n">
        <v>28</v>
      </c>
      <c r="M73" s="48" t="n">
        <v>43</v>
      </c>
      <c r="N73" s="48" t="n">
        <v>36</v>
      </c>
      <c r="O73" s="48" t="n">
        <v>58</v>
      </c>
      <c r="P73" s="48" t="n">
        <v>1027</v>
      </c>
      <c r="Q73" s="48" t="n">
        <v>63</v>
      </c>
      <c r="R73" s="48" t="n">
        <v>38</v>
      </c>
      <c r="S73" s="48" t="n">
        <v>36</v>
      </c>
      <c r="T73" s="48" t="n">
        <v>67</v>
      </c>
      <c r="U73" s="48" t="n">
        <v>66</v>
      </c>
      <c r="V73" s="48" t="n">
        <v>482</v>
      </c>
      <c r="W73" s="48" t="n">
        <v>25</v>
      </c>
      <c r="X73" s="48" t="n">
        <v>19</v>
      </c>
      <c r="Y73" s="48" t="n">
        <v>139</v>
      </c>
      <c r="Z73" s="48" t="n">
        <v>134</v>
      </c>
      <c r="AA73" s="48" t="n">
        <v>16</v>
      </c>
      <c r="AB73" s="48" t="n">
        <v>40</v>
      </c>
      <c r="AC73" s="48" t="n">
        <v>13</v>
      </c>
      <c r="AD73" s="48" t="n">
        <v>249</v>
      </c>
      <c r="AE73" s="48" t="n">
        <v>23</v>
      </c>
      <c r="AF73" s="48" t="n">
        <v>29</v>
      </c>
      <c r="AG73" s="48" t="n">
        <v>65</v>
      </c>
      <c r="AH73" s="48" t="n">
        <v>460</v>
      </c>
      <c r="AI73" s="48" t="n">
        <v>17</v>
      </c>
      <c r="AJ73" s="48" t="n">
        <v>26</v>
      </c>
      <c r="AK73" s="48" t="n">
        <v>18</v>
      </c>
      <c r="AL73" s="48" t="n">
        <v>6</v>
      </c>
      <c r="AM73" s="48" t="n">
        <v>176</v>
      </c>
      <c r="AN73" s="48" t="n">
        <v>360</v>
      </c>
      <c r="AO73" s="48" t="n">
        <v>74</v>
      </c>
      <c r="AP73" s="48" t="n">
        <v>62</v>
      </c>
      <c r="AQ73" s="48" t="n">
        <v>31</v>
      </c>
      <c r="AR73" s="48" t="n">
        <v>47</v>
      </c>
      <c r="AS73" s="48" t="n">
        <v>382</v>
      </c>
      <c r="AT73" s="48" t="n">
        <v>28</v>
      </c>
      <c r="AU73" s="48" t="n">
        <v>47</v>
      </c>
      <c r="AV73" s="48" t="n">
        <v>47</v>
      </c>
      <c r="AW73" s="48" t="n">
        <v>34</v>
      </c>
      <c r="AX73" s="48" t="n">
        <v>304</v>
      </c>
      <c r="AY73" s="48" t="n">
        <v>24</v>
      </c>
      <c r="AZ73" s="48" t="n">
        <v>152</v>
      </c>
      <c r="BA73" s="48" t="n">
        <v>57</v>
      </c>
      <c r="BB73" s="48" t="n">
        <v>346</v>
      </c>
      <c r="BC73" s="48" t="n">
        <v>73</v>
      </c>
      <c r="BD73" s="48" t="n">
        <v>42</v>
      </c>
      <c r="BE73" s="48" t="n">
        <v>33</v>
      </c>
      <c r="BF73" s="48" t="n">
        <v>55</v>
      </c>
      <c r="BG73" s="49" t="n">
        <v>3.95</v>
      </c>
    </row>
    <row r="74" customFormat="false" ht="15" hidden="false" customHeight="false" outlineLevel="0" collapsed="false">
      <c r="A74" s="43" t="s">
        <v>384</v>
      </c>
      <c r="B74" s="43" t="s">
        <v>385</v>
      </c>
      <c r="C74" s="44" t="str">
        <f aca="false">IF(A74="","",IFERROR(INDEX(Assumptions!$B$41:$B$55,MATCH(TRUE(),INDEX(ISNUMBER(SEARCH(" "&amp;Assumptions!$A$41:$A$55&amp;" "," "&amp;SUBSTITUTE(SUBSTITUTE(SUBSTITUTE(SUBSTITUTE(B74,"-"," "),","," "),"/"," "),"."," ")&amp;" ")),0),0)),"Other"))</f>
        <v>Other</v>
      </c>
      <c r="D74" s="45" t="n">
        <f aca="false">IF(A74="","",BG74*(1-Assumptions!$B$18))</f>
        <v>2.97</v>
      </c>
      <c r="E74" s="46" t="n">
        <f aca="false">IF(A74="","",INDEX(Assumptions!$B$23:$B$26,MOD(VALUE(LEFT(A74,5)),4)+1))</f>
        <v>8</v>
      </c>
      <c r="F74" s="47" t="n">
        <v>3594</v>
      </c>
      <c r="G74" s="48" t="n">
        <v>8</v>
      </c>
      <c r="H74" s="48" t="n">
        <v>3</v>
      </c>
      <c r="I74" s="48" t="n">
        <v>4</v>
      </c>
      <c r="J74" s="48" t="n">
        <v>0</v>
      </c>
      <c r="K74" s="48" t="n">
        <v>19</v>
      </c>
      <c r="L74" s="48" t="n">
        <v>58</v>
      </c>
      <c r="M74" s="48" t="n">
        <v>26</v>
      </c>
      <c r="N74" s="48" t="n">
        <v>37</v>
      </c>
      <c r="O74" s="48" t="n">
        <v>49</v>
      </c>
      <c r="P74" s="48" t="n">
        <v>19</v>
      </c>
      <c r="Q74" s="48" t="n">
        <v>133</v>
      </c>
      <c r="R74" s="48" t="n">
        <v>112</v>
      </c>
      <c r="S74" s="48" t="n">
        <v>35</v>
      </c>
      <c r="T74" s="48" t="n">
        <v>32</v>
      </c>
      <c r="U74" s="48" t="n">
        <v>104</v>
      </c>
      <c r="V74" s="48" t="n">
        <v>70</v>
      </c>
      <c r="W74" s="48" t="n">
        <v>83</v>
      </c>
      <c r="X74" s="48" t="n">
        <v>60</v>
      </c>
      <c r="Y74" s="48" t="n">
        <v>69</v>
      </c>
      <c r="Z74" s="48" t="n">
        <v>75</v>
      </c>
      <c r="AA74" s="48" t="n">
        <v>45</v>
      </c>
      <c r="AB74" s="48" t="n">
        <v>63</v>
      </c>
      <c r="AC74" s="48" t="n">
        <v>72</v>
      </c>
      <c r="AD74" s="48" t="n">
        <v>135</v>
      </c>
      <c r="AE74" s="48" t="n">
        <v>69</v>
      </c>
      <c r="AF74" s="48" t="n">
        <v>39</v>
      </c>
      <c r="AG74" s="48" t="n">
        <v>87</v>
      </c>
      <c r="AH74" s="48" t="n">
        <v>146</v>
      </c>
      <c r="AI74" s="48" t="n">
        <v>92</v>
      </c>
      <c r="AJ74" s="48" t="n">
        <v>20</v>
      </c>
      <c r="AK74" s="48" t="n">
        <v>90</v>
      </c>
      <c r="AL74" s="48" t="n">
        <v>108</v>
      </c>
      <c r="AM74" s="48" t="n">
        <v>101</v>
      </c>
      <c r="AN74" s="48" t="n">
        <v>88</v>
      </c>
      <c r="AO74" s="48" t="n">
        <v>107</v>
      </c>
      <c r="AP74" s="48" t="n">
        <v>61</v>
      </c>
      <c r="AQ74" s="48" t="n">
        <v>97</v>
      </c>
      <c r="AR74" s="48" t="n">
        <v>94</v>
      </c>
      <c r="AS74" s="48" t="n">
        <v>38</v>
      </c>
      <c r="AT74" s="48" t="n">
        <v>71</v>
      </c>
      <c r="AU74" s="48" t="n">
        <v>30</v>
      </c>
      <c r="AV74" s="48" t="n">
        <v>157</v>
      </c>
      <c r="AW74" s="48" t="n">
        <v>82</v>
      </c>
      <c r="AX74" s="48" t="n">
        <v>105</v>
      </c>
      <c r="AY74" s="48" t="n">
        <v>138</v>
      </c>
      <c r="AZ74" s="48" t="n">
        <v>208</v>
      </c>
      <c r="BA74" s="48" t="n">
        <v>88</v>
      </c>
      <c r="BB74" s="48" t="n">
        <v>100</v>
      </c>
      <c r="BC74" s="48" t="n">
        <v>219</v>
      </c>
      <c r="BD74" s="48" t="n">
        <v>246</v>
      </c>
      <c r="BE74" s="48" t="n">
        <v>192</v>
      </c>
      <c r="BF74" s="48" t="n">
        <v>162</v>
      </c>
      <c r="BG74" s="49" t="n">
        <v>4.95</v>
      </c>
    </row>
    <row r="75" customFormat="false" ht="15" hidden="false" customHeight="false" outlineLevel="0" collapsed="false">
      <c r="A75" s="43" t="s">
        <v>386</v>
      </c>
      <c r="B75" s="43" t="s">
        <v>387</v>
      </c>
      <c r="C75" s="44" t="str">
        <f aca="false">IF(A75="","",IFERROR(INDEX(Assumptions!$B$41:$B$55,MATCH(TRUE(),INDEX(ISNUMBER(SEARCH(" "&amp;Assumptions!$A$41:$A$55&amp;" "," "&amp;SUBSTITUTE(SUBSTITUTE(SUBSTITUTE(SUBSTITUTE(B75,"-"," "),","," "),"/"," "),"."," ")&amp;" ")),0),0)),"Other"))</f>
        <v>Other</v>
      </c>
      <c r="D75" s="45" t="n">
        <f aca="false">IF(A75="","",BG75*(1-Assumptions!$B$18))</f>
        <v>7.65</v>
      </c>
      <c r="E75" s="46" t="n">
        <f aca="false">IF(A75="","",INDEX(Assumptions!$B$23:$B$26,MOD(VALUE(LEFT(A75,5)),4)+1))</f>
        <v>6</v>
      </c>
      <c r="F75" s="47" t="n">
        <v>1375</v>
      </c>
      <c r="G75" s="48" t="n">
        <v>58</v>
      </c>
      <c r="H75" s="48" t="n">
        <v>10</v>
      </c>
      <c r="I75" s="48" t="n">
        <v>2</v>
      </c>
      <c r="J75" s="48" t="n">
        <v>0</v>
      </c>
      <c r="K75" s="48" t="n">
        <v>38</v>
      </c>
      <c r="L75" s="48" t="n">
        <v>33</v>
      </c>
      <c r="M75" s="48" t="n">
        <v>39</v>
      </c>
      <c r="N75" s="48" t="n">
        <v>39</v>
      </c>
      <c r="O75" s="48" t="n">
        <v>35</v>
      </c>
      <c r="P75" s="48" t="n">
        <v>16</v>
      </c>
      <c r="Q75" s="48" t="n">
        <v>10</v>
      </c>
      <c r="R75" s="48" t="n">
        <v>15</v>
      </c>
      <c r="S75" s="48" t="n">
        <v>14</v>
      </c>
      <c r="T75" s="48" t="n">
        <v>19</v>
      </c>
      <c r="U75" s="48" t="n">
        <v>11</v>
      </c>
      <c r="V75" s="48" t="n">
        <v>206</v>
      </c>
      <c r="W75" s="48" t="n">
        <v>21</v>
      </c>
      <c r="X75" s="48" t="n">
        <v>14</v>
      </c>
      <c r="Y75" s="48" t="n">
        <v>38</v>
      </c>
      <c r="Z75" s="48" t="n">
        <v>33</v>
      </c>
      <c r="AA75" s="48" t="n">
        <v>14</v>
      </c>
      <c r="AB75" s="48" t="n">
        <v>23</v>
      </c>
      <c r="AC75" s="48" t="n">
        <v>15</v>
      </c>
      <c r="AD75" s="48" t="n">
        <v>50</v>
      </c>
      <c r="AE75" s="48" t="n">
        <v>24</v>
      </c>
      <c r="AF75" s="48" t="n">
        <v>17</v>
      </c>
      <c r="AG75" s="48" t="n">
        <v>22</v>
      </c>
      <c r="AH75" s="48" t="n">
        <v>18</v>
      </c>
      <c r="AI75" s="48" t="n">
        <v>13</v>
      </c>
      <c r="AJ75" s="48" t="n">
        <v>11</v>
      </c>
      <c r="AK75" s="48" t="n">
        <v>18</v>
      </c>
      <c r="AL75" s="48" t="n">
        <v>19</v>
      </c>
      <c r="AM75" s="48" t="n">
        <v>23</v>
      </c>
      <c r="AN75" s="48" t="n">
        <v>31</v>
      </c>
      <c r="AO75" s="48" t="n">
        <v>54</v>
      </c>
      <c r="AP75" s="48" t="n">
        <v>9</v>
      </c>
      <c r="AQ75" s="48" t="n">
        <v>30</v>
      </c>
      <c r="AR75" s="48" t="n">
        <v>23</v>
      </c>
      <c r="AS75" s="48" t="n">
        <v>16</v>
      </c>
      <c r="AT75" s="48" t="n">
        <v>25</v>
      </c>
      <c r="AU75" s="48" t="n">
        <v>31</v>
      </c>
      <c r="AV75" s="48" t="n">
        <v>67</v>
      </c>
      <c r="AW75" s="48" t="n">
        <v>91</v>
      </c>
      <c r="AX75" s="48" t="n">
        <v>15</v>
      </c>
      <c r="AY75" s="48" t="n">
        <v>22</v>
      </c>
      <c r="AZ75" s="48" t="n">
        <v>23</v>
      </c>
      <c r="BA75" s="48" t="n">
        <v>26</v>
      </c>
      <c r="BB75" s="48" t="n">
        <v>121</v>
      </c>
      <c r="BC75" s="48" t="n">
        <v>80</v>
      </c>
      <c r="BD75" s="48" t="n">
        <v>32</v>
      </c>
      <c r="BE75" s="48" t="n">
        <v>33</v>
      </c>
      <c r="BF75" s="48" t="n">
        <v>55</v>
      </c>
      <c r="BG75" s="49" t="n">
        <v>12.75</v>
      </c>
    </row>
    <row r="76" customFormat="false" ht="15" hidden="false" customHeight="false" outlineLevel="0" collapsed="false">
      <c r="A76" s="43" t="s">
        <v>388</v>
      </c>
      <c r="B76" s="43" t="s">
        <v>389</v>
      </c>
      <c r="C76" s="44" t="str">
        <f aca="false">IF(A76="","",IFERROR(INDEX(Assumptions!$B$41:$B$55,MATCH(TRUE(),INDEX(ISNUMBER(SEARCH(" "&amp;Assumptions!$A$41:$A$55&amp;" "," "&amp;SUBSTITUTE(SUBSTITUTE(SUBSTITUTE(SUBSTITUTE(B76,"-"," "),","," "),"/"," "),"."," ")&amp;" ")),0),0)),"Other"))</f>
        <v>Bags</v>
      </c>
      <c r="D76" s="45" t="n">
        <f aca="false">IF(A76="","",BG76*(1-Assumptions!$B$18))</f>
        <v>0.99</v>
      </c>
      <c r="E76" s="46" t="n">
        <f aca="false">IF(A76="","",INDEX(Assumptions!$B$23:$B$26,MOD(VALUE(LEFT(A76,5)),4)+1))</f>
        <v>8</v>
      </c>
      <c r="F76" s="47" t="n">
        <v>3634</v>
      </c>
      <c r="G76" s="48" t="n">
        <v>154</v>
      </c>
      <c r="H76" s="48" t="n">
        <v>88</v>
      </c>
      <c r="I76" s="48" t="n">
        <v>25</v>
      </c>
      <c r="J76" s="48" t="n">
        <v>0</v>
      </c>
      <c r="K76" s="48" t="n">
        <v>168</v>
      </c>
      <c r="L76" s="48" t="n">
        <v>191</v>
      </c>
      <c r="M76" s="48" t="n">
        <v>187</v>
      </c>
      <c r="N76" s="48" t="n">
        <v>178</v>
      </c>
      <c r="O76" s="48" t="n">
        <v>103</v>
      </c>
      <c r="P76" s="48" t="n">
        <v>77</v>
      </c>
      <c r="Q76" s="48" t="n">
        <v>116</v>
      </c>
      <c r="R76" s="48" t="n">
        <v>180</v>
      </c>
      <c r="S76" s="48" t="n">
        <v>168</v>
      </c>
      <c r="T76" s="48" t="n">
        <v>185</v>
      </c>
      <c r="U76" s="48" t="n">
        <v>114</v>
      </c>
      <c r="V76" s="48" t="n">
        <v>176</v>
      </c>
      <c r="W76" s="48" t="n">
        <v>447</v>
      </c>
      <c r="X76" s="48" t="n">
        <v>82</v>
      </c>
      <c r="Y76" s="48" t="n">
        <v>147</v>
      </c>
      <c r="Z76" s="48" t="n">
        <v>87</v>
      </c>
      <c r="AA76" s="48" t="n">
        <v>144</v>
      </c>
      <c r="AB76" s="48" t="n">
        <v>282</v>
      </c>
      <c r="AC76" s="48" t="n">
        <v>369</v>
      </c>
      <c r="AD76" s="48" t="n">
        <v>243</v>
      </c>
      <c r="AE76" s="48" t="n">
        <v>127</v>
      </c>
      <c r="AF76" s="48" t="n">
        <v>208</v>
      </c>
      <c r="AG76" s="48" t="n">
        <v>180</v>
      </c>
      <c r="AH76" s="48" t="n">
        <v>241</v>
      </c>
      <c r="AI76" s="48" t="n">
        <v>405</v>
      </c>
      <c r="AJ76" s="48" t="n">
        <v>171</v>
      </c>
      <c r="AK76" s="48" t="n">
        <v>448</v>
      </c>
      <c r="AL76" s="48" t="n">
        <v>235</v>
      </c>
      <c r="AM76" s="48" t="n">
        <v>306</v>
      </c>
      <c r="AN76" s="48" t="n">
        <v>316</v>
      </c>
      <c r="AO76" s="48" t="n">
        <v>369</v>
      </c>
      <c r="AP76" s="48" t="n">
        <v>416</v>
      </c>
      <c r="AQ76" s="48" t="n">
        <v>275</v>
      </c>
      <c r="AR76" s="48" t="n">
        <v>417</v>
      </c>
      <c r="AS76" s="48" t="n">
        <v>187</v>
      </c>
      <c r="AT76" s="48" t="n">
        <v>277</v>
      </c>
      <c r="AU76" s="48" t="n">
        <v>302</v>
      </c>
      <c r="AV76" s="48" t="n">
        <v>422</v>
      </c>
      <c r="AW76" s="48" t="n">
        <v>235</v>
      </c>
      <c r="AX76" s="48" t="n">
        <v>332</v>
      </c>
      <c r="AY76" s="48" t="n">
        <v>347</v>
      </c>
      <c r="AZ76" s="48" t="n">
        <v>150</v>
      </c>
      <c r="BA76" s="48" t="n">
        <v>134</v>
      </c>
      <c r="BB76" s="48" t="n">
        <v>108</v>
      </c>
      <c r="BC76" s="48" t="n">
        <v>266</v>
      </c>
      <c r="BD76" s="48" t="n">
        <v>389</v>
      </c>
      <c r="BE76" s="48" t="n">
        <v>351</v>
      </c>
      <c r="BF76" s="48" t="n">
        <v>285</v>
      </c>
      <c r="BG76" s="49" t="n">
        <v>1.65</v>
      </c>
    </row>
    <row r="77" customFormat="false" ht="15" hidden="false" customHeight="false" outlineLevel="0" collapsed="false">
      <c r="A77" s="43" t="s">
        <v>390</v>
      </c>
      <c r="B77" s="43" t="s">
        <v>391</v>
      </c>
      <c r="C77" s="44" t="str">
        <f aca="false">IF(A77="","",IFERROR(INDEX(Assumptions!$B$41:$B$55,MATCH(TRUE(),INDEX(ISNUMBER(SEARCH(" "&amp;Assumptions!$A$41:$A$55&amp;" "," "&amp;SUBSTITUTE(SUBSTITUTE(SUBSTITUTE(SUBSTITUTE(B77,"-"," "),","," "),"/"," "),"."," ")&amp;" ")),0),0)),"Other"))</f>
        <v>Bags</v>
      </c>
      <c r="D77" s="45" t="n">
        <f aca="false">IF(A77="","",BG77*(1-Assumptions!$B$18))</f>
        <v>1.248</v>
      </c>
      <c r="E77" s="46" t="n">
        <f aca="false">IF(A77="","",INDEX(Assumptions!$B$23:$B$26,MOD(VALUE(LEFT(A77,5)),4)+1))</f>
        <v>2</v>
      </c>
      <c r="F77" s="47" t="n">
        <v>8114</v>
      </c>
      <c r="G77" s="48" t="n">
        <v>165</v>
      </c>
      <c r="H77" s="48" t="n">
        <v>94</v>
      </c>
      <c r="I77" s="48" t="n">
        <v>36</v>
      </c>
      <c r="J77" s="48" t="n">
        <v>0</v>
      </c>
      <c r="K77" s="48" t="n">
        <v>108</v>
      </c>
      <c r="L77" s="48" t="n">
        <v>120</v>
      </c>
      <c r="M77" s="48" t="n">
        <v>118</v>
      </c>
      <c r="N77" s="48" t="n">
        <v>95</v>
      </c>
      <c r="O77" s="48" t="n">
        <v>91</v>
      </c>
      <c r="P77" s="48" t="n">
        <v>46</v>
      </c>
      <c r="Q77" s="48" t="n">
        <v>179</v>
      </c>
      <c r="R77" s="48" t="n">
        <v>94</v>
      </c>
      <c r="S77" s="48" t="n">
        <v>52</v>
      </c>
      <c r="T77" s="48" t="n">
        <v>405</v>
      </c>
      <c r="U77" s="48" t="n">
        <v>107</v>
      </c>
      <c r="V77" s="48" t="n">
        <v>297</v>
      </c>
      <c r="W77" s="48" t="n">
        <v>548</v>
      </c>
      <c r="X77" s="48" t="n">
        <v>159</v>
      </c>
      <c r="Y77" s="48" t="n">
        <v>85</v>
      </c>
      <c r="Z77" s="48" t="n">
        <v>67</v>
      </c>
      <c r="AA77" s="48" t="n">
        <v>73</v>
      </c>
      <c r="AB77" s="48" t="n">
        <v>91</v>
      </c>
      <c r="AC77" s="48" t="n">
        <v>398</v>
      </c>
      <c r="AD77" s="48" t="n">
        <v>196</v>
      </c>
      <c r="AE77" s="48" t="n">
        <v>204</v>
      </c>
      <c r="AF77" s="48" t="n">
        <v>375</v>
      </c>
      <c r="AG77" s="48" t="n">
        <v>161</v>
      </c>
      <c r="AH77" s="48" t="n">
        <v>189</v>
      </c>
      <c r="AI77" s="48" t="n">
        <v>96</v>
      </c>
      <c r="AJ77" s="48" t="n">
        <v>97</v>
      </c>
      <c r="AK77" s="48" t="n">
        <v>113</v>
      </c>
      <c r="AL77" s="48" t="n">
        <v>166</v>
      </c>
      <c r="AM77" s="48" t="n">
        <v>161</v>
      </c>
      <c r="AN77" s="48" t="n">
        <v>183</v>
      </c>
      <c r="AO77" s="48" t="n">
        <v>58</v>
      </c>
      <c r="AP77" s="48" t="n">
        <v>457</v>
      </c>
      <c r="AQ77" s="48" t="n">
        <v>184</v>
      </c>
      <c r="AR77" s="48" t="n">
        <v>258</v>
      </c>
      <c r="AS77" s="48" t="n">
        <v>76</v>
      </c>
      <c r="AT77" s="48" t="n">
        <v>192</v>
      </c>
      <c r="AU77" s="48" t="n">
        <v>208</v>
      </c>
      <c r="AV77" s="48" t="n">
        <v>513</v>
      </c>
      <c r="AW77" s="48" t="n">
        <v>257</v>
      </c>
      <c r="AX77" s="48" t="n">
        <v>289</v>
      </c>
      <c r="AY77" s="48" t="n">
        <v>400</v>
      </c>
      <c r="AZ77" s="48" t="n">
        <v>216</v>
      </c>
      <c r="BA77" s="48" t="n">
        <v>250</v>
      </c>
      <c r="BB77" s="48" t="n">
        <v>175</v>
      </c>
      <c r="BC77" s="48" t="n">
        <v>250</v>
      </c>
      <c r="BD77" s="48" t="n">
        <v>84</v>
      </c>
      <c r="BE77" s="48" t="n">
        <v>220</v>
      </c>
      <c r="BF77" s="48" t="n">
        <v>133</v>
      </c>
      <c r="BG77" s="49" t="n">
        <v>2.08</v>
      </c>
    </row>
    <row r="78" customFormat="false" ht="15" hidden="false" customHeight="false" outlineLevel="0" collapsed="false">
      <c r="A78" s="43" t="s">
        <v>392</v>
      </c>
      <c r="B78" s="43" t="s">
        <v>393</v>
      </c>
      <c r="C78" s="44" t="str">
        <f aca="false">IF(A78="","",IFERROR(INDEX(Assumptions!$B$41:$B$55,MATCH(TRUE(),INDEX(ISNUMBER(SEARCH(" "&amp;Assumptions!$A$41:$A$55&amp;" "," "&amp;SUBSTITUTE(SUBSTITUTE(SUBSTITUTE(SUBSTITUTE(B78,"-"," "),","," "),"/"," "),"."," ")&amp;" ")),0),0)),"Other"))</f>
        <v>Other</v>
      </c>
      <c r="D78" s="45" t="n">
        <f aca="false">IF(A78="","",BG78*(1-Assumptions!$B$18))</f>
        <v>1.77</v>
      </c>
      <c r="E78" s="46" t="n">
        <f aca="false">IF(A78="","",INDEX(Assumptions!$B$23:$B$26,MOD(VALUE(LEFT(A78,5)),4)+1))</f>
        <v>4</v>
      </c>
      <c r="F78" s="47" t="n">
        <v>796</v>
      </c>
      <c r="G78" s="48" t="n">
        <v>151</v>
      </c>
      <c r="H78" s="48" t="n">
        <v>115</v>
      </c>
      <c r="I78" s="48" t="n">
        <v>54</v>
      </c>
      <c r="J78" s="48" t="n">
        <v>0</v>
      </c>
      <c r="K78" s="48" t="n">
        <v>34</v>
      </c>
      <c r="L78" s="48" t="n">
        <v>56</v>
      </c>
      <c r="M78" s="48" t="n">
        <v>27</v>
      </c>
      <c r="N78" s="48" t="n">
        <v>176</v>
      </c>
      <c r="O78" s="48" t="n">
        <v>174</v>
      </c>
      <c r="P78" s="48" t="n">
        <v>85</v>
      </c>
      <c r="Q78" s="48" t="n">
        <v>290</v>
      </c>
      <c r="R78" s="48" t="n">
        <v>124</v>
      </c>
      <c r="S78" s="48" t="n">
        <v>97</v>
      </c>
      <c r="T78" s="48" t="n">
        <v>63</v>
      </c>
      <c r="U78" s="48" t="n">
        <v>164</v>
      </c>
      <c r="V78" s="48" t="n">
        <v>90</v>
      </c>
      <c r="W78" s="48" t="n">
        <v>112</v>
      </c>
      <c r="X78" s="48" t="n">
        <v>118</v>
      </c>
      <c r="Y78" s="48" t="n">
        <v>200</v>
      </c>
      <c r="Z78" s="48" t="n">
        <v>107</v>
      </c>
      <c r="AA78" s="48" t="n">
        <v>82</v>
      </c>
      <c r="AB78" s="48" t="n">
        <v>82</v>
      </c>
      <c r="AC78" s="48" t="n">
        <v>160</v>
      </c>
      <c r="AD78" s="48" t="n">
        <v>255</v>
      </c>
      <c r="AE78" s="48" t="n">
        <v>139</v>
      </c>
      <c r="AF78" s="48" t="n">
        <v>131</v>
      </c>
      <c r="AG78" s="48" t="n">
        <v>140</v>
      </c>
      <c r="AH78" s="48" t="n">
        <v>100</v>
      </c>
      <c r="AI78" s="48" t="n">
        <v>168</v>
      </c>
      <c r="AJ78" s="48" t="n">
        <v>139</v>
      </c>
      <c r="AK78" s="48" t="n">
        <v>78</v>
      </c>
      <c r="AL78" s="48" t="n">
        <v>250</v>
      </c>
      <c r="AM78" s="48" t="n">
        <v>175</v>
      </c>
      <c r="AN78" s="48" t="n">
        <v>171</v>
      </c>
      <c r="AO78" s="48" t="n">
        <v>153</v>
      </c>
      <c r="AP78" s="48" t="n">
        <v>125</v>
      </c>
      <c r="AQ78" s="48" t="n">
        <v>168</v>
      </c>
      <c r="AR78" s="48" t="n">
        <v>70</v>
      </c>
      <c r="AS78" s="48" t="n">
        <v>168</v>
      </c>
      <c r="AT78" s="48" t="n">
        <v>159</v>
      </c>
      <c r="AU78" s="48" t="n">
        <v>214</v>
      </c>
      <c r="AV78" s="48" t="n">
        <v>152</v>
      </c>
      <c r="AW78" s="48" t="n">
        <v>164</v>
      </c>
      <c r="AX78" s="48" t="n">
        <v>358</v>
      </c>
      <c r="AY78" s="48" t="n">
        <v>116</v>
      </c>
      <c r="AZ78" s="48" t="n">
        <v>55</v>
      </c>
      <c r="BA78" s="48" t="n">
        <v>85</v>
      </c>
      <c r="BB78" s="48" t="n">
        <v>82</v>
      </c>
      <c r="BC78" s="48" t="n">
        <v>169</v>
      </c>
      <c r="BD78" s="48" t="n">
        <v>101</v>
      </c>
      <c r="BE78" s="48" t="n">
        <v>101</v>
      </c>
      <c r="BF78" s="48" t="n">
        <v>155</v>
      </c>
      <c r="BG78" s="49" t="n">
        <v>2.95</v>
      </c>
    </row>
    <row r="79" customFormat="false" ht="15" hidden="false" customHeight="false" outlineLevel="0" collapsed="false">
      <c r="A79" s="43" t="s">
        <v>394</v>
      </c>
      <c r="B79" s="43" t="s">
        <v>395</v>
      </c>
      <c r="C79" s="44" t="str">
        <f aca="false">IF(A79="","",IFERROR(INDEX(Assumptions!$B$41:$B$55,MATCH(TRUE(),INDEX(ISNUMBER(SEARCH(" "&amp;Assumptions!$A$41:$A$55&amp;" "," "&amp;SUBSTITUTE(SUBSTITUTE(SUBSTITUTE(SUBSTITUTE(B79,"-"," "),","," "),"/"," "),"."," ")&amp;" ")),0),0)),"Other"))</f>
        <v>Other</v>
      </c>
      <c r="D79" s="45" t="n">
        <f aca="false">IF(A79="","",BG79*(1-Assumptions!$B$18))</f>
        <v>4.77</v>
      </c>
      <c r="E79" s="46" t="n">
        <f aca="false">IF(A79="","",INDEX(Assumptions!$B$23:$B$26,MOD(VALUE(LEFT(A79,5)),4)+1))</f>
        <v>6</v>
      </c>
      <c r="F79" s="47" t="n">
        <v>383</v>
      </c>
      <c r="G79" s="48" t="n">
        <v>36</v>
      </c>
      <c r="H79" s="48" t="n">
        <v>25</v>
      </c>
      <c r="I79" s="48" t="n">
        <v>7</v>
      </c>
      <c r="J79" s="48" t="n">
        <v>0</v>
      </c>
      <c r="K79" s="48" t="n">
        <v>30</v>
      </c>
      <c r="L79" s="48" t="n">
        <v>13</v>
      </c>
      <c r="M79" s="48" t="n">
        <v>11</v>
      </c>
      <c r="N79" s="48" t="n">
        <v>85</v>
      </c>
      <c r="O79" s="48" t="n">
        <v>43</v>
      </c>
      <c r="P79" s="48" t="n">
        <v>34</v>
      </c>
      <c r="Q79" s="48" t="n">
        <v>11</v>
      </c>
      <c r="R79" s="48" t="n">
        <v>49</v>
      </c>
      <c r="S79" s="48" t="n">
        <v>29</v>
      </c>
      <c r="T79" s="48" t="n">
        <v>89</v>
      </c>
      <c r="U79" s="48" t="n">
        <v>38</v>
      </c>
      <c r="V79" s="48" t="n">
        <v>20</v>
      </c>
      <c r="W79" s="48" t="n">
        <v>44</v>
      </c>
      <c r="X79" s="48" t="n">
        <v>29</v>
      </c>
      <c r="Y79" s="48" t="n">
        <v>38</v>
      </c>
      <c r="Z79" s="48" t="n">
        <v>22</v>
      </c>
      <c r="AA79" s="48" t="n">
        <v>17</v>
      </c>
      <c r="AB79" s="48" t="n">
        <v>22</v>
      </c>
      <c r="AC79" s="48" t="n">
        <v>53</v>
      </c>
      <c r="AD79" s="48" t="n">
        <v>141</v>
      </c>
      <c r="AE79" s="48" t="n">
        <v>24</v>
      </c>
      <c r="AF79" s="48" t="n">
        <v>30</v>
      </c>
      <c r="AG79" s="48" t="n">
        <v>514</v>
      </c>
      <c r="AH79" s="48" t="n">
        <v>35</v>
      </c>
      <c r="AI79" s="48" t="n">
        <v>21</v>
      </c>
      <c r="AJ79" s="48" t="n">
        <v>14</v>
      </c>
      <c r="AK79" s="48" t="n">
        <v>505</v>
      </c>
      <c r="AL79" s="48" t="n">
        <v>38</v>
      </c>
      <c r="AM79" s="48" t="n">
        <v>26</v>
      </c>
      <c r="AN79" s="48" t="n">
        <v>48</v>
      </c>
      <c r="AO79" s="48" t="n">
        <v>14</v>
      </c>
      <c r="AP79" s="48" t="n">
        <v>49</v>
      </c>
      <c r="AQ79" s="48" t="n">
        <v>58</v>
      </c>
      <c r="AR79" s="48" t="n">
        <v>30</v>
      </c>
      <c r="AS79" s="48" t="n">
        <v>19</v>
      </c>
      <c r="AT79" s="48" t="n">
        <v>25</v>
      </c>
      <c r="AU79" s="48" t="n">
        <v>550</v>
      </c>
      <c r="AV79" s="48" t="n">
        <v>7</v>
      </c>
      <c r="AW79" s="48" t="n">
        <v>87</v>
      </c>
      <c r="AX79" s="48" t="n">
        <v>11</v>
      </c>
      <c r="AY79" s="48" t="n">
        <v>60</v>
      </c>
      <c r="AZ79" s="48" t="n">
        <v>16</v>
      </c>
      <c r="BA79" s="48" t="n">
        <v>35</v>
      </c>
      <c r="BB79" s="48" t="n">
        <v>27</v>
      </c>
      <c r="BC79" s="48" t="n">
        <v>25</v>
      </c>
      <c r="BD79" s="48" t="n">
        <v>33</v>
      </c>
      <c r="BE79" s="48" t="n">
        <v>112</v>
      </c>
      <c r="BF79" s="48" t="n">
        <v>16</v>
      </c>
      <c r="BG79" s="49" t="n">
        <v>7.95</v>
      </c>
    </row>
    <row r="80" customFormat="false" ht="15" hidden="false" customHeight="false" outlineLevel="0" collapsed="false">
      <c r="A80" s="43" t="s">
        <v>396</v>
      </c>
      <c r="B80" s="43" t="s">
        <v>397</v>
      </c>
      <c r="C80" s="44" t="str">
        <f aca="false">IF(A80="","",IFERROR(INDEX(Assumptions!$B$41:$B$55,MATCH(TRUE(),INDEX(ISNUMBER(SEARCH(" "&amp;Assumptions!$A$41:$A$55&amp;" "," "&amp;SUBSTITUTE(SUBSTITUTE(SUBSTITUTE(SUBSTITUTE(B80,"-"," "),","," "),"/"," "),"."," ")&amp;" ")),0),0)),"Other"))</f>
        <v>Bags</v>
      </c>
      <c r="D80" s="45" t="n">
        <f aca="false">IF(A80="","",BG80*(1-Assumptions!$B$18))</f>
        <v>0.99</v>
      </c>
      <c r="E80" s="46" t="n">
        <f aca="false">IF(A80="","",INDEX(Assumptions!$B$23:$B$26,MOD(VALUE(LEFT(A80,5)),4)+1))</f>
        <v>2</v>
      </c>
      <c r="F80" s="47" t="n">
        <v>8000</v>
      </c>
      <c r="G80" s="48" t="n">
        <v>93</v>
      </c>
      <c r="H80" s="48" t="n">
        <v>218</v>
      </c>
      <c r="I80" s="48" t="n">
        <v>23</v>
      </c>
      <c r="J80" s="48" t="n">
        <v>0</v>
      </c>
      <c r="K80" s="48" t="n">
        <v>149</v>
      </c>
      <c r="L80" s="48" t="n">
        <v>245</v>
      </c>
      <c r="M80" s="48" t="n">
        <v>96</v>
      </c>
      <c r="N80" s="48" t="n">
        <v>140</v>
      </c>
      <c r="O80" s="48" t="n">
        <v>204</v>
      </c>
      <c r="P80" s="48" t="n">
        <v>69</v>
      </c>
      <c r="Q80" s="48" t="n">
        <v>129</v>
      </c>
      <c r="R80" s="48" t="n">
        <v>114</v>
      </c>
      <c r="S80" s="48" t="n">
        <v>79</v>
      </c>
      <c r="T80" s="48" t="n">
        <v>161</v>
      </c>
      <c r="U80" s="48" t="n">
        <v>94</v>
      </c>
      <c r="V80" s="48" t="n">
        <v>353</v>
      </c>
      <c r="W80" s="48" t="n">
        <v>427</v>
      </c>
      <c r="X80" s="48" t="n">
        <v>216</v>
      </c>
      <c r="Y80" s="48" t="n">
        <v>186</v>
      </c>
      <c r="Z80" s="48" t="n">
        <v>141</v>
      </c>
      <c r="AA80" s="48" t="n">
        <v>112</v>
      </c>
      <c r="AB80" s="48" t="n">
        <v>240</v>
      </c>
      <c r="AC80" s="48" t="n">
        <v>321</v>
      </c>
      <c r="AD80" s="48" t="n">
        <v>276</v>
      </c>
      <c r="AE80" s="48" t="n">
        <v>169</v>
      </c>
      <c r="AF80" s="48" t="n">
        <v>208</v>
      </c>
      <c r="AG80" s="48" t="n">
        <v>302</v>
      </c>
      <c r="AH80" s="48" t="n">
        <v>127</v>
      </c>
      <c r="AI80" s="48" t="n">
        <v>324</v>
      </c>
      <c r="AJ80" s="48" t="n">
        <v>378</v>
      </c>
      <c r="AK80" s="48" t="n">
        <v>590</v>
      </c>
      <c r="AL80" s="48" t="n">
        <v>211</v>
      </c>
      <c r="AM80" s="48" t="n">
        <v>510</v>
      </c>
      <c r="AN80" s="48" t="n">
        <v>248</v>
      </c>
      <c r="AO80" s="48" t="n">
        <v>411</v>
      </c>
      <c r="AP80" s="48" t="n">
        <v>414</v>
      </c>
      <c r="AQ80" s="48" t="n">
        <v>238</v>
      </c>
      <c r="AR80" s="48" t="n">
        <v>343</v>
      </c>
      <c r="AS80" s="48" t="n">
        <v>190</v>
      </c>
      <c r="AT80" s="48" t="n">
        <v>238</v>
      </c>
      <c r="AU80" s="48" t="n">
        <v>248</v>
      </c>
      <c r="AV80" s="48" t="n">
        <v>263</v>
      </c>
      <c r="AW80" s="48" t="n">
        <v>235</v>
      </c>
      <c r="AX80" s="48" t="n">
        <v>167</v>
      </c>
      <c r="AY80" s="48" t="n">
        <v>143</v>
      </c>
      <c r="AZ80" s="48" t="n">
        <v>238</v>
      </c>
      <c r="BA80" s="48" t="n">
        <v>275</v>
      </c>
      <c r="BB80" s="48" t="n">
        <v>101</v>
      </c>
      <c r="BC80" s="48" t="n">
        <v>162</v>
      </c>
      <c r="BD80" s="48" t="n">
        <v>195</v>
      </c>
      <c r="BE80" s="48" t="n">
        <v>396</v>
      </c>
      <c r="BF80" s="48" t="n">
        <v>146</v>
      </c>
      <c r="BG80" s="49" t="n">
        <v>1.65</v>
      </c>
    </row>
    <row r="81" customFormat="false" ht="15" hidden="false" customHeight="false" outlineLevel="0" collapsed="false">
      <c r="A81" s="43" t="s">
        <v>398</v>
      </c>
      <c r="B81" s="43" t="s">
        <v>399</v>
      </c>
      <c r="C81" s="44" t="str">
        <f aca="false">IF(A81="","",IFERROR(INDEX(Assumptions!$B$41:$B$55,MATCH(TRUE(),INDEX(ISNUMBER(SEARCH(" "&amp;Assumptions!$A$41:$A$55&amp;" "," "&amp;SUBSTITUTE(SUBSTITUTE(SUBSTITUTE(SUBSTITUTE(B81,"-"," "),","," "),"/"," "),"."," ")&amp;" ")),0),0)),"Other"))</f>
        <v>Other</v>
      </c>
      <c r="D81" s="45" t="n">
        <f aca="false">IF(A81="","",BG81*(1-Assumptions!$B$18))</f>
        <v>1.17</v>
      </c>
      <c r="E81" s="46" t="n">
        <f aca="false">IF(A81="","",INDEX(Assumptions!$B$23:$B$26,MOD(VALUE(LEFT(A81,5)),4)+1))</f>
        <v>6</v>
      </c>
      <c r="F81" s="47" t="n">
        <v>3551</v>
      </c>
      <c r="G81" s="48" t="n">
        <v>179</v>
      </c>
      <c r="H81" s="48" t="n">
        <v>168</v>
      </c>
      <c r="I81" s="48" t="n">
        <v>24</v>
      </c>
      <c r="J81" s="48" t="n">
        <v>0</v>
      </c>
      <c r="K81" s="48" t="n">
        <v>46</v>
      </c>
      <c r="L81" s="48" t="n">
        <v>490</v>
      </c>
      <c r="M81" s="48" t="n">
        <v>455</v>
      </c>
      <c r="N81" s="48" t="n">
        <v>118</v>
      </c>
      <c r="O81" s="48" t="n">
        <v>73</v>
      </c>
      <c r="P81" s="48" t="n">
        <v>85</v>
      </c>
      <c r="Q81" s="48" t="n">
        <v>378</v>
      </c>
      <c r="R81" s="48" t="n">
        <v>492</v>
      </c>
      <c r="S81" s="48" t="n">
        <v>519</v>
      </c>
      <c r="T81" s="48" t="n">
        <v>166</v>
      </c>
      <c r="U81" s="48" t="n">
        <v>88</v>
      </c>
      <c r="V81" s="48" t="n">
        <v>164</v>
      </c>
      <c r="W81" s="48" t="n">
        <v>768</v>
      </c>
      <c r="X81" s="48" t="n">
        <v>158</v>
      </c>
      <c r="Y81" s="48" t="n">
        <v>141</v>
      </c>
      <c r="Z81" s="48" t="n">
        <v>38</v>
      </c>
      <c r="AA81" s="48" t="n">
        <v>61</v>
      </c>
      <c r="AB81" s="48" t="n">
        <v>92</v>
      </c>
      <c r="AC81" s="48" t="n">
        <v>564</v>
      </c>
      <c r="AD81" s="48" t="n">
        <v>126</v>
      </c>
      <c r="AE81" s="48" t="n">
        <v>186</v>
      </c>
      <c r="AF81" s="48" t="n">
        <v>434</v>
      </c>
      <c r="AG81" s="48" t="n">
        <v>100</v>
      </c>
      <c r="AH81" s="48" t="n">
        <v>212</v>
      </c>
      <c r="AI81" s="48" t="n">
        <v>112</v>
      </c>
      <c r="AJ81" s="48" t="n">
        <v>180</v>
      </c>
      <c r="AK81" s="48" t="n">
        <v>51</v>
      </c>
      <c r="AL81" s="48" t="n">
        <v>96</v>
      </c>
      <c r="AM81" s="48" t="n">
        <v>210</v>
      </c>
      <c r="AN81" s="48" t="n">
        <v>107</v>
      </c>
      <c r="AO81" s="48" t="n">
        <v>164</v>
      </c>
      <c r="AP81" s="48" t="n">
        <v>480</v>
      </c>
      <c r="AQ81" s="48" t="n">
        <v>367</v>
      </c>
      <c r="AR81" s="48" t="n">
        <v>572</v>
      </c>
      <c r="AS81" s="48" t="n">
        <v>187</v>
      </c>
      <c r="AT81" s="48" t="n">
        <v>148</v>
      </c>
      <c r="AU81" s="48" t="n">
        <v>131</v>
      </c>
      <c r="AV81" s="48" t="n">
        <v>362</v>
      </c>
      <c r="AW81" s="48" t="n">
        <v>190</v>
      </c>
      <c r="AX81" s="48" t="n">
        <v>237</v>
      </c>
      <c r="AY81" s="48" t="n">
        <v>97</v>
      </c>
      <c r="AZ81" s="48" t="n">
        <v>313</v>
      </c>
      <c r="BA81" s="48" t="n">
        <v>261</v>
      </c>
      <c r="BB81" s="48" t="n">
        <v>148</v>
      </c>
      <c r="BC81" s="48" t="n">
        <v>97</v>
      </c>
      <c r="BD81" s="48" t="n">
        <v>284</v>
      </c>
      <c r="BE81" s="48" t="n">
        <v>305</v>
      </c>
      <c r="BF81" s="48" t="n">
        <v>118</v>
      </c>
      <c r="BG81" s="49" t="n">
        <v>1.95</v>
      </c>
    </row>
    <row r="82" customFormat="false" ht="15" hidden="false" customHeight="false" outlineLevel="0" collapsed="false">
      <c r="A82" s="43" t="s">
        <v>400</v>
      </c>
      <c r="B82" s="43" t="s">
        <v>401</v>
      </c>
      <c r="C82" s="44" t="str">
        <f aca="false">IF(A82="","",IFERROR(INDEX(Assumptions!$B$41:$B$55,MATCH(TRUE(),INDEX(ISNUMBER(SEARCH(" "&amp;Assumptions!$A$41:$A$55&amp;" "," "&amp;SUBSTITUTE(SUBSTITUTE(SUBSTITUTE(SUBSTITUTE(B82,"-"," "),","," "),"/"," "),"."," ")&amp;" ")),0),0)),"Other"))</f>
        <v>Bags</v>
      </c>
      <c r="D82" s="45" t="n">
        <f aca="false">IF(A82="","",BG82*(1-Assumptions!$B$18))</f>
        <v>1.248</v>
      </c>
      <c r="E82" s="46" t="n">
        <f aca="false">IF(A82="","",INDEX(Assumptions!$B$23:$B$26,MOD(VALUE(LEFT(A82,5)),4)+1))</f>
        <v>6</v>
      </c>
      <c r="F82" s="47" t="n">
        <v>2641</v>
      </c>
      <c r="G82" s="48" t="n">
        <v>0</v>
      </c>
      <c r="H82" s="48" t="n">
        <v>0</v>
      </c>
      <c r="I82" s="48" t="n">
        <v>0</v>
      </c>
      <c r="J82" s="48" t="n">
        <v>0</v>
      </c>
      <c r="K82" s="48" t="n">
        <v>0</v>
      </c>
      <c r="L82" s="48" t="n">
        <v>0</v>
      </c>
      <c r="M82" s="48" t="n">
        <v>0</v>
      </c>
      <c r="N82" s="48" t="n">
        <v>0</v>
      </c>
      <c r="O82" s="48" t="n">
        <v>0</v>
      </c>
      <c r="P82" s="48" t="n">
        <v>0</v>
      </c>
      <c r="Q82" s="48" t="n">
        <v>0</v>
      </c>
      <c r="R82" s="48" t="n">
        <v>0</v>
      </c>
      <c r="S82" s="48" t="n">
        <v>0</v>
      </c>
      <c r="T82" s="48" t="n">
        <v>0</v>
      </c>
      <c r="U82" s="48" t="n">
        <v>0</v>
      </c>
      <c r="V82" s="48" t="n">
        <v>0</v>
      </c>
      <c r="W82" s="48" t="n">
        <v>0</v>
      </c>
      <c r="X82" s="48" t="n">
        <v>0</v>
      </c>
      <c r="Y82" s="48" t="n">
        <v>0</v>
      </c>
      <c r="Z82" s="48" t="n">
        <v>0</v>
      </c>
      <c r="AA82" s="48" t="n">
        <v>0</v>
      </c>
      <c r="AB82" s="48" t="n">
        <v>105</v>
      </c>
      <c r="AC82" s="48" t="n">
        <v>703</v>
      </c>
      <c r="AD82" s="48" t="n">
        <v>692</v>
      </c>
      <c r="AE82" s="48" t="n">
        <v>350</v>
      </c>
      <c r="AF82" s="48" t="n">
        <v>238</v>
      </c>
      <c r="AG82" s="48" t="n">
        <v>214</v>
      </c>
      <c r="AH82" s="48" t="n">
        <v>401</v>
      </c>
      <c r="AI82" s="48" t="n">
        <v>238</v>
      </c>
      <c r="AJ82" s="48" t="n">
        <v>387</v>
      </c>
      <c r="AK82" s="48" t="n">
        <v>283</v>
      </c>
      <c r="AL82" s="48" t="n">
        <v>298</v>
      </c>
      <c r="AM82" s="48" t="n">
        <v>258</v>
      </c>
      <c r="AN82" s="48" t="n">
        <v>460</v>
      </c>
      <c r="AO82" s="48" t="n">
        <v>595</v>
      </c>
      <c r="AP82" s="48" t="n">
        <v>146</v>
      </c>
      <c r="AQ82" s="48" t="n">
        <v>648</v>
      </c>
      <c r="AR82" s="48" t="n">
        <v>345</v>
      </c>
      <c r="AS82" s="48" t="n">
        <v>273</v>
      </c>
      <c r="AT82" s="48" t="n">
        <v>354</v>
      </c>
      <c r="AU82" s="48" t="n">
        <v>291</v>
      </c>
      <c r="AV82" s="48" t="n">
        <v>365</v>
      </c>
      <c r="AW82" s="48" t="n">
        <v>226</v>
      </c>
      <c r="AX82" s="48" t="n">
        <v>569</v>
      </c>
      <c r="AY82" s="48" t="n">
        <v>178</v>
      </c>
      <c r="AZ82" s="48" t="n">
        <v>146</v>
      </c>
      <c r="BA82" s="48" t="n">
        <v>111</v>
      </c>
      <c r="BB82" s="48" t="n">
        <v>189</v>
      </c>
      <c r="BC82" s="48" t="n">
        <v>407</v>
      </c>
      <c r="BD82" s="48" t="n">
        <v>438</v>
      </c>
      <c r="BE82" s="48" t="n">
        <v>313</v>
      </c>
      <c r="BF82" s="48" t="n">
        <v>341</v>
      </c>
      <c r="BG82" s="49" t="n">
        <v>2.08</v>
      </c>
    </row>
    <row r="83" customFormat="false" ht="15" hidden="false" customHeight="false" outlineLevel="0" collapsed="false">
      <c r="A83" s="43" t="s">
        <v>402</v>
      </c>
      <c r="B83" s="43" t="s">
        <v>403</v>
      </c>
      <c r="C83" s="44" t="str">
        <f aca="false">IF(A83="","",IFERROR(INDEX(Assumptions!$B$41:$B$55,MATCH(TRUE(),INDEX(ISNUMBER(SEARCH(" "&amp;Assumptions!$A$41:$A$55&amp;" "," "&amp;SUBSTITUTE(SUBSTITUTE(SUBSTITUTE(SUBSTITUTE(B83,"-"," "),","," "),"/"," "),"."," ")&amp;" ")),0),0)),"Other"))</f>
        <v>Bags</v>
      </c>
      <c r="D83" s="45" t="n">
        <f aca="false">IF(A83="","",BG83*(1-Assumptions!$B$18))</f>
        <v>0.99</v>
      </c>
      <c r="E83" s="46" t="n">
        <f aca="false">IF(A83="","",INDEX(Assumptions!$B$23:$B$26,MOD(VALUE(LEFT(A83,5)),4)+1))</f>
        <v>4</v>
      </c>
      <c r="F83" s="47" t="n">
        <v>8154</v>
      </c>
      <c r="G83" s="48" t="n">
        <v>0</v>
      </c>
      <c r="H83" s="48" t="n">
        <v>0</v>
      </c>
      <c r="I83" s="48" t="n">
        <v>0</v>
      </c>
      <c r="J83" s="48" t="n">
        <v>0</v>
      </c>
      <c r="K83" s="48" t="n">
        <v>0</v>
      </c>
      <c r="L83" s="48" t="n">
        <v>0</v>
      </c>
      <c r="M83" s="48" t="n">
        <v>0</v>
      </c>
      <c r="N83" s="48" t="n">
        <v>0</v>
      </c>
      <c r="O83" s="48" t="n">
        <v>0</v>
      </c>
      <c r="P83" s="48" t="n">
        <v>0</v>
      </c>
      <c r="Q83" s="48" t="n">
        <v>0</v>
      </c>
      <c r="R83" s="48" t="n">
        <v>0</v>
      </c>
      <c r="S83" s="48" t="n">
        <v>0</v>
      </c>
      <c r="T83" s="48" t="n">
        <v>0</v>
      </c>
      <c r="U83" s="48" t="n">
        <v>0</v>
      </c>
      <c r="V83" s="48" t="n">
        <v>0</v>
      </c>
      <c r="W83" s="48" t="n">
        <v>0</v>
      </c>
      <c r="X83" s="48" t="n">
        <v>0</v>
      </c>
      <c r="Y83" s="48" t="n">
        <v>0</v>
      </c>
      <c r="Z83" s="48" t="n">
        <v>0</v>
      </c>
      <c r="AA83" s="48" t="n">
        <v>0</v>
      </c>
      <c r="AB83" s="48" t="n">
        <v>75</v>
      </c>
      <c r="AC83" s="48" t="n">
        <v>1157</v>
      </c>
      <c r="AD83" s="48" t="n">
        <v>720</v>
      </c>
      <c r="AE83" s="48" t="n">
        <v>334</v>
      </c>
      <c r="AF83" s="48" t="n">
        <v>254</v>
      </c>
      <c r="AG83" s="48" t="n">
        <v>267</v>
      </c>
      <c r="AH83" s="48" t="n">
        <v>639</v>
      </c>
      <c r="AI83" s="48" t="n">
        <v>276</v>
      </c>
      <c r="AJ83" s="48" t="n">
        <v>315</v>
      </c>
      <c r="AK83" s="48" t="n">
        <v>313</v>
      </c>
      <c r="AL83" s="48" t="n">
        <v>289</v>
      </c>
      <c r="AM83" s="48" t="n">
        <v>781</v>
      </c>
      <c r="AN83" s="48" t="n">
        <v>600</v>
      </c>
      <c r="AO83" s="48" t="n">
        <v>240</v>
      </c>
      <c r="AP83" s="48" t="n">
        <v>586</v>
      </c>
      <c r="AQ83" s="48" t="n">
        <v>597</v>
      </c>
      <c r="AR83" s="48" t="n">
        <v>469</v>
      </c>
      <c r="AS83" s="48" t="n">
        <v>332</v>
      </c>
      <c r="AT83" s="48" t="n">
        <v>416</v>
      </c>
      <c r="AU83" s="48" t="n">
        <v>572</v>
      </c>
      <c r="AV83" s="48" t="n">
        <v>409</v>
      </c>
      <c r="AW83" s="48" t="n">
        <v>226</v>
      </c>
      <c r="AX83" s="48" t="n">
        <v>367</v>
      </c>
      <c r="AY83" s="48" t="n">
        <v>243</v>
      </c>
      <c r="AZ83" s="48" t="n">
        <v>293</v>
      </c>
      <c r="BA83" s="48" t="n">
        <v>296</v>
      </c>
      <c r="BB83" s="48" t="n">
        <v>321</v>
      </c>
      <c r="BC83" s="48" t="n">
        <v>617</v>
      </c>
      <c r="BD83" s="48" t="n">
        <v>283</v>
      </c>
      <c r="BE83" s="48" t="n">
        <v>232</v>
      </c>
      <c r="BF83" s="48" t="n">
        <v>329</v>
      </c>
      <c r="BG83" s="49" t="n">
        <v>1.65</v>
      </c>
    </row>
    <row r="84" customFormat="false" ht="15" hidden="false" customHeight="false" outlineLevel="0" collapsed="false">
      <c r="A84" s="43" t="s">
        <v>404</v>
      </c>
      <c r="B84" s="43" t="s">
        <v>405</v>
      </c>
      <c r="C84" s="44" t="str">
        <f aca="false">IF(A84="","",IFERROR(INDEX(Assumptions!$B$41:$B$55,MATCH(TRUE(),INDEX(ISNUMBER(SEARCH(" "&amp;Assumptions!$A$41:$A$55&amp;" "," "&amp;SUBSTITUTE(SUBSTITUTE(SUBSTITUTE(SUBSTITUTE(B84,"-"," "),","," "),"/"," "),"."," ")&amp;" ")),0),0)),"Other"))</f>
        <v>Other</v>
      </c>
      <c r="D84" s="45" t="n">
        <f aca="false">IF(A84="","",BG84*(1-Assumptions!$B$18))</f>
        <v>1.77</v>
      </c>
      <c r="E84" s="46" t="n">
        <f aca="false">IF(A84="","",INDEX(Assumptions!$B$23:$B$26,MOD(VALUE(LEFT(A84,5)),4)+1))</f>
        <v>6</v>
      </c>
      <c r="F84" s="47" t="n">
        <v>775</v>
      </c>
      <c r="G84" s="48" t="n">
        <v>214</v>
      </c>
      <c r="H84" s="48" t="n">
        <v>298</v>
      </c>
      <c r="I84" s="48" t="n">
        <v>73</v>
      </c>
      <c r="J84" s="48" t="n">
        <v>0</v>
      </c>
      <c r="K84" s="48" t="n">
        <v>139</v>
      </c>
      <c r="L84" s="48" t="n">
        <v>105</v>
      </c>
      <c r="M84" s="48" t="n">
        <v>64</v>
      </c>
      <c r="N84" s="48" t="n">
        <v>89</v>
      </c>
      <c r="O84" s="48" t="n">
        <v>160</v>
      </c>
      <c r="P84" s="48" t="n">
        <v>101</v>
      </c>
      <c r="Q84" s="48" t="n">
        <v>200</v>
      </c>
      <c r="R84" s="48" t="n">
        <v>120</v>
      </c>
      <c r="S84" s="48" t="n">
        <v>91</v>
      </c>
      <c r="T84" s="48" t="n">
        <v>86</v>
      </c>
      <c r="U84" s="48" t="n">
        <v>162</v>
      </c>
      <c r="V84" s="48" t="n">
        <v>165</v>
      </c>
      <c r="W84" s="48" t="n">
        <v>275</v>
      </c>
      <c r="X84" s="48" t="n">
        <v>117</v>
      </c>
      <c r="Y84" s="48" t="n">
        <v>38</v>
      </c>
      <c r="Z84" s="48" t="n">
        <v>7</v>
      </c>
      <c r="AA84" s="48" t="n">
        <v>0</v>
      </c>
      <c r="AB84" s="48" t="n">
        <v>1</v>
      </c>
      <c r="AC84" s="48" t="n">
        <v>0</v>
      </c>
      <c r="AD84" s="48" t="n">
        <v>0</v>
      </c>
      <c r="AE84" s="48" t="n">
        <v>0</v>
      </c>
      <c r="AF84" s="48" t="n">
        <v>33</v>
      </c>
      <c r="AG84" s="48" t="n">
        <v>132</v>
      </c>
      <c r="AH84" s="48" t="n">
        <v>62</v>
      </c>
      <c r="AI84" s="48" t="n">
        <v>75</v>
      </c>
      <c r="AJ84" s="48" t="n">
        <v>160</v>
      </c>
      <c r="AK84" s="48" t="n">
        <v>137</v>
      </c>
      <c r="AL84" s="48" t="n">
        <v>145</v>
      </c>
      <c r="AM84" s="48" t="n">
        <v>162</v>
      </c>
      <c r="AN84" s="48" t="n">
        <v>127</v>
      </c>
      <c r="AO84" s="48" t="n">
        <v>82</v>
      </c>
      <c r="AP84" s="48" t="n">
        <v>102</v>
      </c>
      <c r="AQ84" s="48" t="n">
        <v>79</v>
      </c>
      <c r="AR84" s="48" t="n">
        <v>265</v>
      </c>
      <c r="AS84" s="48" t="n">
        <v>158</v>
      </c>
      <c r="AT84" s="48" t="n">
        <v>165</v>
      </c>
      <c r="AU84" s="48" t="n">
        <v>211</v>
      </c>
      <c r="AV84" s="48" t="n">
        <v>130</v>
      </c>
      <c r="AW84" s="48" t="n">
        <v>190</v>
      </c>
      <c r="AX84" s="48" t="n">
        <v>68</v>
      </c>
      <c r="AY84" s="48" t="n">
        <v>193</v>
      </c>
      <c r="AZ84" s="48" t="n">
        <v>154</v>
      </c>
      <c r="BA84" s="48" t="n">
        <v>137</v>
      </c>
      <c r="BB84" s="48" t="n">
        <v>270</v>
      </c>
      <c r="BC84" s="48" t="n">
        <v>141</v>
      </c>
      <c r="BD84" s="48" t="n">
        <v>247</v>
      </c>
      <c r="BE84" s="48" t="n">
        <v>304</v>
      </c>
      <c r="BF84" s="48" t="n">
        <v>281</v>
      </c>
      <c r="BG84" s="49" t="n">
        <v>2.95</v>
      </c>
    </row>
    <row r="85" customFormat="false" ht="15" hidden="false" customHeight="false" outlineLevel="0" collapsed="false">
      <c r="A85" s="43" t="s">
        <v>406</v>
      </c>
      <c r="B85" s="43" t="s">
        <v>407</v>
      </c>
      <c r="C85" s="44" t="str">
        <f aca="false">IF(A85="","",IFERROR(INDEX(Assumptions!$B$41:$B$55,MATCH(TRUE(),INDEX(ISNUMBER(SEARCH(" "&amp;Assumptions!$A$41:$A$55&amp;" "," "&amp;SUBSTITUTE(SUBSTITUTE(SUBSTITUTE(SUBSTITUTE(B85,"-"," "),","," "),"/"," "),"."," ")&amp;" ")),0),0)),"Other"))</f>
        <v>Bags</v>
      </c>
      <c r="D85" s="45" t="n">
        <f aca="false">IF(A85="","",BG85*(1-Assumptions!$B$18))</f>
        <v>0.51</v>
      </c>
      <c r="E85" s="46" t="n">
        <f aca="false">IF(A85="","",INDEX(Assumptions!$B$23:$B$26,MOD(VALUE(LEFT(A85,5)),4)+1))</f>
        <v>2</v>
      </c>
      <c r="F85" s="47" t="n">
        <v>5258</v>
      </c>
      <c r="G85" s="48" t="n">
        <v>284</v>
      </c>
      <c r="H85" s="48" t="n">
        <v>210</v>
      </c>
      <c r="I85" s="48" t="n">
        <v>171</v>
      </c>
      <c r="J85" s="48" t="n">
        <v>0</v>
      </c>
      <c r="K85" s="48" t="n">
        <v>278</v>
      </c>
      <c r="L85" s="48" t="n">
        <v>385</v>
      </c>
      <c r="M85" s="48" t="n">
        <v>126</v>
      </c>
      <c r="N85" s="48" t="n">
        <v>142</v>
      </c>
      <c r="O85" s="48" t="n">
        <v>311</v>
      </c>
      <c r="P85" s="48" t="n">
        <v>217</v>
      </c>
      <c r="Q85" s="48" t="n">
        <v>197</v>
      </c>
      <c r="R85" s="48" t="n">
        <v>426</v>
      </c>
      <c r="S85" s="48" t="n">
        <v>223</v>
      </c>
      <c r="T85" s="48" t="n">
        <v>326</v>
      </c>
      <c r="U85" s="48" t="n">
        <v>182</v>
      </c>
      <c r="V85" s="48" t="n">
        <v>364</v>
      </c>
      <c r="W85" s="48" t="n">
        <v>502</v>
      </c>
      <c r="X85" s="48" t="n">
        <v>178</v>
      </c>
      <c r="Y85" s="48" t="n">
        <v>271</v>
      </c>
      <c r="Z85" s="48" t="n">
        <v>194</v>
      </c>
      <c r="AA85" s="48" t="n">
        <v>225</v>
      </c>
      <c r="AB85" s="48" t="n">
        <v>171</v>
      </c>
      <c r="AC85" s="48" t="n">
        <v>610</v>
      </c>
      <c r="AD85" s="48" t="n">
        <v>202</v>
      </c>
      <c r="AE85" s="48" t="n">
        <v>186</v>
      </c>
      <c r="AF85" s="48" t="n">
        <v>244</v>
      </c>
      <c r="AG85" s="48" t="n">
        <v>554</v>
      </c>
      <c r="AH85" s="48" t="n">
        <v>159</v>
      </c>
      <c r="AI85" s="48" t="n">
        <v>358</v>
      </c>
      <c r="AJ85" s="48" t="n">
        <v>598</v>
      </c>
      <c r="AK85" s="48" t="n">
        <v>245</v>
      </c>
      <c r="AL85" s="48" t="n">
        <v>136</v>
      </c>
      <c r="AM85" s="48" t="n">
        <v>339</v>
      </c>
      <c r="AN85" s="48" t="n">
        <v>286</v>
      </c>
      <c r="AO85" s="48" t="n">
        <v>505</v>
      </c>
      <c r="AP85" s="48" t="n">
        <v>425</v>
      </c>
      <c r="AQ85" s="48" t="n">
        <v>331</v>
      </c>
      <c r="AR85" s="48" t="n">
        <v>562</v>
      </c>
      <c r="AS85" s="48" t="n">
        <v>120</v>
      </c>
      <c r="AT85" s="48" t="n">
        <v>580</v>
      </c>
      <c r="AU85" s="48" t="n">
        <v>355</v>
      </c>
      <c r="AV85" s="48" t="n">
        <v>614</v>
      </c>
      <c r="AW85" s="48" t="n">
        <v>236</v>
      </c>
      <c r="AX85" s="48" t="n">
        <v>332</v>
      </c>
      <c r="AY85" s="48" t="n">
        <v>313</v>
      </c>
      <c r="AZ85" s="48" t="n">
        <v>447</v>
      </c>
      <c r="BA85" s="48" t="n">
        <v>416</v>
      </c>
      <c r="BB85" s="48" t="n">
        <v>260</v>
      </c>
      <c r="BC85" s="48" t="n">
        <v>552</v>
      </c>
      <c r="BD85" s="48" t="n">
        <v>455</v>
      </c>
      <c r="BE85" s="48" t="n">
        <v>735</v>
      </c>
      <c r="BF85" s="48" t="n">
        <v>550</v>
      </c>
      <c r="BG85" s="49" t="n">
        <v>0.85</v>
      </c>
    </row>
    <row r="86" customFormat="false" ht="15" hidden="false" customHeight="false" outlineLevel="0" collapsed="false">
      <c r="A86" s="43" t="s">
        <v>408</v>
      </c>
      <c r="B86" s="43" t="s">
        <v>409</v>
      </c>
      <c r="C86" s="44" t="str">
        <f aca="false">IF(A86="","",IFERROR(INDEX(Assumptions!$B$41:$B$55,MATCH(TRUE(),INDEX(ISNUMBER(SEARCH(" "&amp;Assumptions!$A$41:$A$55&amp;" "," "&amp;SUBSTITUTE(SUBSTITUTE(SUBSTITUTE(SUBSTITUTE(B86,"-"," "),","," "),"/"," "),"."," ")&amp;" ")),0),0)),"Other"))</f>
        <v>Other</v>
      </c>
      <c r="D86" s="45" t="n">
        <f aca="false">IF(A86="","",BG86*(1-Assumptions!$B$18))</f>
        <v>4.77</v>
      </c>
      <c r="E86" s="46" t="n">
        <f aca="false">IF(A86="","",INDEX(Assumptions!$B$23:$B$26,MOD(VALUE(LEFT(A86,5)),4)+1))</f>
        <v>8</v>
      </c>
      <c r="F86" s="47" t="n">
        <v>181</v>
      </c>
      <c r="G86" s="48" t="n">
        <v>69</v>
      </c>
      <c r="H86" s="48" t="n">
        <v>60</v>
      </c>
      <c r="I86" s="48" t="n">
        <v>8</v>
      </c>
      <c r="J86" s="48" t="n">
        <v>0</v>
      </c>
      <c r="K86" s="48" t="n">
        <v>20</v>
      </c>
      <c r="L86" s="48" t="n">
        <v>32</v>
      </c>
      <c r="M86" s="48" t="n">
        <v>19</v>
      </c>
      <c r="N86" s="48" t="n">
        <v>73</v>
      </c>
      <c r="O86" s="48" t="n">
        <v>7</v>
      </c>
      <c r="P86" s="48" t="n">
        <v>54</v>
      </c>
      <c r="Q86" s="48" t="n">
        <v>32</v>
      </c>
      <c r="R86" s="48" t="n">
        <v>25</v>
      </c>
      <c r="S86" s="48" t="n">
        <v>27</v>
      </c>
      <c r="T86" s="48" t="n">
        <v>82</v>
      </c>
      <c r="U86" s="48" t="n">
        <v>34</v>
      </c>
      <c r="V86" s="48" t="n">
        <v>6</v>
      </c>
      <c r="W86" s="48" t="n">
        <v>28</v>
      </c>
      <c r="X86" s="48" t="n">
        <v>16</v>
      </c>
      <c r="Y86" s="48" t="n">
        <v>36</v>
      </c>
      <c r="Z86" s="48" t="n">
        <v>6</v>
      </c>
      <c r="AA86" s="48" t="n">
        <v>8</v>
      </c>
      <c r="AB86" s="48" t="n">
        <v>72</v>
      </c>
      <c r="AC86" s="48" t="n">
        <v>46</v>
      </c>
      <c r="AD86" s="48" t="n">
        <v>122</v>
      </c>
      <c r="AE86" s="48" t="n">
        <v>15</v>
      </c>
      <c r="AF86" s="48" t="n">
        <v>5</v>
      </c>
      <c r="AG86" s="48" t="n">
        <v>533</v>
      </c>
      <c r="AH86" s="48" t="n">
        <v>5</v>
      </c>
      <c r="AI86" s="48" t="n">
        <v>7</v>
      </c>
      <c r="AJ86" s="48" t="n">
        <v>38</v>
      </c>
      <c r="AK86" s="48" t="n">
        <v>534</v>
      </c>
      <c r="AL86" s="48" t="n">
        <v>19</v>
      </c>
      <c r="AM86" s="48" t="n">
        <v>107</v>
      </c>
      <c r="AN86" s="48" t="n">
        <v>10</v>
      </c>
      <c r="AO86" s="48" t="n">
        <v>25</v>
      </c>
      <c r="AP86" s="48" t="n">
        <v>41</v>
      </c>
      <c r="AQ86" s="48" t="n">
        <v>53</v>
      </c>
      <c r="AR86" s="48" t="n">
        <v>14</v>
      </c>
      <c r="AS86" s="48" t="n">
        <v>18</v>
      </c>
      <c r="AT86" s="48" t="n">
        <v>94</v>
      </c>
      <c r="AU86" s="48" t="n">
        <v>236</v>
      </c>
      <c r="AV86" s="48" t="n">
        <v>24</v>
      </c>
      <c r="AW86" s="48" t="n">
        <v>103</v>
      </c>
      <c r="AX86" s="48" t="n">
        <v>23</v>
      </c>
      <c r="AY86" s="48" t="n">
        <v>58</v>
      </c>
      <c r="AZ86" s="48" t="n">
        <v>18</v>
      </c>
      <c r="BA86" s="48" t="n">
        <v>37</v>
      </c>
      <c r="BB86" s="48" t="n">
        <v>28</v>
      </c>
      <c r="BC86" s="48" t="n">
        <v>39</v>
      </c>
      <c r="BD86" s="48" t="n">
        <v>46</v>
      </c>
      <c r="BE86" s="48" t="n">
        <v>104</v>
      </c>
      <c r="BF86" s="48" t="n">
        <v>19</v>
      </c>
      <c r="BG86" s="49" t="n">
        <v>7.95</v>
      </c>
    </row>
    <row r="87" customFormat="false" ht="15" hidden="false" customHeight="false" outlineLevel="0" collapsed="false">
      <c r="A87" s="43" t="s">
        <v>410</v>
      </c>
      <c r="B87" s="43" t="s">
        <v>411</v>
      </c>
      <c r="C87" s="44" t="str">
        <f aca="false">IF(A87="","",IFERROR(INDEX(Assumptions!$B$41:$B$55,MATCH(TRUE(),INDEX(ISNUMBER(SEARCH(" "&amp;Assumptions!$A$41:$A$55&amp;" "," "&amp;SUBSTITUTE(SUBSTITUTE(SUBSTITUTE(SUBSTITUTE(B87,"-"," "),","," "),"/"," "),"."," ")&amp;" ")),0),0)),"Other"))</f>
        <v>Bags</v>
      </c>
      <c r="D87" s="45" t="n">
        <f aca="false">IF(A87="","",BG87*(1-Assumptions!$B$18))</f>
        <v>0.99</v>
      </c>
      <c r="E87" s="46" t="n">
        <f aca="false">IF(A87="","",INDEX(Assumptions!$B$23:$B$26,MOD(VALUE(LEFT(A87,5)),4)+1))</f>
        <v>6</v>
      </c>
      <c r="F87" s="47" t="n">
        <v>11368</v>
      </c>
      <c r="G87" s="48" t="n">
        <v>0</v>
      </c>
      <c r="H87" s="48" t="n">
        <v>0</v>
      </c>
      <c r="I87" s="48" t="n">
        <v>0</v>
      </c>
      <c r="J87" s="48" t="n">
        <v>0</v>
      </c>
      <c r="K87" s="48" t="n">
        <v>0</v>
      </c>
      <c r="L87" s="48" t="n">
        <v>0</v>
      </c>
      <c r="M87" s="48" t="n">
        <v>0</v>
      </c>
      <c r="N87" s="48" t="n">
        <v>0</v>
      </c>
      <c r="O87" s="48" t="n">
        <v>0</v>
      </c>
      <c r="P87" s="48" t="n">
        <v>0</v>
      </c>
      <c r="Q87" s="48" t="n">
        <v>0</v>
      </c>
      <c r="R87" s="48" t="n">
        <v>0</v>
      </c>
      <c r="S87" s="48" t="n">
        <v>0</v>
      </c>
      <c r="T87" s="48" t="n">
        <v>0</v>
      </c>
      <c r="U87" s="48" t="n">
        <v>0</v>
      </c>
      <c r="V87" s="48" t="n">
        <v>0</v>
      </c>
      <c r="W87" s="48" t="n">
        <v>0</v>
      </c>
      <c r="X87" s="48" t="n">
        <v>0</v>
      </c>
      <c r="Y87" s="48" t="n">
        <v>860</v>
      </c>
      <c r="Z87" s="48" t="n">
        <v>304</v>
      </c>
      <c r="AA87" s="48" t="n">
        <v>230</v>
      </c>
      <c r="AB87" s="48" t="n">
        <v>240</v>
      </c>
      <c r="AC87" s="48" t="n">
        <v>674</v>
      </c>
      <c r="AD87" s="48" t="n">
        <v>518</v>
      </c>
      <c r="AE87" s="48" t="n">
        <v>513</v>
      </c>
      <c r="AF87" s="48" t="n">
        <v>204</v>
      </c>
      <c r="AG87" s="48" t="n">
        <v>248</v>
      </c>
      <c r="AH87" s="48" t="n">
        <v>417</v>
      </c>
      <c r="AI87" s="48" t="n">
        <v>349</v>
      </c>
      <c r="AJ87" s="48" t="n">
        <v>600</v>
      </c>
      <c r="AK87" s="48" t="n">
        <v>206</v>
      </c>
      <c r="AL87" s="48" t="n">
        <v>222</v>
      </c>
      <c r="AM87" s="48" t="n">
        <v>779</v>
      </c>
      <c r="AN87" s="48" t="n">
        <v>498</v>
      </c>
      <c r="AO87" s="48" t="n">
        <v>332</v>
      </c>
      <c r="AP87" s="48" t="n">
        <v>355</v>
      </c>
      <c r="AQ87" s="48" t="n">
        <v>449</v>
      </c>
      <c r="AR87" s="48" t="n">
        <v>337</v>
      </c>
      <c r="AS87" s="48" t="n">
        <v>202</v>
      </c>
      <c r="AT87" s="48" t="n">
        <v>401</v>
      </c>
      <c r="AU87" s="48" t="n">
        <v>262</v>
      </c>
      <c r="AV87" s="48" t="n">
        <v>247</v>
      </c>
      <c r="AW87" s="48" t="n">
        <v>154</v>
      </c>
      <c r="AX87" s="48" t="n">
        <v>553</v>
      </c>
      <c r="AY87" s="48" t="n">
        <v>238</v>
      </c>
      <c r="AZ87" s="48" t="n">
        <v>182</v>
      </c>
      <c r="BA87" s="48" t="n">
        <v>135</v>
      </c>
      <c r="BB87" s="48" t="n">
        <v>182</v>
      </c>
      <c r="BC87" s="48" t="n">
        <v>382</v>
      </c>
      <c r="BD87" s="48" t="n">
        <v>408</v>
      </c>
      <c r="BE87" s="48" t="n">
        <v>193</v>
      </c>
      <c r="BF87" s="48" t="n">
        <v>190</v>
      </c>
      <c r="BG87" s="49" t="n">
        <v>1.65</v>
      </c>
    </row>
    <row r="88" customFormat="false" ht="15" hidden="false" customHeight="false" outlineLevel="0" collapsed="false">
      <c r="A88" s="43" t="s">
        <v>412</v>
      </c>
      <c r="B88" s="43" t="s">
        <v>413</v>
      </c>
      <c r="C88" s="44" t="str">
        <f aca="false">IF(A88="","",IFERROR(INDEX(Assumptions!$B$41:$B$55,MATCH(TRUE(),INDEX(ISNUMBER(SEARCH(" "&amp;Assumptions!$A$41:$A$55&amp;" "," "&amp;SUBSTITUTE(SUBSTITUTE(SUBSTITUTE(SUBSTITUTE(B88,"-"," "),","," "),"/"," "),"."," ")&amp;" ")),0),0)),"Other"))</f>
        <v>Bags</v>
      </c>
      <c r="D88" s="45" t="n">
        <f aca="false">IF(A88="","",BG88*(1-Assumptions!$B$18))</f>
        <v>1.248</v>
      </c>
      <c r="E88" s="46" t="n">
        <f aca="false">IF(A88="","",INDEX(Assumptions!$B$23:$B$26,MOD(VALUE(LEFT(A88,5)),4)+1))</f>
        <v>2</v>
      </c>
      <c r="F88" s="47" t="n">
        <v>6976</v>
      </c>
      <c r="G88" s="48" t="n">
        <v>373</v>
      </c>
      <c r="H88" s="48" t="n">
        <v>133</v>
      </c>
      <c r="I88" s="48" t="n">
        <v>19</v>
      </c>
      <c r="J88" s="48" t="n">
        <v>0</v>
      </c>
      <c r="K88" s="48" t="n">
        <v>151</v>
      </c>
      <c r="L88" s="48" t="n">
        <v>61</v>
      </c>
      <c r="M88" s="48" t="n">
        <v>314</v>
      </c>
      <c r="N88" s="48" t="n">
        <v>105</v>
      </c>
      <c r="O88" s="48" t="n">
        <v>182</v>
      </c>
      <c r="P88" s="48" t="n">
        <v>89</v>
      </c>
      <c r="Q88" s="48" t="n">
        <v>337</v>
      </c>
      <c r="R88" s="48" t="n">
        <v>95</v>
      </c>
      <c r="S88" s="48" t="n">
        <v>53</v>
      </c>
      <c r="T88" s="48" t="n">
        <v>189</v>
      </c>
      <c r="U88" s="48" t="n">
        <v>735</v>
      </c>
      <c r="V88" s="48" t="n">
        <v>294</v>
      </c>
      <c r="W88" s="48" t="n">
        <v>386</v>
      </c>
      <c r="X88" s="48" t="n">
        <v>91</v>
      </c>
      <c r="Y88" s="48" t="n">
        <v>78</v>
      </c>
      <c r="Z88" s="48" t="n">
        <v>271</v>
      </c>
      <c r="AA88" s="48" t="n">
        <v>205</v>
      </c>
      <c r="AB88" s="48" t="n">
        <v>138</v>
      </c>
      <c r="AC88" s="48" t="n">
        <v>259</v>
      </c>
      <c r="AD88" s="48" t="n">
        <v>355</v>
      </c>
      <c r="AE88" s="48" t="n">
        <v>183</v>
      </c>
      <c r="AF88" s="48" t="n">
        <v>133</v>
      </c>
      <c r="AG88" s="48" t="n">
        <v>174</v>
      </c>
      <c r="AH88" s="48" t="n">
        <v>77</v>
      </c>
      <c r="AI88" s="48" t="n">
        <v>383</v>
      </c>
      <c r="AJ88" s="48" t="n">
        <v>52</v>
      </c>
      <c r="AK88" s="48" t="n">
        <v>94</v>
      </c>
      <c r="AL88" s="48" t="n">
        <v>30</v>
      </c>
      <c r="AM88" s="48" t="n">
        <v>161</v>
      </c>
      <c r="AN88" s="48" t="n">
        <v>245</v>
      </c>
      <c r="AO88" s="48" t="n">
        <v>171</v>
      </c>
      <c r="AP88" s="48" t="n">
        <v>264</v>
      </c>
      <c r="AQ88" s="48" t="n">
        <v>288</v>
      </c>
      <c r="AR88" s="48" t="n">
        <v>345</v>
      </c>
      <c r="AS88" s="48" t="n">
        <v>185</v>
      </c>
      <c r="AT88" s="48" t="n">
        <v>128</v>
      </c>
      <c r="AU88" s="48" t="n">
        <v>202</v>
      </c>
      <c r="AV88" s="48" t="n">
        <v>221</v>
      </c>
      <c r="AW88" s="48" t="n">
        <v>349</v>
      </c>
      <c r="AX88" s="48" t="n">
        <v>186</v>
      </c>
      <c r="AY88" s="48" t="n">
        <v>79</v>
      </c>
      <c r="AZ88" s="48" t="n">
        <v>173</v>
      </c>
      <c r="BA88" s="48" t="n">
        <v>125</v>
      </c>
      <c r="BB88" s="48" t="n">
        <v>207</v>
      </c>
      <c r="BC88" s="48" t="n">
        <v>313</v>
      </c>
      <c r="BD88" s="48" t="n">
        <v>99</v>
      </c>
      <c r="BE88" s="48" t="n">
        <v>81</v>
      </c>
      <c r="BF88" s="48" t="n">
        <v>216</v>
      </c>
      <c r="BG88" s="49" t="n">
        <v>2.08</v>
      </c>
    </row>
    <row r="89" customFormat="false" ht="15" hidden="false" customHeight="false" outlineLevel="0" collapsed="false">
      <c r="A89" s="43" t="s">
        <v>414</v>
      </c>
      <c r="B89" s="43" t="s">
        <v>415</v>
      </c>
      <c r="C89" s="44" t="str">
        <f aca="false">IF(A89="","",IFERROR(INDEX(Assumptions!$B$41:$B$55,MATCH(TRUE(),INDEX(ISNUMBER(SEARCH(" "&amp;Assumptions!$A$41:$A$55&amp;" "," "&amp;SUBSTITUTE(SUBSTITUTE(SUBSTITUTE(SUBSTITUTE(B89,"-"," "),","," "),"/"," "),"."," ")&amp;" ")),0),0)),"Other"))</f>
        <v>Kitchen</v>
      </c>
      <c r="D89" s="45" t="n">
        <f aca="false">IF(A89="","",BG89*(1-Assumptions!$B$18))</f>
        <v>0.33</v>
      </c>
      <c r="E89" s="46" t="n">
        <f aca="false">IF(A89="","",INDEX(Assumptions!$B$23:$B$26,MOD(VALUE(LEFT(A89,5)),4)+1))</f>
        <v>2</v>
      </c>
      <c r="F89" s="47" t="n">
        <v>29766</v>
      </c>
      <c r="G89" s="48" t="n">
        <v>1104</v>
      </c>
      <c r="H89" s="48" t="n">
        <v>664</v>
      </c>
      <c r="I89" s="48" t="n">
        <v>1363</v>
      </c>
      <c r="J89" s="48" t="n">
        <v>0</v>
      </c>
      <c r="K89" s="48" t="n">
        <v>324</v>
      </c>
      <c r="L89" s="48" t="n">
        <v>619</v>
      </c>
      <c r="M89" s="48" t="n">
        <v>1753</v>
      </c>
      <c r="N89" s="48" t="n">
        <v>557</v>
      </c>
      <c r="O89" s="48" t="n">
        <v>558</v>
      </c>
      <c r="P89" s="48" t="n">
        <v>347</v>
      </c>
      <c r="Q89" s="48" t="n">
        <v>526</v>
      </c>
      <c r="R89" s="48" t="n">
        <v>718</v>
      </c>
      <c r="S89" s="48" t="n">
        <v>689</v>
      </c>
      <c r="T89" s="48" t="n">
        <v>814</v>
      </c>
      <c r="U89" s="48" t="n">
        <v>1303</v>
      </c>
      <c r="V89" s="48" t="n">
        <v>527</v>
      </c>
      <c r="W89" s="48" t="n">
        <v>785</v>
      </c>
      <c r="X89" s="48" t="n">
        <v>669</v>
      </c>
      <c r="Y89" s="48" t="n">
        <v>600</v>
      </c>
      <c r="Z89" s="48" t="n">
        <v>1421</v>
      </c>
      <c r="AA89" s="48" t="n">
        <v>315</v>
      </c>
      <c r="AB89" s="48" t="n">
        <v>788</v>
      </c>
      <c r="AC89" s="48" t="n">
        <v>1647</v>
      </c>
      <c r="AD89" s="48" t="n">
        <v>599</v>
      </c>
      <c r="AE89" s="48" t="n">
        <v>360</v>
      </c>
      <c r="AF89" s="48" t="n">
        <v>229</v>
      </c>
      <c r="AG89" s="48" t="n">
        <v>619</v>
      </c>
      <c r="AH89" s="48" t="n">
        <v>856</v>
      </c>
      <c r="AI89" s="48" t="n">
        <v>181</v>
      </c>
      <c r="AJ89" s="48" t="n">
        <v>123</v>
      </c>
      <c r="AK89" s="48" t="n">
        <v>1112</v>
      </c>
      <c r="AL89" s="48" t="n">
        <v>253</v>
      </c>
      <c r="AM89" s="48" t="n">
        <v>335</v>
      </c>
      <c r="AN89" s="48" t="n">
        <v>1083</v>
      </c>
      <c r="AO89" s="48" t="n">
        <v>445</v>
      </c>
      <c r="AP89" s="48" t="n">
        <v>335</v>
      </c>
      <c r="AQ89" s="48" t="n">
        <v>1650</v>
      </c>
      <c r="AR89" s="48" t="n">
        <v>508</v>
      </c>
      <c r="AS89" s="48" t="n">
        <v>459</v>
      </c>
      <c r="AT89" s="48" t="n">
        <v>712</v>
      </c>
      <c r="AU89" s="48" t="n">
        <v>955</v>
      </c>
      <c r="AV89" s="48" t="n">
        <v>1028</v>
      </c>
      <c r="AW89" s="48" t="n">
        <v>359</v>
      </c>
      <c r="AX89" s="48" t="n">
        <v>477</v>
      </c>
      <c r="AY89" s="48" t="n">
        <v>499</v>
      </c>
      <c r="AZ89" s="48" t="n">
        <v>507</v>
      </c>
      <c r="BA89" s="48" t="n">
        <v>521</v>
      </c>
      <c r="BB89" s="48" t="n">
        <v>1042</v>
      </c>
      <c r="BC89" s="48" t="n">
        <v>362</v>
      </c>
      <c r="BD89" s="48" t="n">
        <v>590</v>
      </c>
      <c r="BE89" s="48" t="n">
        <v>342</v>
      </c>
      <c r="BF89" s="48" t="n">
        <v>546</v>
      </c>
      <c r="BG89" s="49" t="n">
        <v>0.55</v>
      </c>
    </row>
    <row r="90" customFormat="false" ht="15" hidden="false" customHeight="false" outlineLevel="0" collapsed="false">
      <c r="A90" s="43" t="s">
        <v>416</v>
      </c>
      <c r="B90" s="43" t="s">
        <v>417</v>
      </c>
      <c r="C90" s="44" t="str">
        <f aca="false">IF(A90="","",IFERROR(INDEX(Assumptions!$B$41:$B$55,MATCH(TRUE(),INDEX(ISNUMBER(SEARCH(" "&amp;Assumptions!$A$41:$A$55&amp;" "," "&amp;SUBSTITUTE(SUBSTITUTE(SUBSTITUTE(SUBSTITUTE(B90,"-"," "),","," "),"/"," "),"."," ")&amp;" ")),0),0)),"Other"))</f>
        <v>Kitchen</v>
      </c>
      <c r="D90" s="45" t="n">
        <f aca="false">IF(A90="","",BG90*(1-Assumptions!$B$18))</f>
        <v>6.57</v>
      </c>
      <c r="E90" s="46" t="n">
        <f aca="false">IF(A90="","",INDEX(Assumptions!$B$23:$B$26,MOD(VALUE(LEFT(A90,5)),4)+1))</f>
        <v>8</v>
      </c>
      <c r="F90" s="47" t="n">
        <v>295</v>
      </c>
      <c r="G90" s="48" t="n">
        <v>106</v>
      </c>
      <c r="H90" s="48" t="n">
        <v>51</v>
      </c>
      <c r="I90" s="48" t="n">
        <v>10</v>
      </c>
      <c r="J90" s="48" t="n">
        <v>0</v>
      </c>
      <c r="K90" s="48" t="n">
        <v>24</v>
      </c>
      <c r="L90" s="48" t="n">
        <v>25</v>
      </c>
      <c r="M90" s="48" t="n">
        <v>22</v>
      </c>
      <c r="N90" s="48" t="n">
        <v>28</v>
      </c>
      <c r="O90" s="48" t="n">
        <v>15</v>
      </c>
      <c r="P90" s="48" t="n">
        <v>41</v>
      </c>
      <c r="Q90" s="48" t="n">
        <v>13</v>
      </c>
      <c r="R90" s="48" t="n">
        <v>42</v>
      </c>
      <c r="S90" s="48" t="n">
        <v>38</v>
      </c>
      <c r="T90" s="48" t="n">
        <v>13</v>
      </c>
      <c r="U90" s="48" t="n">
        <v>35</v>
      </c>
      <c r="V90" s="48" t="n">
        <v>31</v>
      </c>
      <c r="W90" s="48" t="n">
        <v>74</v>
      </c>
      <c r="X90" s="48" t="n">
        <v>21</v>
      </c>
      <c r="Y90" s="48" t="n">
        <v>25</v>
      </c>
      <c r="Z90" s="48" t="n">
        <v>14</v>
      </c>
      <c r="AA90" s="48" t="n">
        <v>9</v>
      </c>
      <c r="AB90" s="48" t="n">
        <v>23</v>
      </c>
      <c r="AC90" s="48" t="n">
        <v>27</v>
      </c>
      <c r="AD90" s="48" t="n">
        <v>48</v>
      </c>
      <c r="AE90" s="48" t="n">
        <v>15</v>
      </c>
      <c r="AF90" s="48" t="n">
        <v>23</v>
      </c>
      <c r="AG90" s="48" t="n">
        <v>8</v>
      </c>
      <c r="AH90" s="48" t="n">
        <v>46</v>
      </c>
      <c r="AI90" s="48" t="n">
        <v>17</v>
      </c>
      <c r="AJ90" s="48" t="n">
        <v>16</v>
      </c>
      <c r="AK90" s="48" t="n">
        <v>8</v>
      </c>
      <c r="AL90" s="48" t="n">
        <v>7</v>
      </c>
      <c r="AM90" s="48" t="n">
        <v>15</v>
      </c>
      <c r="AN90" s="48" t="n">
        <v>225</v>
      </c>
      <c r="AO90" s="48" t="n">
        <v>42</v>
      </c>
      <c r="AP90" s="48" t="n">
        <v>32</v>
      </c>
      <c r="AQ90" s="48" t="n">
        <v>43</v>
      </c>
      <c r="AR90" s="48" t="n">
        <v>18</v>
      </c>
      <c r="AS90" s="48" t="n">
        <v>17</v>
      </c>
      <c r="AT90" s="48" t="n">
        <v>5</v>
      </c>
      <c r="AU90" s="48" t="n">
        <v>29</v>
      </c>
      <c r="AV90" s="48" t="n">
        <v>40</v>
      </c>
      <c r="AW90" s="48" t="n">
        <v>10</v>
      </c>
      <c r="AX90" s="48" t="n">
        <v>32</v>
      </c>
      <c r="AY90" s="48" t="n">
        <v>33</v>
      </c>
      <c r="AZ90" s="48" t="n">
        <v>17</v>
      </c>
      <c r="BA90" s="48" t="n">
        <v>16</v>
      </c>
      <c r="BB90" s="48" t="n">
        <v>48</v>
      </c>
      <c r="BC90" s="48" t="n">
        <v>56</v>
      </c>
      <c r="BD90" s="48" t="n">
        <v>139</v>
      </c>
      <c r="BE90" s="48" t="n">
        <v>182</v>
      </c>
      <c r="BF90" s="48" t="n">
        <v>43</v>
      </c>
      <c r="BG90" s="49" t="n">
        <v>10.95</v>
      </c>
    </row>
    <row r="91" customFormat="false" ht="15" hidden="false" customHeight="false" outlineLevel="0" collapsed="false">
      <c r="A91" s="43" t="s">
        <v>418</v>
      </c>
      <c r="B91" s="43" t="s">
        <v>419</v>
      </c>
      <c r="C91" s="44" t="str">
        <f aca="false">IF(A91="","",IFERROR(INDEX(Assumptions!$B$41:$B$55,MATCH(TRUE(),INDEX(ISNUMBER(SEARCH(" "&amp;Assumptions!$A$41:$A$55&amp;" "," "&amp;SUBSTITUTE(SUBSTITUTE(SUBSTITUTE(SUBSTITUTE(B91,"-"," "),","," "),"/"," "),"."," ")&amp;" ")),0),0)),"Other"))</f>
        <v>Other</v>
      </c>
      <c r="D91" s="45" t="n">
        <f aca="false">IF(A91="","",BG91*(1-Assumptions!$B$18))</f>
        <v>1.248</v>
      </c>
      <c r="E91" s="46" t="n">
        <f aca="false">IF(A91="","",INDEX(Assumptions!$B$23:$B$26,MOD(VALUE(LEFT(A91,5)),4)+1))</f>
        <v>6</v>
      </c>
      <c r="F91" s="47" t="n">
        <v>7978</v>
      </c>
      <c r="G91" s="48" t="n">
        <v>241</v>
      </c>
      <c r="H91" s="48" t="n">
        <v>285</v>
      </c>
      <c r="I91" s="48" t="n">
        <v>36</v>
      </c>
      <c r="J91" s="48" t="n">
        <v>0</v>
      </c>
      <c r="K91" s="48" t="n">
        <v>151</v>
      </c>
      <c r="L91" s="48" t="n">
        <v>82</v>
      </c>
      <c r="M91" s="48" t="n">
        <v>91</v>
      </c>
      <c r="N91" s="48" t="n">
        <v>65</v>
      </c>
      <c r="O91" s="48" t="n">
        <v>85</v>
      </c>
      <c r="P91" s="48" t="n">
        <v>63</v>
      </c>
      <c r="Q91" s="48" t="n">
        <v>86</v>
      </c>
      <c r="R91" s="48" t="n">
        <v>202</v>
      </c>
      <c r="S91" s="48" t="n">
        <v>104</v>
      </c>
      <c r="T91" s="48" t="n">
        <v>260</v>
      </c>
      <c r="U91" s="48" t="n">
        <v>244</v>
      </c>
      <c r="V91" s="48" t="n">
        <v>124</v>
      </c>
      <c r="W91" s="48" t="n">
        <v>118</v>
      </c>
      <c r="X91" s="48" t="n">
        <v>221</v>
      </c>
      <c r="Y91" s="48" t="n">
        <v>382</v>
      </c>
      <c r="Z91" s="48" t="n">
        <v>44</v>
      </c>
      <c r="AA91" s="48" t="n">
        <v>104</v>
      </c>
      <c r="AB91" s="48" t="n">
        <v>249</v>
      </c>
      <c r="AC91" s="48" t="n">
        <v>320</v>
      </c>
      <c r="AD91" s="48" t="n">
        <v>312</v>
      </c>
      <c r="AE91" s="48" t="n">
        <v>117</v>
      </c>
      <c r="AF91" s="48" t="n">
        <v>83</v>
      </c>
      <c r="AG91" s="48" t="n">
        <v>127</v>
      </c>
      <c r="AH91" s="48" t="n">
        <v>285</v>
      </c>
      <c r="AI91" s="48" t="n">
        <v>61</v>
      </c>
      <c r="AJ91" s="48" t="n">
        <v>116</v>
      </c>
      <c r="AK91" s="48" t="n">
        <v>246</v>
      </c>
      <c r="AL91" s="48" t="n">
        <v>194</v>
      </c>
      <c r="AM91" s="48" t="n">
        <v>2</v>
      </c>
      <c r="AN91" s="48" t="n">
        <v>0</v>
      </c>
      <c r="AO91" s="48" t="n">
        <v>1</v>
      </c>
      <c r="AP91" s="48" t="n">
        <v>0</v>
      </c>
      <c r="AQ91" s="48" t="n">
        <v>0</v>
      </c>
      <c r="AR91" s="48" t="n">
        <v>0</v>
      </c>
      <c r="AS91" s="48" t="n">
        <v>25</v>
      </c>
      <c r="AT91" s="48" t="n">
        <v>744</v>
      </c>
      <c r="AU91" s="48" t="n">
        <v>259</v>
      </c>
      <c r="AV91" s="48" t="n">
        <v>591</v>
      </c>
      <c r="AW91" s="48" t="n">
        <v>457</v>
      </c>
      <c r="AX91" s="48" t="n">
        <v>311</v>
      </c>
      <c r="AY91" s="48" t="n">
        <v>180</v>
      </c>
      <c r="AZ91" s="48" t="n">
        <v>77</v>
      </c>
      <c r="BA91" s="48" t="n">
        <v>308</v>
      </c>
      <c r="BB91" s="48" t="n">
        <v>408</v>
      </c>
      <c r="BC91" s="48" t="n">
        <v>70</v>
      </c>
      <c r="BD91" s="48" t="n">
        <v>192</v>
      </c>
      <c r="BE91" s="48" t="n">
        <v>12</v>
      </c>
      <c r="BF91" s="48" t="n">
        <v>1142</v>
      </c>
      <c r="BG91" s="49" t="n">
        <v>2.08</v>
      </c>
    </row>
    <row r="92" customFormat="false" ht="15" hidden="false" customHeight="false" outlineLevel="0" collapsed="false">
      <c r="A92" s="43" t="s">
        <v>420</v>
      </c>
      <c r="B92" s="43" t="s">
        <v>421</v>
      </c>
      <c r="C92" s="44" t="str">
        <f aca="false">IF(A92="","",IFERROR(INDEX(Assumptions!$B$41:$B$55,MATCH(TRUE(),INDEX(ISNUMBER(SEARCH(" "&amp;Assumptions!$A$41:$A$55&amp;" "," "&amp;SUBSTITUTE(SUBSTITUTE(SUBSTITUTE(SUBSTITUTE(B92,"-"," "),","," "),"/"," "),"."," ")&amp;" ")),0),0)),"Other"))</f>
        <v>Other</v>
      </c>
      <c r="D92" s="45" t="n">
        <f aca="false">IF(A92="","",BG92*(1-Assumptions!$B$18))</f>
        <v>1.17</v>
      </c>
      <c r="E92" s="46" t="n">
        <f aca="false">IF(A92="","",INDEX(Assumptions!$B$23:$B$26,MOD(VALUE(LEFT(A92,5)),4)+1))</f>
        <v>8</v>
      </c>
      <c r="F92" s="47" t="n">
        <v>2332</v>
      </c>
      <c r="G92" s="48" t="n">
        <v>618</v>
      </c>
      <c r="H92" s="48" t="n">
        <v>430</v>
      </c>
      <c r="I92" s="48" t="n">
        <v>38</v>
      </c>
      <c r="J92" s="48" t="n">
        <v>0</v>
      </c>
      <c r="K92" s="48" t="n">
        <v>100</v>
      </c>
      <c r="L92" s="48" t="n">
        <v>87</v>
      </c>
      <c r="M92" s="48" t="n">
        <v>297</v>
      </c>
      <c r="N92" s="48" t="n">
        <v>102</v>
      </c>
      <c r="O92" s="48" t="n">
        <v>386</v>
      </c>
      <c r="P92" s="48" t="n">
        <v>47</v>
      </c>
      <c r="Q92" s="48" t="n">
        <v>246</v>
      </c>
      <c r="R92" s="48" t="n">
        <v>70</v>
      </c>
      <c r="S92" s="48" t="n">
        <v>44</v>
      </c>
      <c r="T92" s="48" t="n">
        <v>63</v>
      </c>
      <c r="U92" s="48" t="n">
        <v>520</v>
      </c>
      <c r="V92" s="48" t="n">
        <v>963</v>
      </c>
      <c r="W92" s="48" t="n">
        <v>250</v>
      </c>
      <c r="X92" s="48" t="n">
        <v>44</v>
      </c>
      <c r="Y92" s="48" t="n">
        <v>126</v>
      </c>
      <c r="Z92" s="48" t="n">
        <v>63</v>
      </c>
      <c r="AA92" s="48" t="n">
        <v>88</v>
      </c>
      <c r="AB92" s="48" t="n">
        <v>379</v>
      </c>
      <c r="AC92" s="48" t="n">
        <v>197</v>
      </c>
      <c r="AD92" s="48" t="n">
        <v>429</v>
      </c>
      <c r="AE92" s="48" t="n">
        <v>480</v>
      </c>
      <c r="AF92" s="48" t="n">
        <v>16</v>
      </c>
      <c r="AG92" s="48" t="n">
        <v>36</v>
      </c>
      <c r="AH92" s="48" t="n">
        <v>229</v>
      </c>
      <c r="AI92" s="48" t="n">
        <v>86</v>
      </c>
      <c r="AJ92" s="48" t="n">
        <v>25</v>
      </c>
      <c r="AK92" s="48" t="n">
        <v>147</v>
      </c>
      <c r="AL92" s="48" t="n">
        <v>387</v>
      </c>
      <c r="AM92" s="48" t="n">
        <v>548</v>
      </c>
      <c r="AN92" s="48" t="n">
        <v>98</v>
      </c>
      <c r="AO92" s="48" t="n">
        <v>80</v>
      </c>
      <c r="AP92" s="48" t="n">
        <v>390</v>
      </c>
      <c r="AQ92" s="48" t="n">
        <v>40</v>
      </c>
      <c r="AR92" s="48" t="n">
        <v>104</v>
      </c>
      <c r="AS92" s="48" t="n">
        <v>302</v>
      </c>
      <c r="AT92" s="48" t="n">
        <v>82</v>
      </c>
      <c r="AU92" s="48" t="n">
        <v>172</v>
      </c>
      <c r="AV92" s="48" t="n">
        <v>71</v>
      </c>
      <c r="AW92" s="48" t="n">
        <v>449</v>
      </c>
      <c r="AX92" s="48" t="n">
        <v>433</v>
      </c>
      <c r="AY92" s="48" t="n">
        <v>65</v>
      </c>
      <c r="AZ92" s="48" t="n">
        <v>87</v>
      </c>
      <c r="BA92" s="48" t="n">
        <v>87</v>
      </c>
      <c r="BB92" s="48" t="n">
        <v>373</v>
      </c>
      <c r="BC92" s="48" t="n">
        <v>132</v>
      </c>
      <c r="BD92" s="48" t="n">
        <v>137</v>
      </c>
      <c r="BE92" s="48" t="n">
        <v>110</v>
      </c>
      <c r="BF92" s="48" t="n">
        <v>272</v>
      </c>
      <c r="BG92" s="49" t="n">
        <v>1.95</v>
      </c>
    </row>
    <row r="93" customFormat="false" ht="15" hidden="false" customHeight="false" outlineLevel="0" collapsed="false">
      <c r="A93" s="43" t="s">
        <v>422</v>
      </c>
      <c r="B93" s="43" t="s">
        <v>423</v>
      </c>
      <c r="C93" s="44" t="str">
        <f aca="false">IF(A93="","",IFERROR(INDEX(Assumptions!$B$41:$B$55,MATCH(TRUE(),INDEX(ISNUMBER(SEARCH(" "&amp;Assumptions!$A$41:$A$55&amp;" "," "&amp;SUBSTITUTE(SUBSTITUTE(SUBSTITUTE(SUBSTITUTE(B93,"-"," "),","," "),"/"," "),"."," ")&amp;" ")),0),0)),"Other"))</f>
        <v>Other</v>
      </c>
      <c r="D93" s="45" t="n">
        <f aca="false">IF(A93="","",BG93*(1-Assumptions!$B$18))</f>
        <v>2.25</v>
      </c>
      <c r="E93" s="46" t="n">
        <f aca="false">IF(A93="","",INDEX(Assumptions!$B$23:$B$26,MOD(VALUE(LEFT(A93,5)),4)+1))</f>
        <v>2</v>
      </c>
      <c r="F93" s="47" t="n">
        <v>3547</v>
      </c>
      <c r="G93" s="48" t="n">
        <v>99</v>
      </c>
      <c r="H93" s="48" t="n">
        <v>98</v>
      </c>
      <c r="I93" s="48" t="n">
        <v>37</v>
      </c>
      <c r="J93" s="48" t="n">
        <v>0</v>
      </c>
      <c r="K93" s="48" t="n">
        <v>47</v>
      </c>
      <c r="L93" s="48" t="n">
        <v>27</v>
      </c>
      <c r="M93" s="48" t="n">
        <v>59</v>
      </c>
      <c r="N93" s="48" t="n">
        <v>35</v>
      </c>
      <c r="O93" s="48" t="n">
        <v>94</v>
      </c>
      <c r="P93" s="48" t="n">
        <v>28</v>
      </c>
      <c r="Q93" s="48" t="n">
        <v>84</v>
      </c>
      <c r="R93" s="48" t="n">
        <v>28</v>
      </c>
      <c r="S93" s="48" t="n">
        <v>14</v>
      </c>
      <c r="T93" s="48" t="n">
        <v>53</v>
      </c>
      <c r="U93" s="48" t="n">
        <v>39</v>
      </c>
      <c r="V93" s="48" t="n">
        <v>25</v>
      </c>
      <c r="W93" s="48" t="n">
        <v>41</v>
      </c>
      <c r="X93" s="48" t="n">
        <v>560</v>
      </c>
      <c r="Y93" s="48" t="n">
        <v>59</v>
      </c>
      <c r="Z93" s="48" t="n">
        <v>31</v>
      </c>
      <c r="AA93" s="48" t="n">
        <v>19</v>
      </c>
      <c r="AB93" s="48" t="n">
        <v>20</v>
      </c>
      <c r="AC93" s="48" t="n">
        <v>51</v>
      </c>
      <c r="AD93" s="48" t="n">
        <v>56</v>
      </c>
      <c r="AE93" s="48" t="n">
        <v>49</v>
      </c>
      <c r="AF93" s="48" t="n">
        <v>64</v>
      </c>
      <c r="AG93" s="48" t="n">
        <v>34</v>
      </c>
      <c r="AH93" s="48" t="n">
        <v>63</v>
      </c>
      <c r="AI93" s="48" t="n">
        <v>37</v>
      </c>
      <c r="AJ93" s="48" t="n">
        <v>86</v>
      </c>
      <c r="AK93" s="48" t="n">
        <v>43</v>
      </c>
      <c r="AL93" s="48" t="n">
        <v>15</v>
      </c>
      <c r="AM93" s="48" t="n">
        <v>65</v>
      </c>
      <c r="AN93" s="48" t="n">
        <v>51</v>
      </c>
      <c r="AO93" s="48" t="n">
        <v>54</v>
      </c>
      <c r="AP93" s="48" t="n">
        <v>40</v>
      </c>
      <c r="AQ93" s="48" t="n">
        <v>254</v>
      </c>
      <c r="AR93" s="48" t="n">
        <v>456</v>
      </c>
      <c r="AS93" s="48" t="n">
        <v>80</v>
      </c>
      <c r="AT93" s="48" t="n">
        <v>117</v>
      </c>
      <c r="AU93" s="48" t="n">
        <v>68</v>
      </c>
      <c r="AV93" s="48" t="n">
        <v>116</v>
      </c>
      <c r="AW93" s="48" t="n">
        <v>130</v>
      </c>
      <c r="AX93" s="48" t="n">
        <v>212</v>
      </c>
      <c r="AY93" s="48" t="n">
        <v>68</v>
      </c>
      <c r="AZ93" s="48" t="n">
        <v>61</v>
      </c>
      <c r="BA93" s="48" t="n">
        <v>539</v>
      </c>
      <c r="BB93" s="48" t="n">
        <v>260</v>
      </c>
      <c r="BC93" s="48" t="n">
        <v>125</v>
      </c>
      <c r="BD93" s="48" t="n">
        <v>124</v>
      </c>
      <c r="BE93" s="48" t="n">
        <v>67</v>
      </c>
      <c r="BF93" s="48" t="n">
        <v>241</v>
      </c>
      <c r="BG93" s="49" t="n">
        <v>3.75</v>
      </c>
    </row>
    <row r="94" customFormat="false" ht="15" hidden="false" customHeight="false" outlineLevel="0" collapsed="false">
      <c r="A94" s="43" t="s">
        <v>424</v>
      </c>
      <c r="B94" s="43" t="s">
        <v>425</v>
      </c>
      <c r="C94" s="44" t="str">
        <f aca="false">IF(A94="","",IFERROR(INDEX(Assumptions!$B$41:$B$55,MATCH(TRUE(),INDEX(ISNUMBER(SEARCH(" "&amp;Assumptions!$A$41:$A$55&amp;" "," "&amp;SUBSTITUTE(SUBSTITUTE(SUBSTITUTE(SUBSTITUTE(B94,"-"," "),","," "),"/"," "),"."," ")&amp;" ")),0),0)),"Other"))</f>
        <v>Other</v>
      </c>
      <c r="D94" s="45" t="n">
        <f aca="false">IF(A94="","",BG94*(1-Assumptions!$B$18))</f>
        <v>5.97</v>
      </c>
      <c r="E94" s="46" t="n">
        <f aca="false">IF(A94="","",INDEX(Assumptions!$B$23:$B$26,MOD(VALUE(LEFT(A94,5)),4)+1))</f>
        <v>4</v>
      </c>
      <c r="F94" s="47" t="n">
        <v>1135</v>
      </c>
      <c r="G94" s="48" t="n">
        <v>18</v>
      </c>
      <c r="H94" s="48" t="n">
        <v>9</v>
      </c>
      <c r="I94" s="48" t="n">
        <v>5</v>
      </c>
      <c r="J94" s="48" t="n">
        <v>0</v>
      </c>
      <c r="K94" s="48" t="n">
        <v>2</v>
      </c>
      <c r="L94" s="48" t="n">
        <v>21</v>
      </c>
      <c r="M94" s="48" t="n">
        <v>10</v>
      </c>
      <c r="N94" s="48" t="n">
        <v>41</v>
      </c>
      <c r="O94" s="48" t="n">
        <v>27</v>
      </c>
      <c r="P94" s="48" t="n">
        <v>8</v>
      </c>
      <c r="Q94" s="48" t="n">
        <v>24</v>
      </c>
      <c r="R94" s="48" t="n">
        <v>44</v>
      </c>
      <c r="S94" s="48" t="n">
        <v>9</v>
      </c>
      <c r="T94" s="48" t="n">
        <v>33</v>
      </c>
      <c r="U94" s="48" t="n">
        <v>23</v>
      </c>
      <c r="V94" s="48" t="n">
        <v>27</v>
      </c>
      <c r="W94" s="48" t="n">
        <v>24</v>
      </c>
      <c r="X94" s="48" t="n">
        <v>28</v>
      </c>
      <c r="Y94" s="48" t="n">
        <v>49</v>
      </c>
      <c r="Z94" s="48" t="n">
        <v>77</v>
      </c>
      <c r="AA94" s="48" t="n">
        <v>57</v>
      </c>
      <c r="AB94" s="48" t="n">
        <v>117</v>
      </c>
      <c r="AC94" s="48" t="n">
        <v>141</v>
      </c>
      <c r="AD94" s="48" t="n">
        <v>292</v>
      </c>
      <c r="AE94" s="48" t="n">
        <v>63</v>
      </c>
      <c r="AF94" s="48" t="n">
        <v>77</v>
      </c>
      <c r="AG94" s="48" t="n">
        <v>31</v>
      </c>
      <c r="AH94" s="48" t="n">
        <v>11</v>
      </c>
      <c r="AI94" s="48" t="n">
        <v>25</v>
      </c>
      <c r="AJ94" s="48" t="n">
        <v>6</v>
      </c>
      <c r="AK94" s="48" t="n">
        <v>143</v>
      </c>
      <c r="AL94" s="48" t="n">
        <v>14</v>
      </c>
      <c r="AM94" s="48" t="n">
        <v>21</v>
      </c>
      <c r="AN94" s="48" t="n">
        <v>14</v>
      </c>
      <c r="AO94" s="48" t="n">
        <v>12</v>
      </c>
      <c r="AP94" s="48" t="n">
        <v>16</v>
      </c>
      <c r="AQ94" s="48" t="n">
        <v>5</v>
      </c>
      <c r="AR94" s="48" t="n">
        <v>0</v>
      </c>
      <c r="AS94" s="48" t="n">
        <v>4</v>
      </c>
      <c r="AT94" s="48" t="n">
        <v>1</v>
      </c>
      <c r="AU94" s="48" t="n">
        <v>2</v>
      </c>
      <c r="AV94" s="48" t="n">
        <v>2</v>
      </c>
      <c r="AW94" s="48" t="n">
        <v>1</v>
      </c>
      <c r="AX94" s="48" t="n">
        <v>30</v>
      </c>
      <c r="AY94" s="48" t="n">
        <v>3</v>
      </c>
      <c r="AZ94" s="48" t="n">
        <v>10</v>
      </c>
      <c r="BA94" s="48" t="n">
        <v>2</v>
      </c>
      <c r="BB94" s="48" t="n">
        <v>16</v>
      </c>
      <c r="BC94" s="48" t="n">
        <v>0</v>
      </c>
      <c r="BD94" s="48" t="n">
        <v>0</v>
      </c>
      <c r="BE94" s="48" t="n">
        <v>0</v>
      </c>
      <c r="BF94" s="48" t="n">
        <v>0</v>
      </c>
      <c r="BG94" s="49" t="n">
        <v>9.95</v>
      </c>
    </row>
    <row r="95" customFormat="false" ht="15" hidden="false" customHeight="false" outlineLevel="0" collapsed="false">
      <c r="A95" s="43" t="s">
        <v>426</v>
      </c>
      <c r="B95" s="43" t="s">
        <v>427</v>
      </c>
      <c r="C95" s="44" t="str">
        <f aca="false">IF(A95="","",IFERROR(INDEX(Assumptions!$B$41:$B$55,MATCH(TRUE(),INDEX(ISNUMBER(SEARCH(" "&amp;Assumptions!$A$41:$A$55&amp;" "," "&amp;SUBSTITUTE(SUBSTITUTE(SUBSTITUTE(SUBSTITUTE(B95,"-"," "),","," "),"/"," "),"."," ")&amp;" ")),0),0)),"Other"))</f>
        <v>Other</v>
      </c>
      <c r="D95" s="45" t="n">
        <f aca="false">IF(A95="","",BG95*(1-Assumptions!$B$18))</f>
        <v>2.49</v>
      </c>
      <c r="E95" s="46" t="n">
        <f aca="false">IF(A95="","",INDEX(Assumptions!$B$23:$B$26,MOD(VALUE(LEFT(A95,5)),4)+1))</f>
        <v>4</v>
      </c>
      <c r="F95" s="47" t="n">
        <v>516</v>
      </c>
      <c r="G95" s="48" t="n">
        <v>93</v>
      </c>
      <c r="H95" s="48" t="n">
        <v>62</v>
      </c>
      <c r="I95" s="48" t="n">
        <v>88</v>
      </c>
      <c r="J95" s="48" t="n">
        <v>0</v>
      </c>
      <c r="K95" s="48" t="n">
        <v>450</v>
      </c>
      <c r="L95" s="48" t="n">
        <v>254</v>
      </c>
      <c r="M95" s="48" t="n">
        <v>30</v>
      </c>
      <c r="N95" s="48" t="n">
        <v>155</v>
      </c>
      <c r="O95" s="48" t="n">
        <v>24</v>
      </c>
      <c r="P95" s="48" t="n">
        <v>78</v>
      </c>
      <c r="Q95" s="48" t="n">
        <v>245</v>
      </c>
      <c r="R95" s="48" t="n">
        <v>122</v>
      </c>
      <c r="S95" s="48" t="n">
        <v>97</v>
      </c>
      <c r="T95" s="48" t="n">
        <v>104</v>
      </c>
      <c r="U95" s="48" t="n">
        <v>18</v>
      </c>
      <c r="V95" s="48" t="n">
        <v>112</v>
      </c>
      <c r="W95" s="48" t="n">
        <v>49</v>
      </c>
      <c r="X95" s="48" t="n">
        <v>44</v>
      </c>
      <c r="Y95" s="48" t="n">
        <v>357</v>
      </c>
      <c r="Z95" s="48" t="n">
        <v>32</v>
      </c>
      <c r="AA95" s="48" t="n">
        <v>11</v>
      </c>
      <c r="AB95" s="48" t="n">
        <v>21</v>
      </c>
      <c r="AC95" s="48" t="n">
        <v>42</v>
      </c>
      <c r="AD95" s="48" t="n">
        <v>48</v>
      </c>
      <c r="AE95" s="48" t="n">
        <v>43</v>
      </c>
      <c r="AF95" s="48" t="n">
        <v>27</v>
      </c>
      <c r="AG95" s="48" t="n">
        <v>20</v>
      </c>
      <c r="AH95" s="48" t="n">
        <v>6</v>
      </c>
      <c r="AI95" s="48" t="n">
        <v>38</v>
      </c>
      <c r="AJ95" s="48" t="n">
        <v>6</v>
      </c>
      <c r="AK95" s="48" t="n">
        <v>165</v>
      </c>
      <c r="AL95" s="48" t="n">
        <v>27</v>
      </c>
      <c r="AM95" s="48" t="n">
        <v>99</v>
      </c>
      <c r="AN95" s="48" t="n">
        <v>25</v>
      </c>
      <c r="AO95" s="48" t="n">
        <v>14</v>
      </c>
      <c r="AP95" s="48" t="n">
        <v>42</v>
      </c>
      <c r="AQ95" s="48" t="n">
        <v>19</v>
      </c>
      <c r="AR95" s="48" t="n">
        <v>144</v>
      </c>
      <c r="AS95" s="48" t="n">
        <v>48</v>
      </c>
      <c r="AT95" s="48" t="n">
        <v>10</v>
      </c>
      <c r="AU95" s="48" t="n">
        <v>28</v>
      </c>
      <c r="AV95" s="48" t="n">
        <v>178</v>
      </c>
      <c r="AW95" s="48" t="n">
        <v>152</v>
      </c>
      <c r="AX95" s="48" t="n">
        <v>107</v>
      </c>
      <c r="AY95" s="48" t="n">
        <v>46</v>
      </c>
      <c r="AZ95" s="48" t="n">
        <v>27</v>
      </c>
      <c r="BA95" s="48" t="n">
        <v>130</v>
      </c>
      <c r="BB95" s="48" t="n">
        <v>19</v>
      </c>
      <c r="BC95" s="48" t="n">
        <v>173</v>
      </c>
      <c r="BD95" s="48" t="n">
        <v>151</v>
      </c>
      <c r="BE95" s="48" t="n">
        <v>101</v>
      </c>
      <c r="BF95" s="48" t="n">
        <v>92</v>
      </c>
      <c r="BG95" s="49" t="n">
        <v>4.15</v>
      </c>
    </row>
    <row r="96" customFormat="false" ht="15" hidden="false" customHeight="false" outlineLevel="0" collapsed="false">
      <c r="A96" s="43" t="s">
        <v>428</v>
      </c>
      <c r="B96" s="43" t="s">
        <v>429</v>
      </c>
      <c r="C96" s="44" t="str">
        <f aca="false">IF(A96="","",IFERROR(INDEX(Assumptions!$B$41:$B$55,MATCH(TRUE(),INDEX(ISNUMBER(SEARCH(" "&amp;Assumptions!$A$41:$A$55&amp;" "," "&amp;SUBSTITUTE(SUBSTITUTE(SUBSTITUTE(SUBSTITUTE(B96,"-"," "),","," "),"/"," "),"."," ")&amp;" ")),0),0)),"Other"))</f>
        <v>Other</v>
      </c>
      <c r="D96" s="45" t="n">
        <f aca="false">IF(A96="","",BG96*(1-Assumptions!$B$18))</f>
        <v>1.77</v>
      </c>
      <c r="E96" s="46" t="n">
        <f aca="false">IF(A96="","",INDEX(Assumptions!$B$23:$B$26,MOD(VALUE(LEFT(A96,5)),4)+1))</f>
        <v>2</v>
      </c>
      <c r="F96" s="47" t="n">
        <v>4606</v>
      </c>
      <c r="G96" s="48" t="n">
        <v>1538</v>
      </c>
      <c r="H96" s="48" t="n">
        <v>196</v>
      </c>
      <c r="I96" s="48" t="n">
        <v>20</v>
      </c>
      <c r="J96" s="48" t="n">
        <v>0</v>
      </c>
      <c r="K96" s="48" t="n">
        <v>44</v>
      </c>
      <c r="L96" s="48" t="n">
        <v>113</v>
      </c>
      <c r="M96" s="48" t="n">
        <v>246</v>
      </c>
      <c r="N96" s="48" t="n">
        <v>51</v>
      </c>
      <c r="O96" s="48" t="n">
        <v>45</v>
      </c>
      <c r="P96" s="48" t="n">
        <v>61</v>
      </c>
      <c r="Q96" s="48" t="n">
        <v>44</v>
      </c>
      <c r="R96" s="48" t="n">
        <v>155</v>
      </c>
      <c r="S96" s="48" t="n">
        <v>96</v>
      </c>
      <c r="T96" s="48" t="n">
        <v>26</v>
      </c>
      <c r="U96" s="48" t="n">
        <v>126</v>
      </c>
      <c r="V96" s="48" t="n">
        <v>168</v>
      </c>
      <c r="W96" s="48" t="n">
        <v>215</v>
      </c>
      <c r="X96" s="48" t="n">
        <v>105</v>
      </c>
      <c r="Y96" s="48" t="n">
        <v>54</v>
      </c>
      <c r="Z96" s="48" t="n">
        <v>35</v>
      </c>
      <c r="AA96" s="48" t="n">
        <v>77</v>
      </c>
      <c r="AB96" s="48" t="n">
        <v>58</v>
      </c>
      <c r="AC96" s="48" t="n">
        <v>335</v>
      </c>
      <c r="AD96" s="48" t="n">
        <v>47</v>
      </c>
      <c r="AE96" s="48" t="n">
        <v>128</v>
      </c>
      <c r="AF96" s="48" t="n">
        <v>83</v>
      </c>
      <c r="AG96" s="48" t="n">
        <v>88</v>
      </c>
      <c r="AH96" s="48" t="n">
        <v>151</v>
      </c>
      <c r="AI96" s="48" t="n">
        <v>72</v>
      </c>
      <c r="AJ96" s="48" t="n">
        <v>220</v>
      </c>
      <c r="AK96" s="48" t="n">
        <v>71</v>
      </c>
      <c r="AL96" s="48" t="n">
        <v>72</v>
      </c>
      <c r="AM96" s="48" t="n">
        <v>56</v>
      </c>
      <c r="AN96" s="48" t="n">
        <v>59</v>
      </c>
      <c r="AO96" s="48" t="n">
        <v>73</v>
      </c>
      <c r="AP96" s="48" t="n">
        <v>145</v>
      </c>
      <c r="AQ96" s="48" t="n">
        <v>52</v>
      </c>
      <c r="AR96" s="48" t="n">
        <v>115</v>
      </c>
      <c r="AS96" s="48" t="n">
        <v>99</v>
      </c>
      <c r="AT96" s="48" t="n">
        <v>42</v>
      </c>
      <c r="AU96" s="48" t="n">
        <v>32</v>
      </c>
      <c r="AV96" s="48" t="n">
        <v>125</v>
      </c>
      <c r="AW96" s="48" t="n">
        <v>157</v>
      </c>
      <c r="AX96" s="48" t="n">
        <v>37</v>
      </c>
      <c r="AY96" s="48" t="n">
        <v>112</v>
      </c>
      <c r="AZ96" s="48" t="n">
        <v>132</v>
      </c>
      <c r="BA96" s="48" t="n">
        <v>94</v>
      </c>
      <c r="BB96" s="48" t="n">
        <v>96</v>
      </c>
      <c r="BC96" s="48" t="n">
        <v>74</v>
      </c>
      <c r="BD96" s="48" t="n">
        <v>71</v>
      </c>
      <c r="BE96" s="48" t="n">
        <v>246</v>
      </c>
      <c r="BF96" s="48" t="n">
        <v>96</v>
      </c>
      <c r="BG96" s="49" t="n">
        <v>2.95</v>
      </c>
    </row>
    <row r="97" customFormat="false" ht="15" hidden="false" customHeight="false" outlineLevel="0" collapsed="false">
      <c r="A97" s="43" t="s">
        <v>430</v>
      </c>
      <c r="B97" s="43" t="s">
        <v>431</v>
      </c>
      <c r="C97" s="44" t="str">
        <f aca="false">IF(A97="","",IFERROR(INDEX(Assumptions!$B$41:$B$55,MATCH(TRUE(),INDEX(ISNUMBER(SEARCH(" "&amp;Assumptions!$A$41:$A$55&amp;" "," "&amp;SUBSTITUTE(SUBSTITUTE(SUBSTITUTE(SUBSTITUTE(B97,"-"," "),","," "),"/"," "),"."," ")&amp;" ")),0),0)),"Other"))</f>
        <v>Lighting</v>
      </c>
      <c r="D97" s="45" t="n">
        <f aca="false">IF(A97="","",BG97*(1-Assumptions!$B$18))</f>
        <v>1.974</v>
      </c>
      <c r="E97" s="46" t="n">
        <f aca="false">IF(A97="","",INDEX(Assumptions!$B$23:$B$26,MOD(VALUE(LEFT(A97,5)),4)+1))</f>
        <v>4</v>
      </c>
      <c r="F97" s="47" t="n">
        <v>117</v>
      </c>
      <c r="G97" s="48" t="n">
        <v>291</v>
      </c>
      <c r="H97" s="48" t="n">
        <v>19</v>
      </c>
      <c r="I97" s="48" t="n">
        <v>1</v>
      </c>
      <c r="J97" s="48" t="n">
        <v>0</v>
      </c>
      <c r="K97" s="48" t="n">
        <v>0</v>
      </c>
      <c r="L97" s="48" t="n">
        <v>0</v>
      </c>
      <c r="M97" s="48" t="n">
        <v>1</v>
      </c>
      <c r="N97" s="48" t="n">
        <v>1</v>
      </c>
      <c r="O97" s="48" t="n">
        <v>0</v>
      </c>
      <c r="P97" s="48" t="n">
        <v>97</v>
      </c>
      <c r="Q97" s="48" t="n">
        <v>0</v>
      </c>
      <c r="R97" s="48" t="n">
        <v>1</v>
      </c>
      <c r="S97" s="48" t="n">
        <v>0</v>
      </c>
      <c r="T97" s="48" t="n">
        <v>1</v>
      </c>
      <c r="U97" s="48" t="n">
        <v>0</v>
      </c>
      <c r="V97" s="48" t="n">
        <v>1</v>
      </c>
      <c r="W97" s="48" t="n">
        <v>0</v>
      </c>
      <c r="X97" s="48" t="n">
        <v>0</v>
      </c>
      <c r="Y97" s="48" t="n">
        <v>0</v>
      </c>
      <c r="Z97" s="48" t="n">
        <v>0</v>
      </c>
      <c r="AA97" s="48" t="n">
        <v>0</v>
      </c>
      <c r="AB97" s="48" t="n">
        <v>0</v>
      </c>
      <c r="AC97" s="48" t="n">
        <v>443</v>
      </c>
      <c r="AD97" s="48" t="n">
        <v>281</v>
      </c>
      <c r="AE97" s="48" t="n">
        <v>68</v>
      </c>
      <c r="AF97" s="48" t="n">
        <v>85</v>
      </c>
      <c r="AG97" s="48" t="n">
        <v>50</v>
      </c>
      <c r="AH97" s="48" t="n">
        <v>833</v>
      </c>
      <c r="AI97" s="48" t="n">
        <v>172</v>
      </c>
      <c r="AJ97" s="48" t="n">
        <v>17</v>
      </c>
      <c r="AK97" s="48" t="n">
        <v>58</v>
      </c>
      <c r="AL97" s="48" t="n">
        <v>75</v>
      </c>
      <c r="AM97" s="48" t="n">
        <v>443</v>
      </c>
      <c r="AN97" s="48" t="n">
        <v>5</v>
      </c>
      <c r="AO97" s="48" t="n">
        <v>26</v>
      </c>
      <c r="AP97" s="48" t="n">
        <v>214</v>
      </c>
      <c r="AQ97" s="48" t="n">
        <v>80</v>
      </c>
      <c r="AR97" s="48" t="n">
        <v>49</v>
      </c>
      <c r="AS97" s="48" t="n">
        <v>393</v>
      </c>
      <c r="AT97" s="48" t="n">
        <v>76</v>
      </c>
      <c r="AU97" s="48" t="n">
        <v>148</v>
      </c>
      <c r="AV97" s="48" t="n">
        <v>17</v>
      </c>
      <c r="AW97" s="48" t="n">
        <v>49</v>
      </c>
      <c r="AX97" s="48" t="n">
        <v>11</v>
      </c>
      <c r="AY97" s="48" t="n">
        <v>33</v>
      </c>
      <c r="AZ97" s="48" t="n">
        <v>89</v>
      </c>
      <c r="BA97" s="48" t="n">
        <v>721</v>
      </c>
      <c r="BB97" s="48" t="n">
        <v>96</v>
      </c>
      <c r="BC97" s="48" t="n">
        <v>154</v>
      </c>
      <c r="BD97" s="48" t="n">
        <v>132</v>
      </c>
      <c r="BE97" s="48" t="n">
        <v>529</v>
      </c>
      <c r="BF97" s="48" t="n">
        <v>313</v>
      </c>
      <c r="BG97" s="49" t="n">
        <v>3.29</v>
      </c>
    </row>
    <row r="98" customFormat="false" ht="15" hidden="false" customHeight="false" outlineLevel="0" collapsed="false">
      <c r="A98" s="43" t="s">
        <v>432</v>
      </c>
      <c r="B98" s="43" t="s">
        <v>433</v>
      </c>
      <c r="C98" s="44" t="str">
        <f aca="false">IF(A98="","",IFERROR(INDEX(Assumptions!$B$41:$B$55,MATCH(TRUE(),INDEX(ISNUMBER(SEARCH(" "&amp;Assumptions!$A$41:$A$55&amp;" "," "&amp;SUBSTITUTE(SUBSTITUTE(SUBSTITUTE(SUBSTITUTE(B98,"-"," "),","," "),"/"," "),"."," ")&amp;" ")),0),0)),"Other"))</f>
        <v>Other</v>
      </c>
      <c r="D98" s="45" t="n">
        <f aca="false">IF(A98="","",BG98*(1-Assumptions!$B$18))</f>
        <v>0.498</v>
      </c>
      <c r="E98" s="46" t="n">
        <f aca="false">IF(A98="","",INDEX(Assumptions!$B$23:$B$26,MOD(VALUE(LEFT(A98,5)),4)+1))</f>
        <v>2</v>
      </c>
      <c r="F98" s="47" t="n">
        <v>14607</v>
      </c>
      <c r="G98" s="48" t="n">
        <v>21</v>
      </c>
      <c r="H98" s="48" t="n">
        <v>35</v>
      </c>
      <c r="I98" s="48" t="n">
        <v>30</v>
      </c>
      <c r="J98" s="48" t="n">
        <v>0</v>
      </c>
      <c r="K98" s="48" t="n">
        <v>18</v>
      </c>
      <c r="L98" s="48" t="n">
        <v>159</v>
      </c>
      <c r="M98" s="48" t="n">
        <v>39</v>
      </c>
      <c r="N98" s="48" t="n">
        <v>112</v>
      </c>
      <c r="O98" s="48" t="n">
        <v>1913</v>
      </c>
      <c r="P98" s="48" t="n">
        <v>68</v>
      </c>
      <c r="Q98" s="48" t="n">
        <v>762</v>
      </c>
      <c r="R98" s="48" t="n">
        <v>128</v>
      </c>
      <c r="S98" s="48" t="n">
        <v>91</v>
      </c>
      <c r="T98" s="48" t="n">
        <v>369</v>
      </c>
      <c r="U98" s="48" t="n">
        <v>1342</v>
      </c>
      <c r="V98" s="48" t="n">
        <v>99</v>
      </c>
      <c r="W98" s="48" t="n">
        <v>1253</v>
      </c>
      <c r="X98" s="48" t="n">
        <v>147</v>
      </c>
      <c r="Y98" s="48" t="n">
        <v>864</v>
      </c>
      <c r="Z98" s="48" t="n">
        <v>174</v>
      </c>
      <c r="AA98" s="48" t="n">
        <v>793</v>
      </c>
      <c r="AB98" s="48" t="n">
        <v>972</v>
      </c>
      <c r="AC98" s="48" t="n">
        <v>1618</v>
      </c>
      <c r="AD98" s="48" t="n">
        <v>1643</v>
      </c>
      <c r="AE98" s="48" t="n">
        <v>397</v>
      </c>
      <c r="AF98" s="48" t="n">
        <v>193</v>
      </c>
      <c r="AG98" s="48" t="n">
        <v>1610</v>
      </c>
      <c r="AH98" s="48" t="n">
        <v>1285</v>
      </c>
      <c r="AI98" s="48" t="n">
        <v>169</v>
      </c>
      <c r="AJ98" s="48" t="n">
        <v>167</v>
      </c>
      <c r="AK98" s="48" t="n">
        <v>1938</v>
      </c>
      <c r="AL98" s="48" t="n">
        <v>352</v>
      </c>
      <c r="AM98" s="48" t="n">
        <v>510</v>
      </c>
      <c r="AN98" s="48" t="n">
        <v>638</v>
      </c>
      <c r="AO98" s="48" t="n">
        <v>943</v>
      </c>
      <c r="AP98" s="48" t="n">
        <v>268</v>
      </c>
      <c r="AQ98" s="48" t="n">
        <v>60</v>
      </c>
      <c r="AR98" s="48" t="n">
        <v>60</v>
      </c>
      <c r="AS98" s="48" t="n">
        <v>181</v>
      </c>
      <c r="AT98" s="48" t="n">
        <v>215</v>
      </c>
      <c r="AU98" s="48" t="n">
        <v>64</v>
      </c>
      <c r="AV98" s="48" t="n">
        <v>93</v>
      </c>
      <c r="AW98" s="48" t="n">
        <v>30</v>
      </c>
      <c r="AX98" s="48" t="n">
        <v>721</v>
      </c>
      <c r="AY98" s="48" t="n">
        <v>224</v>
      </c>
      <c r="AZ98" s="48" t="n">
        <v>194</v>
      </c>
      <c r="BA98" s="48" t="n">
        <v>101</v>
      </c>
      <c r="BB98" s="48" t="n">
        <v>83</v>
      </c>
      <c r="BC98" s="48" t="n">
        <v>107</v>
      </c>
      <c r="BD98" s="48" t="n">
        <v>104</v>
      </c>
      <c r="BE98" s="48" t="n">
        <v>237</v>
      </c>
      <c r="BF98" s="48" t="n">
        <v>143</v>
      </c>
      <c r="BG98" s="49" t="n">
        <v>0.83</v>
      </c>
    </row>
    <row r="99" customFormat="false" ht="15" hidden="false" customHeight="false" outlineLevel="0" collapsed="false">
      <c r="A99" s="43" t="s">
        <v>434</v>
      </c>
      <c r="B99" s="43" t="s">
        <v>435</v>
      </c>
      <c r="C99" s="44" t="str">
        <f aca="false">IF(A99="","",IFERROR(INDEX(Assumptions!$B$41:$B$55,MATCH(TRUE(),INDEX(ISNUMBER(SEARCH(" "&amp;Assumptions!$A$41:$A$55&amp;" "," "&amp;SUBSTITUTE(SUBSTITUTE(SUBSTITUTE(SUBSTITUTE(B99,"-"," "),","," "),"/"," "),"."," ")&amp;" ")),0),0)),"Other"))</f>
        <v>Other</v>
      </c>
      <c r="D99" s="45" t="n">
        <f aca="false">IF(A99="","",BG99*(1-Assumptions!$B$18))</f>
        <v>2.55</v>
      </c>
      <c r="E99" s="46" t="n">
        <f aca="false">IF(A99="","",INDEX(Assumptions!$B$23:$B$26,MOD(VALUE(LEFT(A99,5)),4)+1))</f>
        <v>4</v>
      </c>
      <c r="F99" s="47" t="n">
        <v>874</v>
      </c>
      <c r="G99" s="48" t="n">
        <v>474</v>
      </c>
      <c r="H99" s="48" t="n">
        <v>316</v>
      </c>
      <c r="I99" s="48" t="n">
        <v>219</v>
      </c>
      <c r="J99" s="48" t="n">
        <v>0</v>
      </c>
      <c r="K99" s="48" t="n">
        <v>27</v>
      </c>
      <c r="L99" s="48" t="n">
        <v>3</v>
      </c>
      <c r="M99" s="48" t="n">
        <v>2</v>
      </c>
      <c r="N99" s="48" t="n">
        <v>2</v>
      </c>
      <c r="O99" s="48" t="n">
        <v>10</v>
      </c>
      <c r="P99" s="48" t="n">
        <v>7</v>
      </c>
      <c r="Q99" s="48" t="n">
        <v>6</v>
      </c>
      <c r="R99" s="48" t="n">
        <v>5</v>
      </c>
      <c r="S99" s="48" t="n">
        <v>10</v>
      </c>
      <c r="T99" s="48" t="n">
        <v>6</v>
      </c>
      <c r="U99" s="48" t="n">
        <v>2</v>
      </c>
      <c r="V99" s="48" t="n">
        <v>0</v>
      </c>
      <c r="W99" s="48" t="n">
        <v>0</v>
      </c>
      <c r="X99" s="48" t="n">
        <v>1</v>
      </c>
      <c r="Y99" s="48" t="n">
        <v>4</v>
      </c>
      <c r="Z99" s="48" t="n">
        <v>0</v>
      </c>
      <c r="AA99" s="48" t="n">
        <v>0</v>
      </c>
      <c r="AB99" s="48" t="n">
        <v>3</v>
      </c>
      <c r="AC99" s="48" t="n">
        <v>3</v>
      </c>
      <c r="AD99" s="48" t="n">
        <v>1</v>
      </c>
      <c r="AE99" s="48" t="n">
        <v>1</v>
      </c>
      <c r="AF99" s="48" t="n">
        <v>0</v>
      </c>
      <c r="AG99" s="48" t="n">
        <v>4</v>
      </c>
      <c r="AH99" s="48" t="n">
        <v>1</v>
      </c>
      <c r="AI99" s="48" t="n">
        <v>3</v>
      </c>
      <c r="AJ99" s="48" t="n">
        <v>1</v>
      </c>
      <c r="AK99" s="48" t="n">
        <v>4</v>
      </c>
      <c r="AL99" s="48" t="n">
        <v>1</v>
      </c>
      <c r="AM99" s="48" t="n">
        <v>3</v>
      </c>
      <c r="AN99" s="48" t="n">
        <v>2</v>
      </c>
      <c r="AO99" s="48" t="n">
        <v>3</v>
      </c>
      <c r="AP99" s="48" t="n">
        <v>1</v>
      </c>
      <c r="AQ99" s="48" t="n">
        <v>3</v>
      </c>
      <c r="AR99" s="48" t="n">
        <v>20</v>
      </c>
      <c r="AS99" s="48" t="n">
        <v>63</v>
      </c>
      <c r="AT99" s="48" t="n">
        <v>77</v>
      </c>
      <c r="AU99" s="48" t="n">
        <v>149</v>
      </c>
      <c r="AV99" s="48" t="n">
        <v>104</v>
      </c>
      <c r="AW99" s="48" t="n">
        <v>89</v>
      </c>
      <c r="AX99" s="48" t="n">
        <v>54</v>
      </c>
      <c r="AY99" s="48" t="n">
        <v>331</v>
      </c>
      <c r="AZ99" s="48" t="n">
        <v>130</v>
      </c>
      <c r="BA99" s="48" t="n">
        <v>57</v>
      </c>
      <c r="BB99" s="48" t="n">
        <v>284</v>
      </c>
      <c r="BC99" s="48" t="n">
        <v>181</v>
      </c>
      <c r="BD99" s="48" t="n">
        <v>676</v>
      </c>
      <c r="BE99" s="48" t="n">
        <v>118</v>
      </c>
      <c r="BF99" s="48" t="n">
        <v>328</v>
      </c>
      <c r="BG99" s="49" t="n">
        <v>4.25</v>
      </c>
    </row>
    <row r="100" customFormat="false" ht="15" hidden="false" customHeight="false" outlineLevel="0" collapsed="false">
      <c r="A100" s="43" t="s">
        <v>436</v>
      </c>
      <c r="B100" s="43" t="s">
        <v>437</v>
      </c>
      <c r="C100" s="44" t="str">
        <f aca="false">IF(A100="","",IFERROR(INDEX(Assumptions!$B$41:$B$55,MATCH(TRUE(),INDEX(ISNUMBER(SEARCH(" "&amp;Assumptions!$A$41:$A$55&amp;" "," "&amp;SUBSTITUTE(SUBSTITUTE(SUBSTITUTE(SUBSTITUTE(B100,"-"," "),","," "),"/"," "),"."," ")&amp;" ")),0),0)),"Other"))</f>
        <v>Other</v>
      </c>
      <c r="D100" s="45" t="n">
        <f aca="false">IF(A100="","",BG100*(1-Assumptions!$B$18))</f>
        <v>1.53</v>
      </c>
      <c r="E100" s="46" t="n">
        <f aca="false">IF(A100="","",INDEX(Assumptions!$B$23:$B$26,MOD(VALUE(LEFT(A100,5)),4)+1))</f>
        <v>8</v>
      </c>
      <c r="F100" s="47" t="n">
        <v>1027</v>
      </c>
      <c r="G100" s="48" t="n">
        <v>293</v>
      </c>
      <c r="H100" s="48" t="n">
        <v>98</v>
      </c>
      <c r="I100" s="48" t="n">
        <v>13</v>
      </c>
      <c r="J100" s="48" t="n">
        <v>0</v>
      </c>
      <c r="K100" s="48" t="n">
        <v>159</v>
      </c>
      <c r="L100" s="48" t="n">
        <v>179</v>
      </c>
      <c r="M100" s="48" t="n">
        <v>177</v>
      </c>
      <c r="N100" s="48" t="n">
        <v>108</v>
      </c>
      <c r="O100" s="48" t="n">
        <v>125</v>
      </c>
      <c r="P100" s="48" t="n">
        <v>14</v>
      </c>
      <c r="Q100" s="48" t="n">
        <v>137</v>
      </c>
      <c r="R100" s="48" t="n">
        <v>80</v>
      </c>
      <c r="S100" s="48" t="n">
        <v>92</v>
      </c>
      <c r="T100" s="48" t="n">
        <v>49</v>
      </c>
      <c r="U100" s="48" t="n">
        <v>333</v>
      </c>
      <c r="V100" s="48" t="n">
        <v>113</v>
      </c>
      <c r="W100" s="48" t="n">
        <v>112</v>
      </c>
      <c r="X100" s="48" t="n">
        <v>135</v>
      </c>
      <c r="Y100" s="48" t="n">
        <v>203</v>
      </c>
      <c r="Z100" s="48" t="n">
        <v>126</v>
      </c>
      <c r="AA100" s="48" t="n">
        <v>12</v>
      </c>
      <c r="AB100" s="48" t="n">
        <v>0</v>
      </c>
      <c r="AC100" s="48" t="n">
        <v>8</v>
      </c>
      <c r="AD100" s="48" t="n">
        <v>191</v>
      </c>
      <c r="AE100" s="48" t="n">
        <v>89</v>
      </c>
      <c r="AF100" s="48" t="n">
        <v>246</v>
      </c>
      <c r="AG100" s="48" t="n">
        <v>391</v>
      </c>
      <c r="AH100" s="48" t="n">
        <v>209</v>
      </c>
      <c r="AI100" s="48" t="n">
        <v>76</v>
      </c>
      <c r="AJ100" s="48" t="n">
        <v>192</v>
      </c>
      <c r="AK100" s="48" t="n">
        <v>79</v>
      </c>
      <c r="AL100" s="48" t="n">
        <v>76</v>
      </c>
      <c r="AM100" s="48" t="n">
        <v>159</v>
      </c>
      <c r="AN100" s="48" t="n">
        <v>195</v>
      </c>
      <c r="AO100" s="48" t="n">
        <v>59</v>
      </c>
      <c r="AP100" s="48" t="n">
        <v>200</v>
      </c>
      <c r="AQ100" s="48" t="n">
        <v>52</v>
      </c>
      <c r="AR100" s="48" t="n">
        <v>63</v>
      </c>
      <c r="AS100" s="48" t="n">
        <v>96</v>
      </c>
      <c r="AT100" s="48" t="n">
        <v>130</v>
      </c>
      <c r="AU100" s="48" t="n">
        <v>96</v>
      </c>
      <c r="AV100" s="48" t="n">
        <v>279</v>
      </c>
      <c r="AW100" s="48" t="n">
        <v>237</v>
      </c>
      <c r="AX100" s="48" t="n">
        <v>152</v>
      </c>
      <c r="AY100" s="48" t="n">
        <v>97</v>
      </c>
      <c r="AZ100" s="48" t="n">
        <v>106</v>
      </c>
      <c r="BA100" s="48" t="n">
        <v>396</v>
      </c>
      <c r="BB100" s="48" t="n">
        <v>367</v>
      </c>
      <c r="BC100" s="48" t="n">
        <v>162</v>
      </c>
      <c r="BD100" s="48" t="n">
        <v>181</v>
      </c>
      <c r="BE100" s="48" t="n">
        <v>224</v>
      </c>
      <c r="BF100" s="48" t="n">
        <v>264</v>
      </c>
      <c r="BG100" s="49" t="n">
        <v>2.55</v>
      </c>
    </row>
    <row r="101" customFormat="false" ht="15" hidden="false" customHeight="false" outlineLevel="0" collapsed="false">
      <c r="A101" s="43" t="s">
        <v>438</v>
      </c>
      <c r="B101" s="43" t="s">
        <v>439</v>
      </c>
      <c r="C101" s="44" t="str">
        <f aca="false">IF(A101="","",IFERROR(INDEX(Assumptions!$B$41:$B$55,MATCH(TRUE(),INDEX(ISNUMBER(SEARCH(" "&amp;Assumptions!$A$41:$A$55&amp;" "," "&amp;SUBSTITUTE(SUBSTITUTE(SUBSTITUTE(SUBSTITUTE(B101,"-"," "),","," "),"/"," "),"."," ")&amp;" ")),0),0)),"Other"))</f>
        <v>Lighting</v>
      </c>
      <c r="D101" s="45" t="n">
        <f aca="false">IF(A101="","",BG101*(1-Assumptions!$B$18))</f>
        <v>0.87</v>
      </c>
      <c r="E101" s="46" t="n">
        <f aca="false">IF(A101="","",INDEX(Assumptions!$B$23:$B$26,MOD(VALUE(LEFT(A101,5)),4)+1))</f>
        <v>4</v>
      </c>
      <c r="F101" s="47" t="n">
        <v>231</v>
      </c>
      <c r="G101" s="48" t="n">
        <v>308</v>
      </c>
      <c r="H101" s="48" t="n">
        <v>456</v>
      </c>
      <c r="I101" s="48" t="n">
        <v>59</v>
      </c>
      <c r="J101" s="48" t="n">
        <v>0</v>
      </c>
      <c r="K101" s="48" t="n">
        <v>120</v>
      </c>
      <c r="L101" s="48" t="n">
        <v>157</v>
      </c>
      <c r="M101" s="48" t="n">
        <v>339</v>
      </c>
      <c r="N101" s="48" t="n">
        <v>196</v>
      </c>
      <c r="O101" s="48" t="n">
        <v>240</v>
      </c>
      <c r="P101" s="48" t="n">
        <v>73</v>
      </c>
      <c r="Q101" s="48" t="n">
        <v>787</v>
      </c>
      <c r="R101" s="48" t="n">
        <v>312</v>
      </c>
      <c r="S101" s="48" t="n">
        <v>435</v>
      </c>
      <c r="T101" s="48" t="n">
        <v>161</v>
      </c>
      <c r="U101" s="48" t="n">
        <v>332</v>
      </c>
      <c r="V101" s="48" t="n">
        <v>614</v>
      </c>
      <c r="W101" s="48" t="n">
        <v>265</v>
      </c>
      <c r="X101" s="48" t="n">
        <v>216</v>
      </c>
      <c r="Y101" s="48" t="n">
        <v>324</v>
      </c>
      <c r="Z101" s="48" t="n">
        <v>177</v>
      </c>
      <c r="AA101" s="48" t="n">
        <v>229</v>
      </c>
      <c r="AB101" s="48" t="n">
        <v>108</v>
      </c>
      <c r="AC101" s="48" t="n">
        <v>256</v>
      </c>
      <c r="AD101" s="48" t="n">
        <v>111</v>
      </c>
      <c r="AE101" s="48" t="n">
        <v>138</v>
      </c>
      <c r="AF101" s="48" t="n">
        <v>120</v>
      </c>
      <c r="AG101" s="48" t="n">
        <v>183</v>
      </c>
      <c r="AH101" s="48" t="n">
        <v>164</v>
      </c>
      <c r="AI101" s="48" t="n">
        <v>153</v>
      </c>
      <c r="AJ101" s="48" t="n">
        <v>84</v>
      </c>
      <c r="AK101" s="48" t="n">
        <v>62</v>
      </c>
      <c r="AL101" s="48" t="n">
        <v>84</v>
      </c>
      <c r="AM101" s="48" t="n">
        <v>97</v>
      </c>
      <c r="AN101" s="48" t="n">
        <v>86</v>
      </c>
      <c r="AO101" s="48" t="n">
        <v>99</v>
      </c>
      <c r="AP101" s="48" t="n">
        <v>51</v>
      </c>
      <c r="AQ101" s="48" t="n">
        <v>816</v>
      </c>
      <c r="AR101" s="48" t="n">
        <v>84</v>
      </c>
      <c r="AS101" s="48" t="n">
        <v>76</v>
      </c>
      <c r="AT101" s="48" t="n">
        <v>100</v>
      </c>
      <c r="AU101" s="48" t="n">
        <v>122</v>
      </c>
      <c r="AV101" s="48" t="n">
        <v>1564</v>
      </c>
      <c r="AW101" s="48" t="n">
        <v>110</v>
      </c>
      <c r="AX101" s="48" t="n">
        <v>376</v>
      </c>
      <c r="AY101" s="48" t="n">
        <v>185</v>
      </c>
      <c r="AZ101" s="48" t="n">
        <v>97</v>
      </c>
      <c r="BA101" s="48" t="n">
        <v>168</v>
      </c>
      <c r="BB101" s="48" t="n">
        <v>193</v>
      </c>
      <c r="BC101" s="48" t="n">
        <v>106</v>
      </c>
      <c r="BD101" s="48" t="n">
        <v>168</v>
      </c>
      <c r="BE101" s="48" t="n">
        <v>93</v>
      </c>
      <c r="BF101" s="48" t="n">
        <v>142</v>
      </c>
      <c r="BG101" s="49" t="n">
        <v>1.45</v>
      </c>
    </row>
    <row r="102" customFormat="false" ht="15" hidden="false" customHeight="false" outlineLevel="0" collapsed="false">
      <c r="A102" s="43" t="s">
        <v>440</v>
      </c>
      <c r="B102" s="43" t="s">
        <v>441</v>
      </c>
      <c r="C102" s="44" t="str">
        <f aca="false">IF(A102="","",IFERROR(INDEX(Assumptions!$B$41:$B$55,MATCH(TRUE(),INDEX(ISNUMBER(SEARCH(" "&amp;Assumptions!$A$41:$A$55&amp;" "," "&amp;SUBSTITUTE(SUBSTITUTE(SUBSTITUTE(SUBSTITUTE(B102,"-"," "),","," "),"/"," "),"."," ")&amp;" ")),0),0)),"Other"))</f>
        <v>Other</v>
      </c>
      <c r="D102" s="45" t="n">
        <f aca="false">IF(A102="","",BG102*(1-Assumptions!$B$18))</f>
        <v>2.55</v>
      </c>
      <c r="E102" s="46" t="n">
        <f aca="false">IF(A102="","",INDEX(Assumptions!$B$23:$B$26,MOD(VALUE(LEFT(A102,5)),4)+1))</f>
        <v>8</v>
      </c>
      <c r="F102" s="47" t="n">
        <v>3300</v>
      </c>
      <c r="G102" s="48" t="n">
        <v>555</v>
      </c>
      <c r="H102" s="48" t="n">
        <v>282</v>
      </c>
      <c r="I102" s="48" t="n">
        <v>326</v>
      </c>
      <c r="J102" s="48" t="n">
        <v>0</v>
      </c>
      <c r="K102" s="48" t="n">
        <v>46</v>
      </c>
      <c r="L102" s="48" t="n">
        <v>51</v>
      </c>
      <c r="M102" s="48" t="n">
        <v>3</v>
      </c>
      <c r="N102" s="48" t="n">
        <v>17</v>
      </c>
      <c r="O102" s="48" t="n">
        <v>4</v>
      </c>
      <c r="P102" s="48" t="n">
        <v>11</v>
      </c>
      <c r="Q102" s="48" t="n">
        <v>11</v>
      </c>
      <c r="R102" s="48" t="n">
        <v>1</v>
      </c>
      <c r="S102" s="48" t="n">
        <v>5</v>
      </c>
      <c r="T102" s="48" t="n">
        <v>10</v>
      </c>
      <c r="U102" s="48" t="n">
        <v>3</v>
      </c>
      <c r="V102" s="48" t="n">
        <v>0</v>
      </c>
      <c r="W102" s="48" t="n">
        <v>0</v>
      </c>
      <c r="X102" s="48" t="n">
        <v>0</v>
      </c>
      <c r="Y102" s="48" t="n">
        <v>7</v>
      </c>
      <c r="Z102" s="48" t="n">
        <v>5</v>
      </c>
      <c r="AA102" s="48" t="n">
        <v>0</v>
      </c>
      <c r="AB102" s="48" t="n">
        <v>9</v>
      </c>
      <c r="AC102" s="48" t="n">
        <v>1</v>
      </c>
      <c r="AD102" s="48" t="n">
        <v>4</v>
      </c>
      <c r="AE102" s="48" t="n">
        <v>0</v>
      </c>
      <c r="AF102" s="48" t="n">
        <v>0</v>
      </c>
      <c r="AG102" s="48" t="n">
        <v>8</v>
      </c>
      <c r="AH102" s="48" t="n">
        <v>0</v>
      </c>
      <c r="AI102" s="48" t="n">
        <v>4</v>
      </c>
      <c r="AJ102" s="48" t="n">
        <v>6</v>
      </c>
      <c r="AK102" s="48" t="n">
        <v>3</v>
      </c>
      <c r="AL102" s="48" t="n">
        <v>6</v>
      </c>
      <c r="AM102" s="48" t="n">
        <v>13</v>
      </c>
      <c r="AN102" s="48" t="n">
        <v>6</v>
      </c>
      <c r="AO102" s="48" t="n">
        <v>202</v>
      </c>
      <c r="AP102" s="48" t="n">
        <v>199</v>
      </c>
      <c r="AQ102" s="48" t="n">
        <v>13</v>
      </c>
      <c r="AR102" s="48" t="n">
        <v>7</v>
      </c>
      <c r="AS102" s="48" t="n">
        <v>37</v>
      </c>
      <c r="AT102" s="48" t="n">
        <v>27</v>
      </c>
      <c r="AU102" s="48" t="n">
        <v>83</v>
      </c>
      <c r="AV102" s="48" t="n">
        <v>25</v>
      </c>
      <c r="AW102" s="48" t="n">
        <v>70</v>
      </c>
      <c r="AX102" s="48" t="n">
        <v>59</v>
      </c>
      <c r="AY102" s="48" t="n">
        <v>96</v>
      </c>
      <c r="AZ102" s="48" t="n">
        <v>92</v>
      </c>
      <c r="BA102" s="48" t="n">
        <v>109</v>
      </c>
      <c r="BB102" s="48" t="n">
        <v>76</v>
      </c>
      <c r="BC102" s="48" t="n">
        <v>144</v>
      </c>
      <c r="BD102" s="48" t="n">
        <v>490</v>
      </c>
      <c r="BE102" s="48" t="n">
        <v>128</v>
      </c>
      <c r="BF102" s="48" t="n">
        <v>178</v>
      </c>
      <c r="BG102" s="49" t="n">
        <v>4.25</v>
      </c>
    </row>
    <row r="103" customFormat="false" ht="15" hidden="false" customHeight="false" outlineLevel="0" collapsed="false">
      <c r="A103" s="43" t="s">
        <v>442</v>
      </c>
      <c r="B103" s="43" t="s">
        <v>443</v>
      </c>
      <c r="C103" s="44" t="str">
        <f aca="false">IF(A103="","",IFERROR(INDEX(Assumptions!$B$41:$B$55,MATCH(TRUE(),INDEX(ISNUMBER(SEARCH(" "&amp;Assumptions!$A$41:$A$55&amp;" "," "&amp;SUBSTITUTE(SUBSTITUTE(SUBSTITUTE(SUBSTITUTE(B103,"-"," "),","," "),"/"," "),"."," ")&amp;" ")),0),0)),"Other"))</f>
        <v>Bags</v>
      </c>
      <c r="D103" s="45" t="n">
        <f aca="false">IF(A103="","",BG103*(1-Assumptions!$B$18))</f>
        <v>0.99</v>
      </c>
      <c r="E103" s="46" t="n">
        <f aca="false">IF(A103="","",INDEX(Assumptions!$B$23:$B$26,MOD(VALUE(LEFT(A103,5)),4)+1))</f>
        <v>6</v>
      </c>
      <c r="F103" s="47" t="n">
        <v>6738</v>
      </c>
      <c r="G103" s="48" t="n">
        <v>86</v>
      </c>
      <c r="H103" s="48" t="n">
        <v>106</v>
      </c>
      <c r="I103" s="48" t="n">
        <v>210</v>
      </c>
      <c r="J103" s="48" t="n">
        <v>0</v>
      </c>
      <c r="K103" s="48" t="n">
        <v>189</v>
      </c>
      <c r="L103" s="48" t="n">
        <v>132</v>
      </c>
      <c r="M103" s="48" t="n">
        <v>176</v>
      </c>
      <c r="N103" s="48" t="n">
        <v>187</v>
      </c>
      <c r="O103" s="48" t="n">
        <v>105</v>
      </c>
      <c r="P103" s="48" t="n">
        <v>62</v>
      </c>
      <c r="Q103" s="48" t="n">
        <v>172</v>
      </c>
      <c r="R103" s="48" t="n">
        <v>157</v>
      </c>
      <c r="S103" s="48" t="n">
        <v>169</v>
      </c>
      <c r="T103" s="48" t="n">
        <v>134</v>
      </c>
      <c r="U103" s="48" t="n">
        <v>94</v>
      </c>
      <c r="V103" s="48" t="n">
        <v>120</v>
      </c>
      <c r="W103" s="48" t="n">
        <v>361</v>
      </c>
      <c r="X103" s="48" t="n">
        <v>174</v>
      </c>
      <c r="Y103" s="48" t="n">
        <v>103</v>
      </c>
      <c r="Z103" s="48" t="n">
        <v>119</v>
      </c>
      <c r="AA103" s="48" t="n">
        <v>110</v>
      </c>
      <c r="AB103" s="48" t="n">
        <v>127</v>
      </c>
      <c r="AC103" s="48" t="n">
        <v>253</v>
      </c>
      <c r="AD103" s="48" t="n">
        <v>172</v>
      </c>
      <c r="AE103" s="48" t="n">
        <v>142</v>
      </c>
      <c r="AF103" s="48" t="n">
        <v>89</v>
      </c>
      <c r="AG103" s="48" t="n">
        <v>169</v>
      </c>
      <c r="AH103" s="48" t="n">
        <v>340</v>
      </c>
      <c r="AI103" s="48" t="n">
        <v>166</v>
      </c>
      <c r="AJ103" s="48" t="n">
        <v>212</v>
      </c>
      <c r="AK103" s="48" t="n">
        <v>347</v>
      </c>
      <c r="AL103" s="48" t="n">
        <v>127</v>
      </c>
      <c r="AM103" s="48" t="n">
        <v>280</v>
      </c>
      <c r="AN103" s="48" t="n">
        <v>192</v>
      </c>
      <c r="AO103" s="48" t="n">
        <v>469</v>
      </c>
      <c r="AP103" s="48" t="n">
        <v>301</v>
      </c>
      <c r="AQ103" s="48" t="n">
        <v>304</v>
      </c>
      <c r="AR103" s="48" t="n">
        <v>283</v>
      </c>
      <c r="AS103" s="48" t="n">
        <v>139</v>
      </c>
      <c r="AT103" s="48" t="n">
        <v>161</v>
      </c>
      <c r="AU103" s="48" t="n">
        <v>252</v>
      </c>
      <c r="AV103" s="48" t="n">
        <v>278</v>
      </c>
      <c r="AW103" s="48" t="n">
        <v>156</v>
      </c>
      <c r="AX103" s="48" t="n">
        <v>290</v>
      </c>
      <c r="AY103" s="48" t="n">
        <v>102</v>
      </c>
      <c r="AZ103" s="48" t="n">
        <v>162</v>
      </c>
      <c r="BA103" s="48" t="n">
        <v>209</v>
      </c>
      <c r="BB103" s="48" t="n">
        <v>242</v>
      </c>
      <c r="BC103" s="48" t="n">
        <v>395</v>
      </c>
      <c r="BD103" s="48" t="n">
        <v>417</v>
      </c>
      <c r="BE103" s="48" t="n">
        <v>437</v>
      </c>
      <c r="BF103" s="48" t="n">
        <v>126</v>
      </c>
      <c r="BG103" s="49" t="n">
        <v>1.65</v>
      </c>
    </row>
    <row r="104" customFormat="false" ht="15" hidden="false" customHeight="false" outlineLevel="0" collapsed="false">
      <c r="A104" s="43" t="s">
        <v>444</v>
      </c>
      <c r="B104" s="43" t="s">
        <v>445</v>
      </c>
      <c r="C104" s="44" t="str">
        <f aca="false">IF(A104="","",IFERROR(INDEX(Assumptions!$B$41:$B$55,MATCH(TRUE(),INDEX(ISNUMBER(SEARCH(" "&amp;Assumptions!$A$41:$A$55&amp;" "," "&amp;SUBSTITUTE(SUBSTITUTE(SUBSTITUTE(SUBSTITUTE(B104,"-"," "),","," "),"/"," "),"."," ")&amp;" ")),0),0)),"Other"))</f>
        <v>Bags</v>
      </c>
      <c r="D104" s="45" t="n">
        <f aca="false">IF(A104="","",BG104*(1-Assumptions!$B$18))</f>
        <v>0.99</v>
      </c>
      <c r="E104" s="46" t="n">
        <f aca="false">IF(A104="","",INDEX(Assumptions!$B$23:$B$26,MOD(VALUE(LEFT(A104,5)),4)+1))</f>
        <v>6</v>
      </c>
      <c r="F104" s="47" t="n">
        <v>372</v>
      </c>
      <c r="G104" s="48" t="n">
        <v>104</v>
      </c>
      <c r="H104" s="48" t="n">
        <v>137</v>
      </c>
      <c r="I104" s="48" t="n">
        <v>232</v>
      </c>
      <c r="J104" s="48" t="n">
        <v>0</v>
      </c>
      <c r="K104" s="48" t="n">
        <v>182</v>
      </c>
      <c r="L104" s="48" t="n">
        <v>139</v>
      </c>
      <c r="M104" s="48" t="n">
        <v>88</v>
      </c>
      <c r="N104" s="48" t="n">
        <v>177</v>
      </c>
      <c r="O104" s="48" t="n">
        <v>103</v>
      </c>
      <c r="P104" s="48" t="n">
        <v>35</v>
      </c>
      <c r="Q104" s="48" t="n">
        <v>229</v>
      </c>
      <c r="R104" s="48" t="n">
        <v>67</v>
      </c>
      <c r="S104" s="48" t="n">
        <v>61</v>
      </c>
      <c r="T104" s="48" t="n">
        <v>95</v>
      </c>
      <c r="U104" s="48" t="n">
        <v>220</v>
      </c>
      <c r="V104" s="48" t="n">
        <v>132</v>
      </c>
      <c r="W104" s="48" t="n">
        <v>528</v>
      </c>
      <c r="X104" s="48" t="n">
        <v>137</v>
      </c>
      <c r="Y104" s="48" t="n">
        <v>128</v>
      </c>
      <c r="Z104" s="48" t="n">
        <v>94</v>
      </c>
      <c r="AA104" s="48" t="n">
        <v>234</v>
      </c>
      <c r="AB104" s="48" t="n">
        <v>163</v>
      </c>
      <c r="AC104" s="48" t="n">
        <v>652</v>
      </c>
      <c r="AD104" s="48" t="n">
        <v>159</v>
      </c>
      <c r="AE104" s="48" t="n">
        <v>352</v>
      </c>
      <c r="AF104" s="48" t="n">
        <v>83</v>
      </c>
      <c r="AG104" s="48" t="n">
        <v>325</v>
      </c>
      <c r="AH104" s="48" t="n">
        <v>169</v>
      </c>
      <c r="AI104" s="48" t="n">
        <v>183</v>
      </c>
      <c r="AJ104" s="48" t="n">
        <v>189</v>
      </c>
      <c r="AK104" s="48" t="n">
        <v>140</v>
      </c>
      <c r="AL104" s="48" t="n">
        <v>250</v>
      </c>
      <c r="AM104" s="48" t="n">
        <v>239</v>
      </c>
      <c r="AN104" s="48" t="n">
        <v>370</v>
      </c>
      <c r="AO104" s="48" t="n">
        <v>122</v>
      </c>
      <c r="AP104" s="48" t="n">
        <v>336</v>
      </c>
      <c r="AQ104" s="48" t="n">
        <v>341</v>
      </c>
      <c r="AR104" s="48" t="n">
        <v>213</v>
      </c>
      <c r="AS104" s="48" t="n">
        <v>229</v>
      </c>
      <c r="AT104" s="48" t="n">
        <v>135</v>
      </c>
      <c r="AU104" s="48" t="n">
        <v>152</v>
      </c>
      <c r="AV104" s="48" t="n">
        <v>347</v>
      </c>
      <c r="AW104" s="48" t="n">
        <v>153</v>
      </c>
      <c r="AX104" s="48" t="n">
        <v>183</v>
      </c>
      <c r="AY104" s="48" t="n">
        <v>115</v>
      </c>
      <c r="AZ104" s="48" t="n">
        <v>103</v>
      </c>
      <c r="BA104" s="48" t="n">
        <v>105</v>
      </c>
      <c r="BB104" s="48" t="n">
        <v>192</v>
      </c>
      <c r="BC104" s="48" t="n">
        <v>149</v>
      </c>
      <c r="BD104" s="48" t="n">
        <v>214</v>
      </c>
      <c r="BE104" s="48" t="n">
        <v>109</v>
      </c>
      <c r="BF104" s="48" t="n">
        <v>77</v>
      </c>
      <c r="BG104" s="49" t="n">
        <v>1.65</v>
      </c>
    </row>
    <row r="105" customFormat="false" ht="15" hidden="false" customHeight="false" outlineLevel="0" collapsed="false">
      <c r="A105" s="43" t="s">
        <v>446</v>
      </c>
      <c r="B105" s="43" t="s">
        <v>447</v>
      </c>
      <c r="C105" s="44" t="str">
        <f aca="false">IF(A105="","",IFERROR(INDEX(Assumptions!$B$41:$B$55,MATCH(TRUE(),INDEX(ISNUMBER(SEARCH(" "&amp;Assumptions!$A$41:$A$55&amp;" "," "&amp;SUBSTITUTE(SUBSTITUTE(SUBSTITUTE(SUBSTITUTE(B105,"-"," "),","," "),"/"," "),"."," ")&amp;" ")),0),0)),"Other"))</f>
        <v>Kitchen</v>
      </c>
      <c r="D105" s="45" t="n">
        <f aca="false">IF(A105="","",BG105*(1-Assumptions!$B$18))</f>
        <v>1.26</v>
      </c>
      <c r="E105" s="46" t="n">
        <f aca="false">IF(A105="","",INDEX(Assumptions!$B$23:$B$26,MOD(VALUE(LEFT(A105,5)),4)+1))</f>
        <v>2</v>
      </c>
      <c r="F105" s="47" t="n">
        <v>2512</v>
      </c>
      <c r="G105" s="48" t="n">
        <v>79</v>
      </c>
      <c r="H105" s="48" t="n">
        <v>52</v>
      </c>
      <c r="I105" s="48" t="n">
        <v>11</v>
      </c>
      <c r="J105" s="48" t="n">
        <v>0</v>
      </c>
      <c r="K105" s="48" t="n">
        <v>29</v>
      </c>
      <c r="L105" s="48" t="n">
        <v>3141</v>
      </c>
      <c r="M105" s="48" t="n">
        <v>9</v>
      </c>
      <c r="N105" s="48" t="n">
        <v>22</v>
      </c>
      <c r="O105" s="48" t="n">
        <v>46</v>
      </c>
      <c r="P105" s="48" t="n">
        <v>32</v>
      </c>
      <c r="Q105" s="48" t="n">
        <v>2</v>
      </c>
      <c r="R105" s="48" t="n">
        <v>10</v>
      </c>
      <c r="S105" s="48" t="n">
        <v>46</v>
      </c>
      <c r="T105" s="48" t="n">
        <v>20</v>
      </c>
      <c r="U105" s="48" t="n">
        <v>10</v>
      </c>
      <c r="V105" s="48" t="n">
        <v>37</v>
      </c>
      <c r="W105" s="48" t="n">
        <v>10</v>
      </c>
      <c r="X105" s="48" t="n">
        <v>0</v>
      </c>
      <c r="Y105" s="48" t="n">
        <v>9</v>
      </c>
      <c r="Z105" s="48" t="n">
        <v>3132</v>
      </c>
      <c r="AA105" s="48" t="n">
        <v>3</v>
      </c>
      <c r="AB105" s="48" t="n">
        <v>0</v>
      </c>
      <c r="AC105" s="48" t="n">
        <v>0</v>
      </c>
      <c r="AD105" s="48" t="n">
        <v>11</v>
      </c>
      <c r="AE105" s="48" t="n">
        <v>1</v>
      </c>
      <c r="AF105" s="48" t="n">
        <v>1</v>
      </c>
      <c r="AG105" s="48" t="n">
        <v>7</v>
      </c>
      <c r="AH105" s="48" t="n">
        <v>0</v>
      </c>
      <c r="AI105" s="48" t="n">
        <v>10</v>
      </c>
      <c r="AJ105" s="48" t="n">
        <v>12</v>
      </c>
      <c r="AK105" s="48" t="n">
        <v>18</v>
      </c>
      <c r="AL105" s="48" t="n">
        <v>9</v>
      </c>
      <c r="AM105" s="48" t="n">
        <v>5</v>
      </c>
      <c r="AN105" s="48" t="n">
        <v>14</v>
      </c>
      <c r="AO105" s="48" t="n">
        <v>19</v>
      </c>
      <c r="AP105" s="48" t="n">
        <v>4</v>
      </c>
      <c r="AQ105" s="48" t="n">
        <v>18</v>
      </c>
      <c r="AR105" s="48" t="n">
        <v>9</v>
      </c>
      <c r="AS105" s="48" t="n">
        <v>18</v>
      </c>
      <c r="AT105" s="48" t="n">
        <v>10</v>
      </c>
      <c r="AU105" s="48" t="n">
        <v>9</v>
      </c>
      <c r="AV105" s="48" t="n">
        <v>6</v>
      </c>
      <c r="AW105" s="48" t="n">
        <v>38</v>
      </c>
      <c r="AX105" s="48" t="n">
        <v>40</v>
      </c>
      <c r="AY105" s="48" t="n">
        <v>136</v>
      </c>
      <c r="AZ105" s="48" t="n">
        <v>263</v>
      </c>
      <c r="BA105" s="48" t="n">
        <v>253</v>
      </c>
      <c r="BB105" s="48" t="n">
        <v>207</v>
      </c>
      <c r="BC105" s="48" t="n">
        <v>940</v>
      </c>
      <c r="BD105" s="48" t="n">
        <v>673</v>
      </c>
      <c r="BE105" s="48" t="n">
        <v>389</v>
      </c>
      <c r="BF105" s="48" t="n">
        <v>227</v>
      </c>
      <c r="BG105" s="49" t="n">
        <v>2.1</v>
      </c>
    </row>
    <row r="106" customFormat="false" ht="15" hidden="false" customHeight="false" outlineLevel="0" collapsed="false">
      <c r="A106" s="43" t="s">
        <v>448</v>
      </c>
      <c r="B106" s="43" t="s">
        <v>449</v>
      </c>
      <c r="C106" s="44" t="str">
        <f aca="false">IF(A106="","",IFERROR(INDEX(Assumptions!$B$41:$B$55,MATCH(TRUE(),INDEX(ISNUMBER(SEARCH(" "&amp;Assumptions!$A$41:$A$55&amp;" "," "&amp;SUBSTITUTE(SUBSTITUTE(SUBSTITUTE(SUBSTITUTE(B106,"-"," "),","," "),"/"," "),"."," ")&amp;" ")),0),0)),"Other"))</f>
        <v>Other</v>
      </c>
      <c r="D106" s="45" t="n">
        <f aca="false">IF(A106="","",BG106*(1-Assumptions!$B$18))</f>
        <v>5.37</v>
      </c>
      <c r="E106" s="46" t="n">
        <f aca="false">IF(A106="","",INDEX(Assumptions!$B$23:$B$26,MOD(VALUE(LEFT(A106,5)),4)+1))</f>
        <v>6</v>
      </c>
      <c r="F106" s="47" t="n">
        <v>395</v>
      </c>
      <c r="G106" s="48" t="n">
        <v>67</v>
      </c>
      <c r="H106" s="48" t="n">
        <v>93</v>
      </c>
      <c r="I106" s="48" t="n">
        <v>7</v>
      </c>
      <c r="J106" s="48" t="n">
        <v>0</v>
      </c>
      <c r="K106" s="48" t="n">
        <v>51</v>
      </c>
      <c r="L106" s="48" t="n">
        <v>18</v>
      </c>
      <c r="M106" s="48" t="n">
        <v>49</v>
      </c>
      <c r="N106" s="48" t="n">
        <v>41</v>
      </c>
      <c r="O106" s="48" t="n">
        <v>14</v>
      </c>
      <c r="P106" s="48" t="n">
        <v>7</v>
      </c>
      <c r="Q106" s="48" t="n">
        <v>19</v>
      </c>
      <c r="R106" s="48" t="n">
        <v>58</v>
      </c>
      <c r="S106" s="48" t="n">
        <v>17</v>
      </c>
      <c r="T106" s="48" t="n">
        <v>54</v>
      </c>
      <c r="U106" s="48" t="n">
        <v>46</v>
      </c>
      <c r="V106" s="48" t="n">
        <v>26</v>
      </c>
      <c r="W106" s="48" t="n">
        <v>15</v>
      </c>
      <c r="X106" s="48" t="n">
        <v>34</v>
      </c>
      <c r="Y106" s="48" t="n">
        <v>48</v>
      </c>
      <c r="Z106" s="48" t="n">
        <v>32</v>
      </c>
      <c r="AA106" s="48" t="n">
        <v>26</v>
      </c>
      <c r="AB106" s="48" t="n">
        <v>37</v>
      </c>
      <c r="AC106" s="48" t="n">
        <v>12</v>
      </c>
      <c r="AD106" s="48" t="n">
        <v>51</v>
      </c>
      <c r="AE106" s="48" t="n">
        <v>37</v>
      </c>
      <c r="AF106" s="48" t="n">
        <v>46</v>
      </c>
      <c r="AG106" s="48" t="n">
        <v>41</v>
      </c>
      <c r="AH106" s="48" t="n">
        <v>13</v>
      </c>
      <c r="AI106" s="48" t="n">
        <v>44</v>
      </c>
      <c r="AJ106" s="48" t="n">
        <v>14</v>
      </c>
      <c r="AK106" s="48" t="n">
        <v>13</v>
      </c>
      <c r="AL106" s="48" t="n">
        <v>40</v>
      </c>
      <c r="AM106" s="48" t="n">
        <v>47</v>
      </c>
      <c r="AN106" s="48" t="n">
        <v>43</v>
      </c>
      <c r="AO106" s="48" t="n">
        <v>39</v>
      </c>
      <c r="AP106" s="48" t="n">
        <v>35</v>
      </c>
      <c r="AQ106" s="48" t="n">
        <v>66</v>
      </c>
      <c r="AR106" s="48" t="n">
        <v>36</v>
      </c>
      <c r="AS106" s="48" t="n">
        <v>46</v>
      </c>
      <c r="AT106" s="48" t="n">
        <v>42</v>
      </c>
      <c r="AU106" s="48" t="n">
        <v>43</v>
      </c>
      <c r="AV106" s="48" t="n">
        <v>57</v>
      </c>
      <c r="AW106" s="48" t="n">
        <v>17</v>
      </c>
      <c r="AX106" s="48" t="n">
        <v>25</v>
      </c>
      <c r="AY106" s="48" t="n">
        <v>35</v>
      </c>
      <c r="AZ106" s="48" t="n">
        <v>54</v>
      </c>
      <c r="BA106" s="48" t="n">
        <v>43</v>
      </c>
      <c r="BB106" s="48" t="n">
        <v>71</v>
      </c>
      <c r="BC106" s="48" t="n">
        <v>52</v>
      </c>
      <c r="BD106" s="48" t="n">
        <v>62</v>
      </c>
      <c r="BE106" s="48" t="n">
        <v>71</v>
      </c>
      <c r="BF106" s="48" t="n">
        <v>101</v>
      </c>
      <c r="BG106" s="49" t="n">
        <v>8.95</v>
      </c>
    </row>
    <row r="107" customFormat="false" ht="15" hidden="false" customHeight="false" outlineLevel="0" collapsed="false">
      <c r="A107" s="43" t="s">
        <v>450</v>
      </c>
      <c r="B107" s="43" t="s">
        <v>451</v>
      </c>
      <c r="C107" s="44" t="str">
        <f aca="false">IF(A107="","",IFERROR(INDEX(Assumptions!$B$41:$B$55,MATCH(TRUE(),INDEX(ISNUMBER(SEARCH(" "&amp;Assumptions!$A$41:$A$55&amp;" "," "&amp;SUBSTITUTE(SUBSTITUTE(SUBSTITUTE(SUBSTITUTE(B107,"-"," "),","," "),"/"," "),"."," ")&amp;" ")),0),0)),"Other"))</f>
        <v>Kitchen</v>
      </c>
      <c r="D107" s="45" t="n">
        <f aca="false">IF(A107="","",BG107*(1-Assumptions!$B$18))</f>
        <v>0.75</v>
      </c>
      <c r="E107" s="46" t="n">
        <f aca="false">IF(A107="","",INDEX(Assumptions!$B$23:$B$26,MOD(VALUE(LEFT(A107,5)),4)+1))</f>
        <v>4</v>
      </c>
      <c r="F107" s="47" t="n">
        <v>12626</v>
      </c>
      <c r="G107" s="48" t="n">
        <v>24</v>
      </c>
      <c r="H107" s="48" t="n">
        <v>2569</v>
      </c>
      <c r="I107" s="48" t="n">
        <v>24</v>
      </c>
      <c r="J107" s="48" t="n">
        <v>0</v>
      </c>
      <c r="K107" s="48" t="n">
        <v>72</v>
      </c>
      <c r="L107" s="48" t="n">
        <v>192</v>
      </c>
      <c r="M107" s="48" t="n">
        <v>72</v>
      </c>
      <c r="N107" s="48" t="n">
        <v>120</v>
      </c>
      <c r="O107" s="48" t="n">
        <v>48</v>
      </c>
      <c r="P107" s="48" t="n">
        <v>2451</v>
      </c>
      <c r="Q107" s="48" t="n">
        <v>1152</v>
      </c>
      <c r="R107" s="48" t="n">
        <v>120</v>
      </c>
      <c r="S107" s="48" t="n">
        <v>72</v>
      </c>
      <c r="T107" s="48" t="n">
        <v>96</v>
      </c>
      <c r="U107" s="48" t="n">
        <v>240</v>
      </c>
      <c r="V107" s="48" t="n">
        <v>120</v>
      </c>
      <c r="W107" s="48" t="n">
        <v>1128</v>
      </c>
      <c r="X107" s="48" t="n">
        <v>146</v>
      </c>
      <c r="Y107" s="48" t="n">
        <v>1369</v>
      </c>
      <c r="Z107" s="48" t="n">
        <v>158</v>
      </c>
      <c r="AA107" s="48" t="n">
        <v>72</v>
      </c>
      <c r="AB107" s="48" t="n">
        <v>243</v>
      </c>
      <c r="AC107" s="48" t="n">
        <v>144</v>
      </c>
      <c r="AD107" s="48" t="n">
        <v>217</v>
      </c>
      <c r="AE107" s="48" t="n">
        <v>174</v>
      </c>
      <c r="AF107" s="48" t="n">
        <v>148</v>
      </c>
      <c r="AG107" s="48" t="n">
        <v>48</v>
      </c>
      <c r="AH107" s="48" t="n">
        <v>121</v>
      </c>
      <c r="AI107" s="48" t="n">
        <v>744</v>
      </c>
      <c r="AJ107" s="48" t="n">
        <v>124</v>
      </c>
      <c r="AK107" s="48" t="n">
        <v>216</v>
      </c>
      <c r="AL107" s="48" t="n">
        <v>96</v>
      </c>
      <c r="AM107" s="48" t="n">
        <v>72</v>
      </c>
      <c r="AN107" s="48" t="n">
        <v>626</v>
      </c>
      <c r="AO107" s="48" t="n">
        <v>121</v>
      </c>
      <c r="AP107" s="48" t="n">
        <v>121</v>
      </c>
      <c r="AQ107" s="48" t="n">
        <v>24</v>
      </c>
      <c r="AR107" s="48" t="n">
        <v>48</v>
      </c>
      <c r="AS107" s="48" t="n">
        <v>1</v>
      </c>
      <c r="AT107" s="48" t="n">
        <v>216</v>
      </c>
      <c r="AU107" s="48" t="n">
        <v>2</v>
      </c>
      <c r="AV107" s="48" t="n">
        <v>102</v>
      </c>
      <c r="AW107" s="48" t="n">
        <v>97</v>
      </c>
      <c r="AX107" s="48" t="n">
        <v>125</v>
      </c>
      <c r="AY107" s="48" t="n">
        <v>148</v>
      </c>
      <c r="AZ107" s="48" t="n">
        <v>264</v>
      </c>
      <c r="BA107" s="48" t="n">
        <v>363</v>
      </c>
      <c r="BB107" s="48" t="n">
        <v>221</v>
      </c>
      <c r="BC107" s="48" t="n">
        <v>299</v>
      </c>
      <c r="BD107" s="48" t="n">
        <v>216</v>
      </c>
      <c r="BE107" s="48" t="n">
        <v>64</v>
      </c>
      <c r="BF107" s="48" t="n">
        <v>363</v>
      </c>
      <c r="BG107" s="49" t="n">
        <v>1.25</v>
      </c>
    </row>
    <row r="108" customFormat="false" ht="15" hidden="false" customHeight="false" outlineLevel="0" collapsed="false">
      <c r="A108" s="43" t="s">
        <v>452</v>
      </c>
      <c r="B108" s="43" t="s">
        <v>453</v>
      </c>
      <c r="C108" s="44" t="str">
        <f aca="false">IF(A108="","",IFERROR(INDEX(Assumptions!$B$41:$B$55,MATCH(TRUE(),INDEX(ISNUMBER(SEARCH(" "&amp;Assumptions!$A$41:$A$55&amp;" "," "&amp;SUBSTITUTE(SUBSTITUTE(SUBSTITUTE(SUBSTITUTE(B108,"-"," "),","," "),"/"," "),"."," ")&amp;" ")),0),0)),"Other"))</f>
        <v>Other</v>
      </c>
      <c r="D108" s="45" t="n">
        <f aca="false">IF(A108="","",BG108*(1-Assumptions!$B$18))</f>
        <v>1.77</v>
      </c>
      <c r="E108" s="46" t="n">
        <f aca="false">IF(A108="","",INDEX(Assumptions!$B$23:$B$26,MOD(VALUE(LEFT(A108,5)),4)+1))</f>
        <v>6</v>
      </c>
      <c r="F108" s="47" t="n">
        <v>1525</v>
      </c>
      <c r="G108" s="48" t="n">
        <v>130</v>
      </c>
      <c r="H108" s="48" t="n">
        <v>155</v>
      </c>
      <c r="I108" s="48" t="n">
        <v>25</v>
      </c>
      <c r="J108" s="48" t="n">
        <v>0</v>
      </c>
      <c r="K108" s="48" t="n">
        <v>137</v>
      </c>
      <c r="L108" s="48" t="n">
        <v>384</v>
      </c>
      <c r="M108" s="48" t="n">
        <v>51</v>
      </c>
      <c r="N108" s="48" t="n">
        <v>37</v>
      </c>
      <c r="O108" s="48" t="n">
        <v>75</v>
      </c>
      <c r="P108" s="48" t="n">
        <v>66</v>
      </c>
      <c r="Q108" s="48" t="n">
        <v>109</v>
      </c>
      <c r="R108" s="48" t="n">
        <v>100</v>
      </c>
      <c r="S108" s="48" t="n">
        <v>75</v>
      </c>
      <c r="T108" s="48" t="n">
        <v>43</v>
      </c>
      <c r="U108" s="48" t="n">
        <v>60</v>
      </c>
      <c r="V108" s="48" t="n">
        <v>112</v>
      </c>
      <c r="W108" s="48" t="n">
        <v>74</v>
      </c>
      <c r="X108" s="48" t="n">
        <v>82</v>
      </c>
      <c r="Y108" s="48" t="n">
        <v>165</v>
      </c>
      <c r="Z108" s="48" t="n">
        <v>56</v>
      </c>
      <c r="AA108" s="48" t="n">
        <v>52</v>
      </c>
      <c r="AB108" s="48" t="n">
        <v>84</v>
      </c>
      <c r="AC108" s="48" t="n">
        <v>142</v>
      </c>
      <c r="AD108" s="48" t="n">
        <v>122</v>
      </c>
      <c r="AE108" s="48" t="n">
        <v>107</v>
      </c>
      <c r="AF108" s="48" t="n">
        <v>84</v>
      </c>
      <c r="AG108" s="48" t="n">
        <v>72</v>
      </c>
      <c r="AH108" s="48" t="n">
        <v>176</v>
      </c>
      <c r="AI108" s="48" t="n">
        <v>57</v>
      </c>
      <c r="AJ108" s="48" t="n">
        <v>68</v>
      </c>
      <c r="AK108" s="48" t="n">
        <v>116</v>
      </c>
      <c r="AL108" s="48" t="n">
        <v>137</v>
      </c>
      <c r="AM108" s="48" t="n">
        <v>121</v>
      </c>
      <c r="AN108" s="48" t="n">
        <v>515</v>
      </c>
      <c r="AO108" s="48" t="n">
        <v>148</v>
      </c>
      <c r="AP108" s="48" t="n">
        <v>133</v>
      </c>
      <c r="AQ108" s="48" t="n">
        <v>74</v>
      </c>
      <c r="AR108" s="48" t="n">
        <v>190</v>
      </c>
      <c r="AS108" s="48" t="n">
        <v>44</v>
      </c>
      <c r="AT108" s="48" t="n">
        <v>178</v>
      </c>
      <c r="AU108" s="48" t="n">
        <v>86</v>
      </c>
      <c r="AV108" s="48" t="n">
        <v>176</v>
      </c>
      <c r="AW108" s="48" t="n">
        <v>61</v>
      </c>
      <c r="AX108" s="48" t="n">
        <v>103</v>
      </c>
      <c r="AY108" s="48" t="n">
        <v>22</v>
      </c>
      <c r="AZ108" s="48" t="n">
        <v>93</v>
      </c>
      <c r="BA108" s="48" t="n">
        <v>163</v>
      </c>
      <c r="BB108" s="48" t="n">
        <v>139</v>
      </c>
      <c r="BC108" s="48" t="n">
        <v>117</v>
      </c>
      <c r="BD108" s="48" t="n">
        <v>193</v>
      </c>
      <c r="BE108" s="48" t="n">
        <v>156</v>
      </c>
      <c r="BF108" s="48" t="n">
        <v>234</v>
      </c>
      <c r="BG108" s="49" t="n">
        <v>2.95</v>
      </c>
    </row>
    <row r="109" customFormat="false" ht="15" hidden="false" customHeight="false" outlineLevel="0" collapsed="false">
      <c r="A109" s="43" t="s">
        <v>454</v>
      </c>
      <c r="B109" s="43" t="s">
        <v>455</v>
      </c>
      <c r="C109" s="44" t="str">
        <f aca="false">IF(A109="","",IFERROR(INDEX(Assumptions!$B$41:$B$55,MATCH(TRUE(),INDEX(ISNUMBER(SEARCH(" "&amp;Assumptions!$A$41:$A$55&amp;" "," "&amp;SUBSTITUTE(SUBSTITUTE(SUBSTITUTE(SUBSTITUTE(B109,"-"," "),","," "),"/"," "),"."," ")&amp;" ")),0),0)),"Other"))</f>
        <v>Bags</v>
      </c>
      <c r="D109" s="45" t="n">
        <f aca="false">IF(A109="","",BG109*(1-Assumptions!$B$18))</f>
        <v>0.99</v>
      </c>
      <c r="E109" s="46" t="n">
        <f aca="false">IF(A109="","",INDEX(Assumptions!$B$23:$B$26,MOD(VALUE(LEFT(A109,5)),4)+1))</f>
        <v>2</v>
      </c>
      <c r="F109" s="47" t="n">
        <v>2772</v>
      </c>
      <c r="G109" s="48" t="n">
        <v>103</v>
      </c>
      <c r="H109" s="48" t="n">
        <v>101</v>
      </c>
      <c r="I109" s="48" t="n">
        <v>2</v>
      </c>
      <c r="J109" s="48" t="n">
        <v>0</v>
      </c>
      <c r="K109" s="48" t="n">
        <v>70</v>
      </c>
      <c r="L109" s="48" t="n">
        <v>72</v>
      </c>
      <c r="M109" s="48" t="n">
        <v>53</v>
      </c>
      <c r="N109" s="48" t="n">
        <v>244</v>
      </c>
      <c r="O109" s="48" t="n">
        <v>202</v>
      </c>
      <c r="P109" s="48" t="n">
        <v>46</v>
      </c>
      <c r="Q109" s="48" t="n">
        <v>113</v>
      </c>
      <c r="R109" s="48" t="n">
        <v>205</v>
      </c>
      <c r="S109" s="48" t="n">
        <v>192</v>
      </c>
      <c r="T109" s="48" t="n">
        <v>138</v>
      </c>
      <c r="U109" s="48" t="n">
        <v>130</v>
      </c>
      <c r="V109" s="48" t="n">
        <v>160</v>
      </c>
      <c r="W109" s="48" t="n">
        <v>459</v>
      </c>
      <c r="X109" s="48" t="n">
        <v>131</v>
      </c>
      <c r="Y109" s="48" t="n">
        <v>136</v>
      </c>
      <c r="Z109" s="48" t="n">
        <v>181</v>
      </c>
      <c r="AA109" s="48" t="n">
        <v>37</v>
      </c>
      <c r="AB109" s="48" t="n">
        <v>179</v>
      </c>
      <c r="AC109" s="48" t="n">
        <v>571</v>
      </c>
      <c r="AD109" s="48" t="n">
        <v>209</v>
      </c>
      <c r="AE109" s="48" t="n">
        <v>141</v>
      </c>
      <c r="AF109" s="48" t="n">
        <v>172</v>
      </c>
      <c r="AG109" s="48" t="n">
        <v>255</v>
      </c>
      <c r="AH109" s="48" t="n">
        <v>313</v>
      </c>
      <c r="AI109" s="48" t="n">
        <v>296</v>
      </c>
      <c r="AJ109" s="48" t="n">
        <v>334</v>
      </c>
      <c r="AK109" s="48" t="n">
        <v>320</v>
      </c>
      <c r="AL109" s="48" t="n">
        <v>221</v>
      </c>
      <c r="AM109" s="48" t="n">
        <v>512</v>
      </c>
      <c r="AN109" s="48" t="n">
        <v>437</v>
      </c>
      <c r="AO109" s="48" t="n">
        <v>255</v>
      </c>
      <c r="AP109" s="48" t="n">
        <v>489</v>
      </c>
      <c r="AQ109" s="48" t="n">
        <v>292</v>
      </c>
      <c r="AR109" s="48" t="n">
        <v>283</v>
      </c>
      <c r="AS109" s="48" t="n">
        <v>120</v>
      </c>
      <c r="AT109" s="48" t="n">
        <v>209</v>
      </c>
      <c r="AU109" s="48" t="n">
        <v>150</v>
      </c>
      <c r="AV109" s="48" t="n">
        <v>252</v>
      </c>
      <c r="AW109" s="48" t="n">
        <v>121</v>
      </c>
      <c r="AX109" s="48" t="n">
        <v>130</v>
      </c>
      <c r="AY109" s="48" t="n">
        <v>77</v>
      </c>
      <c r="AZ109" s="48" t="n">
        <v>94</v>
      </c>
      <c r="BA109" s="48" t="n">
        <v>127</v>
      </c>
      <c r="BB109" s="48" t="n">
        <v>279</v>
      </c>
      <c r="BC109" s="48" t="n">
        <v>136</v>
      </c>
      <c r="BD109" s="48" t="n">
        <v>259</v>
      </c>
      <c r="BE109" s="48" t="n">
        <v>140</v>
      </c>
      <c r="BF109" s="48" t="n">
        <v>149</v>
      </c>
      <c r="BG109" s="49" t="n">
        <v>1.65</v>
      </c>
    </row>
    <row r="110" customFormat="false" ht="15" hidden="false" customHeight="false" outlineLevel="0" collapsed="false">
      <c r="A110" s="43" t="s">
        <v>456</v>
      </c>
      <c r="B110" s="43" t="s">
        <v>457</v>
      </c>
      <c r="C110" s="44" t="str">
        <f aca="false">IF(A110="","",IFERROR(INDEX(Assumptions!$B$41:$B$55,MATCH(TRUE(),INDEX(ISNUMBER(SEARCH(" "&amp;Assumptions!$A$41:$A$55&amp;" "," "&amp;SUBSTITUTE(SUBSTITUTE(SUBSTITUTE(SUBSTITUTE(B110,"-"," "),","," "),"/"," "),"."," ")&amp;" ")),0),0)),"Other"))</f>
        <v>Other</v>
      </c>
      <c r="D110" s="45" t="n">
        <f aca="false">IF(A110="","",BG110*(1-Assumptions!$B$18))</f>
        <v>1.77</v>
      </c>
      <c r="E110" s="46" t="n">
        <f aca="false">IF(A110="","",INDEX(Assumptions!$B$23:$B$26,MOD(VALUE(LEFT(A110,5)),4)+1))</f>
        <v>6</v>
      </c>
      <c r="F110" s="47" t="n">
        <v>2821</v>
      </c>
      <c r="G110" s="48" t="n">
        <v>5</v>
      </c>
      <c r="H110" s="48" t="n">
        <v>1</v>
      </c>
      <c r="I110" s="48" t="n">
        <v>0</v>
      </c>
      <c r="J110" s="48" t="n">
        <v>0</v>
      </c>
      <c r="K110" s="48" t="n">
        <v>0</v>
      </c>
      <c r="L110" s="48" t="n">
        <v>0</v>
      </c>
      <c r="M110" s="48" t="n">
        <v>0</v>
      </c>
      <c r="N110" s="48" t="n">
        <v>0</v>
      </c>
      <c r="O110" s="48" t="n">
        <v>133</v>
      </c>
      <c r="P110" s="48" t="n">
        <v>66</v>
      </c>
      <c r="Q110" s="48" t="n">
        <v>275</v>
      </c>
      <c r="R110" s="48" t="n">
        <v>177</v>
      </c>
      <c r="S110" s="48" t="n">
        <v>87</v>
      </c>
      <c r="T110" s="48" t="n">
        <v>56</v>
      </c>
      <c r="U110" s="48" t="n">
        <v>81</v>
      </c>
      <c r="V110" s="48" t="n">
        <v>58</v>
      </c>
      <c r="W110" s="48" t="n">
        <v>72</v>
      </c>
      <c r="X110" s="48" t="n">
        <v>91</v>
      </c>
      <c r="Y110" s="48" t="n">
        <v>213</v>
      </c>
      <c r="Z110" s="48" t="n">
        <v>79</v>
      </c>
      <c r="AA110" s="48" t="n">
        <v>91</v>
      </c>
      <c r="AB110" s="48" t="n">
        <v>72</v>
      </c>
      <c r="AC110" s="48" t="n">
        <v>154</v>
      </c>
      <c r="AD110" s="48" t="n">
        <v>233</v>
      </c>
      <c r="AE110" s="48" t="n">
        <v>115</v>
      </c>
      <c r="AF110" s="48" t="n">
        <v>141</v>
      </c>
      <c r="AG110" s="48" t="n">
        <v>109</v>
      </c>
      <c r="AH110" s="48" t="n">
        <v>39</v>
      </c>
      <c r="AI110" s="48" t="n">
        <v>103</v>
      </c>
      <c r="AJ110" s="48" t="n">
        <v>124</v>
      </c>
      <c r="AK110" s="48" t="n">
        <v>45</v>
      </c>
      <c r="AL110" s="48" t="n">
        <v>241</v>
      </c>
      <c r="AM110" s="48" t="n">
        <v>218</v>
      </c>
      <c r="AN110" s="48" t="n">
        <v>171</v>
      </c>
      <c r="AO110" s="48" t="n">
        <v>140</v>
      </c>
      <c r="AP110" s="48" t="n">
        <v>84</v>
      </c>
      <c r="AQ110" s="48" t="n">
        <v>158</v>
      </c>
      <c r="AR110" s="48" t="n">
        <v>93</v>
      </c>
      <c r="AS110" s="48" t="n">
        <v>136</v>
      </c>
      <c r="AT110" s="48" t="n">
        <v>173</v>
      </c>
      <c r="AU110" s="48" t="n">
        <v>194</v>
      </c>
      <c r="AV110" s="48" t="n">
        <v>152</v>
      </c>
      <c r="AW110" s="48" t="n">
        <v>123</v>
      </c>
      <c r="AX110" s="48" t="n">
        <v>369</v>
      </c>
      <c r="AY110" s="48" t="n">
        <v>104</v>
      </c>
      <c r="AZ110" s="48" t="n">
        <v>84</v>
      </c>
      <c r="BA110" s="48" t="n">
        <v>37</v>
      </c>
      <c r="BB110" s="48" t="n">
        <v>103</v>
      </c>
      <c r="BC110" s="48" t="n">
        <v>131</v>
      </c>
      <c r="BD110" s="48" t="n">
        <v>92</v>
      </c>
      <c r="BE110" s="48" t="n">
        <v>87</v>
      </c>
      <c r="BF110" s="48" t="n">
        <v>131</v>
      </c>
      <c r="BG110" s="49" t="n">
        <v>2.95</v>
      </c>
    </row>
    <row r="111" customFormat="false" ht="15" hidden="false" customHeight="false" outlineLevel="0" collapsed="false">
      <c r="A111" s="43" t="s">
        <v>458</v>
      </c>
      <c r="B111" s="43" t="s">
        <v>459</v>
      </c>
      <c r="C111" s="44" t="str">
        <f aca="false">IF(A111="","",IFERROR(INDEX(Assumptions!$B$41:$B$55,MATCH(TRUE(),INDEX(ISNUMBER(SEARCH(" "&amp;Assumptions!$A$41:$A$55&amp;" "," "&amp;SUBSTITUTE(SUBSTITUTE(SUBSTITUTE(SUBSTITUTE(B111,"-"," "),","," "),"/"," "),"."," ")&amp;" ")),0),0)),"Other"))</f>
        <v>Bags</v>
      </c>
      <c r="D111" s="45" t="n">
        <f aca="false">IF(A111="","",BG111*(1-Assumptions!$B$18))</f>
        <v>1.248</v>
      </c>
      <c r="E111" s="46" t="n">
        <f aca="false">IF(A111="","",INDEX(Assumptions!$B$23:$B$26,MOD(VALUE(LEFT(A111,5)),4)+1))</f>
        <v>4</v>
      </c>
      <c r="F111" s="47" t="n">
        <v>165</v>
      </c>
      <c r="G111" s="48" t="n">
        <v>159</v>
      </c>
      <c r="H111" s="48" t="n">
        <v>43</v>
      </c>
      <c r="I111" s="48" t="n">
        <v>6</v>
      </c>
      <c r="J111" s="48" t="n">
        <v>0</v>
      </c>
      <c r="K111" s="48" t="n">
        <v>339</v>
      </c>
      <c r="L111" s="48" t="n">
        <v>174</v>
      </c>
      <c r="M111" s="48" t="n">
        <v>77</v>
      </c>
      <c r="N111" s="48" t="n">
        <v>53</v>
      </c>
      <c r="O111" s="48" t="n">
        <v>185</v>
      </c>
      <c r="P111" s="48" t="n">
        <v>62</v>
      </c>
      <c r="Q111" s="48" t="n">
        <v>145</v>
      </c>
      <c r="R111" s="48" t="n">
        <v>50</v>
      </c>
      <c r="S111" s="48" t="n">
        <v>56</v>
      </c>
      <c r="T111" s="48" t="n">
        <v>382</v>
      </c>
      <c r="U111" s="48" t="n">
        <v>586</v>
      </c>
      <c r="V111" s="48" t="n">
        <v>246</v>
      </c>
      <c r="W111" s="48" t="n">
        <v>214</v>
      </c>
      <c r="X111" s="48" t="n">
        <v>309</v>
      </c>
      <c r="Y111" s="48" t="n">
        <v>49</v>
      </c>
      <c r="Z111" s="48" t="n">
        <v>32</v>
      </c>
      <c r="AA111" s="48" t="n">
        <v>31</v>
      </c>
      <c r="AB111" s="48" t="n">
        <v>67</v>
      </c>
      <c r="AC111" s="48" t="n">
        <v>49</v>
      </c>
      <c r="AD111" s="48" t="n">
        <v>166</v>
      </c>
      <c r="AE111" s="48" t="n">
        <v>389</v>
      </c>
      <c r="AF111" s="48" t="n">
        <v>137</v>
      </c>
      <c r="AG111" s="48" t="n">
        <v>118</v>
      </c>
      <c r="AH111" s="48" t="n">
        <v>66</v>
      </c>
      <c r="AI111" s="48" t="n">
        <v>256</v>
      </c>
      <c r="AJ111" s="48" t="n">
        <v>56</v>
      </c>
      <c r="AK111" s="48" t="n">
        <v>313</v>
      </c>
      <c r="AL111" s="48" t="n">
        <v>14</v>
      </c>
      <c r="AM111" s="48" t="n">
        <v>58</v>
      </c>
      <c r="AN111" s="48" t="n">
        <v>79</v>
      </c>
      <c r="AO111" s="48" t="n">
        <v>157</v>
      </c>
      <c r="AP111" s="48" t="n">
        <v>189</v>
      </c>
      <c r="AQ111" s="48" t="n">
        <v>114</v>
      </c>
      <c r="AR111" s="48" t="n">
        <v>310</v>
      </c>
      <c r="AS111" s="48" t="n">
        <v>386</v>
      </c>
      <c r="AT111" s="48" t="n">
        <v>121</v>
      </c>
      <c r="AU111" s="48" t="n">
        <v>560</v>
      </c>
      <c r="AV111" s="48" t="n">
        <v>187</v>
      </c>
      <c r="AW111" s="48" t="n">
        <v>75</v>
      </c>
      <c r="AX111" s="48" t="n">
        <v>113</v>
      </c>
      <c r="AY111" s="48" t="n">
        <v>102</v>
      </c>
      <c r="AZ111" s="48" t="n">
        <v>186</v>
      </c>
      <c r="BA111" s="48" t="n">
        <v>51</v>
      </c>
      <c r="BB111" s="48" t="n">
        <v>179</v>
      </c>
      <c r="BC111" s="48" t="n">
        <v>302</v>
      </c>
      <c r="BD111" s="48" t="n">
        <v>147</v>
      </c>
      <c r="BE111" s="48" t="n">
        <v>113</v>
      </c>
      <c r="BF111" s="48" t="n">
        <v>334</v>
      </c>
      <c r="BG111" s="49" t="n">
        <v>2.08</v>
      </c>
    </row>
    <row r="112" customFormat="false" ht="15" hidden="false" customHeight="false" outlineLevel="0" collapsed="false">
      <c r="A112" s="43" t="s">
        <v>460</v>
      </c>
      <c r="B112" s="43" t="s">
        <v>461</v>
      </c>
      <c r="C112" s="44" t="str">
        <f aca="false">IF(A112="","",IFERROR(INDEX(Assumptions!$B$41:$B$55,MATCH(TRUE(),INDEX(ISNUMBER(SEARCH(" "&amp;Assumptions!$A$41:$A$55&amp;" "," "&amp;SUBSTITUTE(SUBSTITUTE(SUBSTITUTE(SUBSTITUTE(B112,"-"," "),","," "),"/"," "),"."," ")&amp;" ")),0),0)),"Other"))</f>
        <v>Other</v>
      </c>
      <c r="D112" s="45" t="n">
        <f aca="false">IF(A112="","",BG112*(1-Assumptions!$B$18))</f>
        <v>1.26</v>
      </c>
      <c r="E112" s="46" t="n">
        <f aca="false">IF(A112="","",INDEX(Assumptions!$B$23:$B$26,MOD(VALUE(LEFT(A112,5)),4)+1))</f>
        <v>8</v>
      </c>
      <c r="F112" s="47" t="n">
        <v>1386</v>
      </c>
      <c r="G112" s="48" t="n">
        <v>265</v>
      </c>
      <c r="H112" s="48" t="n">
        <v>124</v>
      </c>
      <c r="I112" s="48" t="n">
        <v>12</v>
      </c>
      <c r="J112" s="48" t="n">
        <v>0</v>
      </c>
      <c r="K112" s="48" t="n">
        <v>36</v>
      </c>
      <c r="L112" s="48" t="n">
        <v>98</v>
      </c>
      <c r="M112" s="48" t="n">
        <v>20</v>
      </c>
      <c r="N112" s="48" t="n">
        <v>76</v>
      </c>
      <c r="O112" s="48" t="n">
        <v>40</v>
      </c>
      <c r="P112" s="48" t="n">
        <v>186</v>
      </c>
      <c r="Q112" s="48" t="n">
        <v>102</v>
      </c>
      <c r="R112" s="48" t="n">
        <v>21</v>
      </c>
      <c r="S112" s="48" t="n">
        <v>38</v>
      </c>
      <c r="T112" s="48" t="n">
        <v>226</v>
      </c>
      <c r="U112" s="48" t="n">
        <v>193</v>
      </c>
      <c r="V112" s="48" t="n">
        <v>52</v>
      </c>
      <c r="W112" s="48" t="n">
        <v>191</v>
      </c>
      <c r="X112" s="48" t="n">
        <v>193</v>
      </c>
      <c r="Y112" s="48" t="n">
        <v>200</v>
      </c>
      <c r="Z112" s="48" t="n">
        <v>108</v>
      </c>
      <c r="AA112" s="48" t="n">
        <v>67</v>
      </c>
      <c r="AB112" s="48" t="n">
        <v>82</v>
      </c>
      <c r="AC112" s="48" t="n">
        <v>198</v>
      </c>
      <c r="AD112" s="48" t="n">
        <v>117</v>
      </c>
      <c r="AE112" s="48" t="n">
        <v>131</v>
      </c>
      <c r="AF112" s="48" t="n">
        <v>37</v>
      </c>
      <c r="AG112" s="48" t="n">
        <v>166</v>
      </c>
      <c r="AH112" s="48" t="n">
        <v>193</v>
      </c>
      <c r="AI112" s="48" t="n">
        <v>28</v>
      </c>
      <c r="AJ112" s="48" t="n">
        <v>16</v>
      </c>
      <c r="AK112" s="48" t="n">
        <v>32</v>
      </c>
      <c r="AL112" s="48" t="n">
        <v>103</v>
      </c>
      <c r="AM112" s="48" t="n">
        <v>17</v>
      </c>
      <c r="AN112" s="48" t="n">
        <v>8</v>
      </c>
      <c r="AO112" s="48" t="n">
        <v>23</v>
      </c>
      <c r="AP112" s="48" t="n">
        <v>17</v>
      </c>
      <c r="AQ112" s="48" t="n">
        <v>17</v>
      </c>
      <c r="AR112" s="48" t="n">
        <v>54</v>
      </c>
      <c r="AS112" s="48" t="n">
        <v>17</v>
      </c>
      <c r="AT112" s="48" t="n">
        <v>483</v>
      </c>
      <c r="AU112" s="48" t="n">
        <v>108</v>
      </c>
      <c r="AV112" s="48" t="n">
        <v>638</v>
      </c>
      <c r="AW112" s="48" t="n">
        <v>98</v>
      </c>
      <c r="AX112" s="48" t="n">
        <v>412</v>
      </c>
      <c r="AY112" s="48" t="n">
        <v>182</v>
      </c>
      <c r="AZ112" s="48" t="n">
        <v>494</v>
      </c>
      <c r="BA112" s="48" t="n">
        <v>81</v>
      </c>
      <c r="BB112" s="48" t="n">
        <v>216</v>
      </c>
      <c r="BC112" s="48" t="n">
        <v>209</v>
      </c>
      <c r="BD112" s="48" t="n">
        <v>112</v>
      </c>
      <c r="BE112" s="48" t="n">
        <v>349</v>
      </c>
      <c r="BF112" s="48" t="n">
        <v>319</v>
      </c>
      <c r="BG112" s="49" t="n">
        <v>2.1</v>
      </c>
    </row>
    <row r="113" customFormat="false" ht="15" hidden="false" customHeight="false" outlineLevel="0" collapsed="false">
      <c r="A113" s="43" t="s">
        <v>462</v>
      </c>
      <c r="B113" s="43" t="s">
        <v>463</v>
      </c>
      <c r="C113" s="44" t="str">
        <f aca="false">IF(A113="","",IFERROR(INDEX(Assumptions!$B$41:$B$55,MATCH(TRUE(),INDEX(ISNUMBER(SEARCH(" "&amp;Assumptions!$A$41:$A$55&amp;" "," "&amp;SUBSTITUTE(SUBSTITUTE(SUBSTITUTE(SUBSTITUTE(B113,"-"," "),","," "),"/"," "),"."," ")&amp;" ")),0),0)),"Other"))</f>
        <v>Other</v>
      </c>
      <c r="D113" s="45" t="n">
        <f aca="false">IF(A113="","",BG113*(1-Assumptions!$B$18))</f>
        <v>2.97</v>
      </c>
      <c r="E113" s="46" t="n">
        <f aca="false">IF(A113="","",INDEX(Assumptions!$B$23:$B$26,MOD(VALUE(LEFT(A113,5)),4)+1))</f>
        <v>8</v>
      </c>
      <c r="F113" s="47" t="n">
        <v>748</v>
      </c>
      <c r="G113" s="48" t="n">
        <v>186</v>
      </c>
      <c r="H113" s="48" t="n">
        <v>227</v>
      </c>
      <c r="I113" s="48" t="n">
        <v>115</v>
      </c>
      <c r="J113" s="48" t="n">
        <v>0</v>
      </c>
      <c r="K113" s="48" t="n">
        <v>13</v>
      </c>
      <c r="L113" s="48" t="n">
        <v>33</v>
      </c>
      <c r="M113" s="48" t="n">
        <v>21</v>
      </c>
      <c r="N113" s="48" t="n">
        <v>30</v>
      </c>
      <c r="O113" s="48" t="n">
        <v>18</v>
      </c>
      <c r="P113" s="48" t="n">
        <v>7</v>
      </c>
      <c r="Q113" s="48" t="n">
        <v>30</v>
      </c>
      <c r="R113" s="48" t="n">
        <v>11</v>
      </c>
      <c r="S113" s="48" t="n">
        <v>4</v>
      </c>
      <c r="T113" s="48" t="n">
        <v>11</v>
      </c>
      <c r="U113" s="48" t="n">
        <v>8</v>
      </c>
      <c r="V113" s="48" t="n">
        <v>9</v>
      </c>
      <c r="W113" s="48" t="n">
        <v>2</v>
      </c>
      <c r="X113" s="48" t="n">
        <v>9</v>
      </c>
      <c r="Y113" s="48" t="n">
        <v>12</v>
      </c>
      <c r="Z113" s="48" t="n">
        <v>13</v>
      </c>
      <c r="AA113" s="48" t="n">
        <v>0</v>
      </c>
      <c r="AB113" s="48" t="n">
        <v>6</v>
      </c>
      <c r="AC113" s="48" t="n">
        <v>7</v>
      </c>
      <c r="AD113" s="48" t="n">
        <v>37</v>
      </c>
      <c r="AE113" s="48" t="n">
        <v>1</v>
      </c>
      <c r="AF113" s="48" t="n">
        <v>6</v>
      </c>
      <c r="AG113" s="48" t="n">
        <v>10</v>
      </c>
      <c r="AH113" s="48" t="n">
        <v>22</v>
      </c>
      <c r="AI113" s="48" t="n">
        <v>3</v>
      </c>
      <c r="AJ113" s="48" t="n">
        <v>14</v>
      </c>
      <c r="AK113" s="48" t="n">
        <v>7</v>
      </c>
      <c r="AL113" s="48" t="n">
        <v>6</v>
      </c>
      <c r="AM113" s="48" t="n">
        <v>14</v>
      </c>
      <c r="AN113" s="48" t="n">
        <v>4</v>
      </c>
      <c r="AO113" s="48" t="n">
        <v>14</v>
      </c>
      <c r="AP113" s="48" t="n">
        <v>20</v>
      </c>
      <c r="AQ113" s="48" t="n">
        <v>15</v>
      </c>
      <c r="AR113" s="48" t="n">
        <v>332</v>
      </c>
      <c r="AS113" s="48" t="n">
        <v>36</v>
      </c>
      <c r="AT113" s="48" t="n">
        <v>59</v>
      </c>
      <c r="AU113" s="48" t="n">
        <v>79</v>
      </c>
      <c r="AV113" s="48" t="n">
        <v>123</v>
      </c>
      <c r="AW113" s="48" t="n">
        <v>103</v>
      </c>
      <c r="AX113" s="48" t="n">
        <v>103</v>
      </c>
      <c r="AY113" s="48" t="n">
        <v>67</v>
      </c>
      <c r="AZ113" s="48" t="n">
        <v>132</v>
      </c>
      <c r="BA113" s="48" t="n">
        <v>109</v>
      </c>
      <c r="BB113" s="48" t="n">
        <v>131</v>
      </c>
      <c r="BC113" s="48" t="n">
        <v>244</v>
      </c>
      <c r="BD113" s="48" t="n">
        <v>262</v>
      </c>
      <c r="BE113" s="48" t="n">
        <v>251</v>
      </c>
      <c r="BF113" s="48" t="n">
        <v>265</v>
      </c>
      <c r="BG113" s="49" t="n">
        <v>4.95</v>
      </c>
    </row>
    <row r="114" customFormat="false" ht="15" hidden="false" customHeight="false" outlineLevel="0" collapsed="false">
      <c r="A114" s="43" t="s">
        <v>464</v>
      </c>
      <c r="B114" s="43" t="s">
        <v>465</v>
      </c>
      <c r="C114" s="44" t="str">
        <f aca="false">IF(A114="","",IFERROR(INDEX(Assumptions!$B$41:$B$55,MATCH(TRUE(),INDEX(ISNUMBER(SEARCH(" "&amp;Assumptions!$A$41:$A$55&amp;" "," "&amp;SUBSTITUTE(SUBSTITUTE(SUBSTITUTE(SUBSTITUTE(B114,"-"," "),","," "),"/"," "),"."," ")&amp;" ")),0),0)),"Other"))</f>
        <v>Other</v>
      </c>
      <c r="D114" s="45" t="n">
        <f aca="false">IF(A114="","",BG114*(1-Assumptions!$B$18))</f>
        <v>2.97</v>
      </c>
      <c r="E114" s="46" t="n">
        <f aca="false">IF(A114="","",INDEX(Assumptions!$B$23:$B$26,MOD(VALUE(LEFT(A114,5)),4)+1))</f>
        <v>4</v>
      </c>
      <c r="F114" s="47" t="n">
        <v>64</v>
      </c>
      <c r="G114" s="48" t="n">
        <v>191</v>
      </c>
      <c r="H114" s="48" t="n">
        <v>251</v>
      </c>
      <c r="I114" s="48" t="n">
        <v>88</v>
      </c>
      <c r="J114" s="48" t="n">
        <v>0</v>
      </c>
      <c r="K114" s="48" t="n">
        <v>87</v>
      </c>
      <c r="L114" s="48" t="n">
        <v>91</v>
      </c>
      <c r="M114" s="48" t="n">
        <v>74</v>
      </c>
      <c r="N114" s="48" t="n">
        <v>26</v>
      </c>
      <c r="O114" s="48" t="n">
        <v>33</v>
      </c>
      <c r="P114" s="48" t="n">
        <v>41</v>
      </c>
      <c r="Q114" s="48" t="n">
        <v>10</v>
      </c>
      <c r="R114" s="48" t="n">
        <v>38</v>
      </c>
      <c r="S114" s="48" t="n">
        <v>30</v>
      </c>
      <c r="T114" s="48" t="n">
        <v>5</v>
      </c>
      <c r="U114" s="48" t="n">
        <v>3</v>
      </c>
      <c r="V114" s="48" t="n">
        <v>4</v>
      </c>
      <c r="W114" s="48" t="n">
        <v>4</v>
      </c>
      <c r="X114" s="48" t="n">
        <v>5</v>
      </c>
      <c r="Y114" s="48" t="n">
        <v>4</v>
      </c>
      <c r="Z114" s="48" t="n">
        <v>1</v>
      </c>
      <c r="AA114" s="48" t="n">
        <v>1</v>
      </c>
      <c r="AB114" s="48" t="n">
        <v>3</v>
      </c>
      <c r="AC114" s="48" t="n">
        <v>1</v>
      </c>
      <c r="AD114" s="48" t="n">
        <v>30</v>
      </c>
      <c r="AE114" s="48" t="n">
        <v>1</v>
      </c>
      <c r="AF114" s="48" t="n">
        <v>1</v>
      </c>
      <c r="AG114" s="48" t="n">
        <v>15</v>
      </c>
      <c r="AH114" s="48" t="n">
        <v>7</v>
      </c>
      <c r="AI114" s="48" t="n">
        <v>0</v>
      </c>
      <c r="AJ114" s="48" t="n">
        <v>0</v>
      </c>
      <c r="AK114" s="48" t="n">
        <v>7</v>
      </c>
      <c r="AL114" s="48" t="n">
        <v>5</v>
      </c>
      <c r="AM114" s="48" t="n">
        <v>77</v>
      </c>
      <c r="AN114" s="48" t="n">
        <v>51</v>
      </c>
      <c r="AO114" s="48" t="n">
        <v>14</v>
      </c>
      <c r="AP114" s="48" t="n">
        <v>15</v>
      </c>
      <c r="AQ114" s="48" t="n">
        <v>12</v>
      </c>
      <c r="AR114" s="48" t="n">
        <v>45</v>
      </c>
      <c r="AS114" s="48" t="n">
        <v>38</v>
      </c>
      <c r="AT114" s="48" t="n">
        <v>49</v>
      </c>
      <c r="AU114" s="48" t="n">
        <v>129</v>
      </c>
      <c r="AV114" s="48" t="n">
        <v>571</v>
      </c>
      <c r="AW114" s="48" t="n">
        <v>136</v>
      </c>
      <c r="AX114" s="48" t="n">
        <v>44</v>
      </c>
      <c r="AY114" s="48" t="n">
        <v>81</v>
      </c>
      <c r="AZ114" s="48" t="n">
        <v>72</v>
      </c>
      <c r="BA114" s="48" t="n">
        <v>74</v>
      </c>
      <c r="BB114" s="48" t="n">
        <v>161</v>
      </c>
      <c r="BC114" s="48" t="n">
        <v>173</v>
      </c>
      <c r="BD114" s="48" t="n">
        <v>255</v>
      </c>
      <c r="BE114" s="48" t="n">
        <v>151</v>
      </c>
      <c r="BF114" s="48" t="n">
        <v>106</v>
      </c>
      <c r="BG114" s="49" t="n">
        <v>4.95</v>
      </c>
    </row>
    <row r="115" customFormat="false" ht="15" hidden="false" customHeight="false" outlineLevel="0" collapsed="false">
      <c r="A115" s="43" t="s">
        <v>466</v>
      </c>
      <c r="B115" s="43" t="s">
        <v>467</v>
      </c>
      <c r="C115" s="44" t="str">
        <f aca="false">IF(A115="","",IFERROR(INDEX(Assumptions!$B$41:$B$55,MATCH(TRUE(),INDEX(ISNUMBER(SEARCH(" "&amp;Assumptions!$A$41:$A$55&amp;" "," "&amp;SUBSTITUTE(SUBSTITUTE(SUBSTITUTE(SUBSTITUTE(B115,"-"," "),","," "),"/"," "),"."," ")&amp;" ")),0),0)),"Other"))</f>
        <v>Other</v>
      </c>
      <c r="D115" s="45" t="n">
        <f aca="false">IF(A115="","",BG115*(1-Assumptions!$B$18))</f>
        <v>2.49</v>
      </c>
      <c r="E115" s="46" t="n">
        <f aca="false">IF(A115="","",INDEX(Assumptions!$B$23:$B$26,MOD(VALUE(LEFT(A115,5)),4)+1))</f>
        <v>4</v>
      </c>
      <c r="F115" s="47" t="n">
        <v>461</v>
      </c>
      <c r="G115" s="48" t="n">
        <v>40</v>
      </c>
      <c r="H115" s="48" t="n">
        <v>40</v>
      </c>
      <c r="I115" s="48" t="n">
        <v>76</v>
      </c>
      <c r="J115" s="48" t="n">
        <v>0</v>
      </c>
      <c r="K115" s="48" t="n">
        <v>26</v>
      </c>
      <c r="L115" s="48" t="n">
        <v>399</v>
      </c>
      <c r="M115" s="48" t="n">
        <v>170</v>
      </c>
      <c r="N115" s="48" t="n">
        <v>86</v>
      </c>
      <c r="O115" s="48" t="n">
        <v>47</v>
      </c>
      <c r="P115" s="48" t="n">
        <v>38</v>
      </c>
      <c r="Q115" s="48" t="n">
        <v>168</v>
      </c>
      <c r="R115" s="48" t="n">
        <v>25</v>
      </c>
      <c r="S115" s="48" t="n">
        <v>23</v>
      </c>
      <c r="T115" s="48" t="n">
        <v>31</v>
      </c>
      <c r="U115" s="48" t="n">
        <v>12</v>
      </c>
      <c r="V115" s="48" t="n">
        <v>0</v>
      </c>
      <c r="W115" s="48" t="n">
        <v>8</v>
      </c>
      <c r="X115" s="48" t="n">
        <v>84</v>
      </c>
      <c r="Y115" s="48" t="n">
        <v>24</v>
      </c>
      <c r="Z115" s="48" t="n">
        <v>67</v>
      </c>
      <c r="AA115" s="48" t="n">
        <v>16</v>
      </c>
      <c r="AB115" s="48" t="n">
        <v>109</v>
      </c>
      <c r="AC115" s="48" t="n">
        <v>102</v>
      </c>
      <c r="AD115" s="48" t="n">
        <v>120</v>
      </c>
      <c r="AE115" s="48" t="n">
        <v>28</v>
      </c>
      <c r="AF115" s="48" t="n">
        <v>18</v>
      </c>
      <c r="AG115" s="48" t="n">
        <v>44</v>
      </c>
      <c r="AH115" s="48" t="n">
        <v>33</v>
      </c>
      <c r="AI115" s="48" t="n">
        <v>31</v>
      </c>
      <c r="AJ115" s="48" t="n">
        <v>4</v>
      </c>
      <c r="AK115" s="48" t="n">
        <v>380</v>
      </c>
      <c r="AL115" s="48" t="n">
        <v>29</v>
      </c>
      <c r="AM115" s="48" t="n">
        <v>139</v>
      </c>
      <c r="AN115" s="48" t="n">
        <v>83</v>
      </c>
      <c r="AO115" s="48" t="n">
        <v>73</v>
      </c>
      <c r="AP115" s="48" t="n">
        <v>39</v>
      </c>
      <c r="AQ115" s="48" t="n">
        <v>14</v>
      </c>
      <c r="AR115" s="48" t="n">
        <v>61</v>
      </c>
      <c r="AS115" s="48" t="n">
        <v>17</v>
      </c>
      <c r="AT115" s="48" t="n">
        <v>16</v>
      </c>
      <c r="AU115" s="48" t="n">
        <v>40</v>
      </c>
      <c r="AV115" s="48" t="n">
        <v>103</v>
      </c>
      <c r="AW115" s="48" t="n">
        <v>86</v>
      </c>
      <c r="AX115" s="48" t="n">
        <v>133</v>
      </c>
      <c r="AY115" s="48" t="n">
        <v>77</v>
      </c>
      <c r="AZ115" s="48" t="n">
        <v>51</v>
      </c>
      <c r="BA115" s="48" t="n">
        <v>42</v>
      </c>
      <c r="BB115" s="48" t="n">
        <v>179</v>
      </c>
      <c r="BC115" s="48" t="n">
        <v>24</v>
      </c>
      <c r="BD115" s="48" t="n">
        <v>132</v>
      </c>
      <c r="BE115" s="48" t="n">
        <v>313</v>
      </c>
      <c r="BF115" s="48" t="n">
        <v>98</v>
      </c>
      <c r="BG115" s="49" t="n">
        <v>4.15</v>
      </c>
    </row>
    <row r="116" customFormat="false" ht="15" hidden="false" customHeight="false" outlineLevel="0" collapsed="false">
      <c r="A116" s="43" t="s">
        <v>468</v>
      </c>
      <c r="B116" s="43" t="s">
        <v>469</v>
      </c>
      <c r="C116" s="44" t="str">
        <f aca="false">IF(A116="","",IFERROR(INDEX(Assumptions!$B$41:$B$55,MATCH(TRUE(),INDEX(ISNUMBER(SEARCH(" "&amp;Assumptions!$A$41:$A$55&amp;" "," "&amp;SUBSTITUTE(SUBSTITUTE(SUBSTITUTE(SUBSTITUTE(B116,"-"," "),","," "),"/"," "),"."," ")&amp;" ")),0),0)),"Other"))</f>
        <v>Other</v>
      </c>
      <c r="D116" s="45" t="n">
        <f aca="false">IF(A116="","",BG116*(1-Assumptions!$B$18))</f>
        <v>0.39</v>
      </c>
      <c r="E116" s="46" t="n">
        <f aca="false">IF(A116="","",INDEX(Assumptions!$B$23:$B$26,MOD(VALUE(LEFT(A116,5)),4)+1))</f>
        <v>2</v>
      </c>
      <c r="F116" s="47" t="n">
        <v>4989</v>
      </c>
      <c r="G116" s="48" t="n">
        <v>1832</v>
      </c>
      <c r="H116" s="48" t="n">
        <v>227</v>
      </c>
      <c r="I116" s="48" t="n">
        <v>181</v>
      </c>
      <c r="J116" s="48" t="n">
        <v>0</v>
      </c>
      <c r="K116" s="48" t="n">
        <v>648</v>
      </c>
      <c r="L116" s="48" t="n">
        <v>219</v>
      </c>
      <c r="M116" s="48" t="n">
        <v>38</v>
      </c>
      <c r="N116" s="48" t="n">
        <v>793</v>
      </c>
      <c r="O116" s="48" t="n">
        <v>541</v>
      </c>
      <c r="P116" s="48" t="n">
        <v>216</v>
      </c>
      <c r="Q116" s="48" t="n">
        <v>108</v>
      </c>
      <c r="R116" s="48" t="n">
        <v>180</v>
      </c>
      <c r="S116" s="48" t="n">
        <v>108</v>
      </c>
      <c r="T116" s="48" t="n">
        <v>1261</v>
      </c>
      <c r="U116" s="48" t="n">
        <v>792</v>
      </c>
      <c r="V116" s="48" t="n">
        <v>252</v>
      </c>
      <c r="W116" s="48" t="n">
        <v>427</v>
      </c>
      <c r="X116" s="48" t="n">
        <v>324</v>
      </c>
      <c r="Y116" s="48" t="n">
        <v>216</v>
      </c>
      <c r="Z116" s="48" t="n">
        <v>800</v>
      </c>
      <c r="AA116" s="48" t="n">
        <v>180</v>
      </c>
      <c r="AB116" s="48" t="n">
        <v>216</v>
      </c>
      <c r="AC116" s="48" t="n">
        <v>795</v>
      </c>
      <c r="AD116" s="48" t="n">
        <v>469</v>
      </c>
      <c r="AE116" s="48" t="n">
        <v>288</v>
      </c>
      <c r="AF116" s="48" t="n">
        <v>108</v>
      </c>
      <c r="AG116" s="48" t="n">
        <v>361</v>
      </c>
      <c r="AH116" s="48" t="n">
        <v>761</v>
      </c>
      <c r="AI116" s="48" t="n">
        <v>219</v>
      </c>
      <c r="AJ116" s="48" t="n">
        <v>72</v>
      </c>
      <c r="AK116" s="48" t="n">
        <v>432</v>
      </c>
      <c r="AL116" s="48" t="n">
        <v>794</v>
      </c>
      <c r="AM116" s="48" t="n">
        <v>396</v>
      </c>
      <c r="AN116" s="48" t="n">
        <v>252</v>
      </c>
      <c r="AO116" s="48" t="n">
        <v>291</v>
      </c>
      <c r="AP116" s="48" t="n">
        <v>180</v>
      </c>
      <c r="AQ116" s="48" t="n">
        <v>792</v>
      </c>
      <c r="AR116" s="48" t="n">
        <v>324</v>
      </c>
      <c r="AS116" s="48" t="n">
        <v>1336</v>
      </c>
      <c r="AT116" s="48" t="n">
        <v>192</v>
      </c>
      <c r="AU116" s="48" t="n">
        <v>937</v>
      </c>
      <c r="AV116" s="48" t="n">
        <v>334</v>
      </c>
      <c r="AW116" s="48" t="n">
        <v>576</v>
      </c>
      <c r="AX116" s="48" t="n">
        <v>760</v>
      </c>
      <c r="AY116" s="48" t="n">
        <v>257</v>
      </c>
      <c r="AZ116" s="48" t="n">
        <v>1334</v>
      </c>
      <c r="BA116" s="48" t="n">
        <v>792</v>
      </c>
      <c r="BB116" s="48" t="n">
        <v>226</v>
      </c>
      <c r="BC116" s="48" t="n">
        <v>1724</v>
      </c>
      <c r="BD116" s="48" t="n">
        <v>679</v>
      </c>
      <c r="BE116" s="48" t="n">
        <v>402</v>
      </c>
      <c r="BF116" s="48" t="n">
        <v>301</v>
      </c>
      <c r="BG116" s="49" t="n">
        <v>0.65</v>
      </c>
    </row>
    <row r="117" customFormat="false" ht="15" hidden="false" customHeight="false" outlineLevel="0" collapsed="false">
      <c r="A117" s="43" t="s">
        <v>470</v>
      </c>
      <c r="B117" s="43" t="s">
        <v>471</v>
      </c>
      <c r="C117" s="44" t="str">
        <f aca="false">IF(A117="","",IFERROR(INDEX(Assumptions!$B$41:$B$55,MATCH(TRUE(),INDEX(ISNUMBER(SEARCH(" "&amp;Assumptions!$A$41:$A$55&amp;" "," "&amp;SUBSTITUTE(SUBSTITUTE(SUBSTITUTE(SUBSTITUTE(B117,"-"," "),","," "),"/"," "),"."," ")&amp;" ")),0),0)),"Other"))</f>
        <v>Kitchen</v>
      </c>
      <c r="D117" s="45" t="n">
        <f aca="false">IF(A117="","",BG117*(1-Assumptions!$B$18))</f>
        <v>2.49</v>
      </c>
      <c r="E117" s="46" t="n">
        <f aca="false">IF(A117="","",INDEX(Assumptions!$B$23:$B$26,MOD(VALUE(LEFT(A117,5)),4)+1))</f>
        <v>2</v>
      </c>
      <c r="F117" s="47" t="n">
        <v>624</v>
      </c>
      <c r="G117" s="48" t="n">
        <v>0</v>
      </c>
      <c r="H117" s="48" t="n">
        <v>0</v>
      </c>
      <c r="I117" s="48" t="n">
        <v>0</v>
      </c>
      <c r="J117" s="48" t="n">
        <v>0</v>
      </c>
      <c r="K117" s="48" t="n">
        <v>0</v>
      </c>
      <c r="L117" s="48" t="n">
        <v>0</v>
      </c>
      <c r="M117" s="48" t="n">
        <v>0</v>
      </c>
      <c r="N117" s="48" t="n">
        <v>0</v>
      </c>
      <c r="O117" s="48" t="n">
        <v>0</v>
      </c>
      <c r="P117" s="48" t="n">
        <v>0</v>
      </c>
      <c r="Q117" s="48" t="n">
        <v>0</v>
      </c>
      <c r="R117" s="48" t="n">
        <v>0</v>
      </c>
      <c r="S117" s="48" t="n">
        <v>0</v>
      </c>
      <c r="T117" s="48" t="n">
        <v>0</v>
      </c>
      <c r="U117" s="48" t="n">
        <v>0</v>
      </c>
      <c r="V117" s="48" t="n">
        <v>0</v>
      </c>
      <c r="W117" s="48" t="n">
        <v>0</v>
      </c>
      <c r="X117" s="48" t="n">
        <v>0</v>
      </c>
      <c r="Y117" s="48" t="n">
        <v>0</v>
      </c>
      <c r="Z117" s="48" t="n">
        <v>0</v>
      </c>
      <c r="AA117" s="48" t="n">
        <v>0</v>
      </c>
      <c r="AB117" s="48" t="n">
        <v>0</v>
      </c>
      <c r="AC117" s="48" t="n">
        <v>0</v>
      </c>
      <c r="AD117" s="48" t="n">
        <v>0</v>
      </c>
      <c r="AE117" s="48" t="n">
        <v>0</v>
      </c>
      <c r="AF117" s="48" t="n">
        <v>0</v>
      </c>
      <c r="AG117" s="48" t="n">
        <v>50</v>
      </c>
      <c r="AH117" s="48" t="n">
        <v>478</v>
      </c>
      <c r="AI117" s="48" t="n">
        <v>98</v>
      </c>
      <c r="AJ117" s="48" t="n">
        <v>227</v>
      </c>
      <c r="AK117" s="48" t="n">
        <v>103</v>
      </c>
      <c r="AL117" s="48" t="n">
        <v>135</v>
      </c>
      <c r="AM117" s="48" t="n">
        <v>159</v>
      </c>
      <c r="AN117" s="48" t="n">
        <v>156</v>
      </c>
      <c r="AO117" s="48" t="n">
        <v>128</v>
      </c>
      <c r="AP117" s="48" t="n">
        <v>281</v>
      </c>
      <c r="AQ117" s="48" t="n">
        <v>141</v>
      </c>
      <c r="AR117" s="48" t="n">
        <v>164</v>
      </c>
      <c r="AS117" s="48" t="n">
        <v>94</v>
      </c>
      <c r="AT117" s="48" t="n">
        <v>143</v>
      </c>
      <c r="AU117" s="48" t="n">
        <v>160</v>
      </c>
      <c r="AV117" s="48" t="n">
        <v>218</v>
      </c>
      <c r="AW117" s="48" t="n">
        <v>82</v>
      </c>
      <c r="AX117" s="48" t="n">
        <v>168</v>
      </c>
      <c r="AY117" s="48" t="n">
        <v>100</v>
      </c>
      <c r="AZ117" s="48" t="n">
        <v>183</v>
      </c>
      <c r="BA117" s="48" t="n">
        <v>150</v>
      </c>
      <c r="BB117" s="48" t="n">
        <v>130</v>
      </c>
      <c r="BC117" s="48" t="n">
        <v>83</v>
      </c>
      <c r="BD117" s="48" t="n">
        <v>172</v>
      </c>
      <c r="BE117" s="48" t="n">
        <v>134</v>
      </c>
      <c r="BF117" s="48" t="n">
        <v>117</v>
      </c>
      <c r="BG117" s="49" t="n">
        <v>4.15</v>
      </c>
    </row>
    <row r="118" customFormat="false" ht="15" hidden="false" customHeight="false" outlineLevel="0" collapsed="false">
      <c r="A118" s="43" t="s">
        <v>472</v>
      </c>
      <c r="B118" s="43" t="s">
        <v>473</v>
      </c>
      <c r="C118" s="44" t="str">
        <f aca="false">IF(A118="","",IFERROR(INDEX(Assumptions!$B$41:$B$55,MATCH(TRUE(),INDEX(ISNUMBER(SEARCH(" "&amp;Assumptions!$A$41:$A$55&amp;" "," "&amp;SUBSTITUTE(SUBSTITUTE(SUBSTITUTE(SUBSTITUTE(B118,"-"," "),","," "),"/"," "),"."," ")&amp;" ")),0),0)),"Other"))</f>
        <v>Other</v>
      </c>
      <c r="D118" s="45" t="n">
        <f aca="false">IF(A118="","",BG118*(1-Assumptions!$B$18))</f>
        <v>1.17</v>
      </c>
      <c r="E118" s="46" t="n">
        <f aca="false">IF(A118="","",INDEX(Assumptions!$B$23:$B$26,MOD(VALUE(LEFT(A118,5)),4)+1))</f>
        <v>4</v>
      </c>
      <c r="F118" s="47" t="n">
        <v>170</v>
      </c>
      <c r="G118" s="48" t="n">
        <v>163</v>
      </c>
      <c r="H118" s="48" t="n">
        <v>368</v>
      </c>
      <c r="I118" s="48" t="n">
        <v>39</v>
      </c>
      <c r="J118" s="48" t="n">
        <v>0</v>
      </c>
      <c r="K118" s="48" t="n">
        <v>186</v>
      </c>
      <c r="L118" s="48" t="n">
        <v>99</v>
      </c>
      <c r="M118" s="48" t="n">
        <v>132</v>
      </c>
      <c r="N118" s="48" t="n">
        <v>146</v>
      </c>
      <c r="O118" s="48" t="n">
        <v>129</v>
      </c>
      <c r="P118" s="48" t="n">
        <v>31</v>
      </c>
      <c r="Q118" s="48" t="n">
        <v>115</v>
      </c>
      <c r="R118" s="48" t="n">
        <v>280</v>
      </c>
      <c r="S118" s="48" t="n">
        <v>173</v>
      </c>
      <c r="T118" s="48" t="n">
        <v>112</v>
      </c>
      <c r="U118" s="48" t="n">
        <v>121</v>
      </c>
      <c r="V118" s="48" t="n">
        <v>166</v>
      </c>
      <c r="W118" s="48" t="n">
        <v>152</v>
      </c>
      <c r="X118" s="48" t="n">
        <v>89</v>
      </c>
      <c r="Y118" s="48" t="n">
        <v>88</v>
      </c>
      <c r="Z118" s="48" t="n">
        <v>246</v>
      </c>
      <c r="AA118" s="48" t="n">
        <v>71</v>
      </c>
      <c r="AB118" s="48" t="n">
        <v>106</v>
      </c>
      <c r="AC118" s="48" t="n">
        <v>148</v>
      </c>
      <c r="AD118" s="48" t="n">
        <v>149</v>
      </c>
      <c r="AE118" s="48" t="n">
        <v>77</v>
      </c>
      <c r="AF118" s="48" t="n">
        <v>66</v>
      </c>
      <c r="AG118" s="48" t="n">
        <v>138</v>
      </c>
      <c r="AH118" s="48" t="n">
        <v>140</v>
      </c>
      <c r="AI118" s="48" t="n">
        <v>64</v>
      </c>
      <c r="AJ118" s="48" t="n">
        <v>62</v>
      </c>
      <c r="AK118" s="48" t="n">
        <v>121</v>
      </c>
      <c r="AL118" s="48" t="n">
        <v>77</v>
      </c>
      <c r="AM118" s="48" t="n">
        <v>153</v>
      </c>
      <c r="AN118" s="48" t="n">
        <v>160</v>
      </c>
      <c r="AO118" s="48" t="n">
        <v>168</v>
      </c>
      <c r="AP118" s="48" t="n">
        <v>306</v>
      </c>
      <c r="AQ118" s="48" t="n">
        <v>124</v>
      </c>
      <c r="AR118" s="48" t="n">
        <v>188</v>
      </c>
      <c r="AS118" s="48" t="n">
        <v>177</v>
      </c>
      <c r="AT118" s="48" t="n">
        <v>166</v>
      </c>
      <c r="AU118" s="48" t="n">
        <v>191</v>
      </c>
      <c r="AV118" s="48" t="n">
        <v>350</v>
      </c>
      <c r="AW118" s="48" t="n">
        <v>295</v>
      </c>
      <c r="AX118" s="48" t="n">
        <v>306</v>
      </c>
      <c r="AY118" s="48" t="n">
        <v>220</v>
      </c>
      <c r="AZ118" s="48" t="n">
        <v>323</v>
      </c>
      <c r="BA118" s="48" t="n">
        <v>304</v>
      </c>
      <c r="BB118" s="48" t="n">
        <v>526</v>
      </c>
      <c r="BC118" s="48" t="n">
        <v>216</v>
      </c>
      <c r="BD118" s="48" t="n">
        <v>243</v>
      </c>
      <c r="BE118" s="48" t="n">
        <v>193</v>
      </c>
      <c r="BF118" s="48" t="n">
        <v>182</v>
      </c>
      <c r="BG118" s="49" t="n">
        <v>1.95</v>
      </c>
    </row>
    <row r="119" customFormat="false" ht="15" hidden="false" customHeight="false" outlineLevel="0" collapsed="false">
      <c r="A119" s="43" t="s">
        <v>474</v>
      </c>
      <c r="B119" s="43" t="s">
        <v>475</v>
      </c>
      <c r="C119" s="44" t="str">
        <f aca="false">IF(A119="","",IFERROR(INDEX(Assumptions!$B$41:$B$55,MATCH(TRUE(),INDEX(ISNUMBER(SEARCH(" "&amp;Assumptions!$A$41:$A$55&amp;" "," "&amp;SUBSTITUTE(SUBSTITUTE(SUBSTITUTE(SUBSTITUTE(B119,"-"," "),","," "),"/"," "),"."," ")&amp;" ")),0),0)),"Other"))</f>
        <v>Other</v>
      </c>
      <c r="D119" s="45" t="n">
        <f aca="false">IF(A119="","",BG119*(1-Assumptions!$B$18))</f>
        <v>3.57</v>
      </c>
      <c r="E119" s="46" t="n">
        <f aca="false">IF(A119="","",INDEX(Assumptions!$B$23:$B$26,MOD(VALUE(LEFT(A119,5)),4)+1))</f>
        <v>6</v>
      </c>
      <c r="F119" s="47" t="n">
        <v>771</v>
      </c>
      <c r="G119" s="48" t="n">
        <v>138</v>
      </c>
      <c r="H119" s="48" t="n">
        <v>78</v>
      </c>
      <c r="I119" s="48" t="n">
        <v>13</v>
      </c>
      <c r="J119" s="48" t="n">
        <v>0</v>
      </c>
      <c r="K119" s="48" t="n">
        <v>102</v>
      </c>
      <c r="L119" s="48" t="n">
        <v>70</v>
      </c>
      <c r="M119" s="48" t="n">
        <v>48</v>
      </c>
      <c r="N119" s="48" t="n">
        <v>83</v>
      </c>
      <c r="O119" s="48" t="n">
        <v>71</v>
      </c>
      <c r="P119" s="48" t="n">
        <v>63</v>
      </c>
      <c r="Q119" s="48" t="n">
        <v>58</v>
      </c>
      <c r="R119" s="48" t="n">
        <v>75</v>
      </c>
      <c r="S119" s="48" t="n">
        <v>68</v>
      </c>
      <c r="T119" s="48" t="n">
        <v>63</v>
      </c>
      <c r="U119" s="48" t="n">
        <v>68</v>
      </c>
      <c r="V119" s="48" t="n">
        <v>32</v>
      </c>
      <c r="W119" s="48" t="n">
        <v>61</v>
      </c>
      <c r="X119" s="48" t="n">
        <v>32</v>
      </c>
      <c r="Y119" s="48" t="n">
        <v>45</v>
      </c>
      <c r="Z119" s="48" t="n">
        <v>37</v>
      </c>
      <c r="AA119" s="48" t="n">
        <v>55</v>
      </c>
      <c r="AB119" s="48" t="n">
        <v>51</v>
      </c>
      <c r="AC119" s="48" t="n">
        <v>132</v>
      </c>
      <c r="AD119" s="48" t="n">
        <v>89</v>
      </c>
      <c r="AE119" s="48" t="n">
        <v>33</v>
      </c>
      <c r="AF119" s="48" t="n">
        <v>44</v>
      </c>
      <c r="AG119" s="48" t="n">
        <v>47</v>
      </c>
      <c r="AH119" s="48" t="n">
        <v>36</v>
      </c>
      <c r="AI119" s="48" t="n">
        <v>30</v>
      </c>
      <c r="AJ119" s="48" t="n">
        <v>31</v>
      </c>
      <c r="AK119" s="48" t="n">
        <v>22</v>
      </c>
      <c r="AL119" s="48" t="n">
        <v>34</v>
      </c>
      <c r="AM119" s="48" t="n">
        <v>45</v>
      </c>
      <c r="AN119" s="48" t="n">
        <v>35</v>
      </c>
      <c r="AO119" s="48" t="n">
        <v>28</v>
      </c>
      <c r="AP119" s="48" t="n">
        <v>20</v>
      </c>
      <c r="AQ119" s="48" t="n">
        <v>70</v>
      </c>
      <c r="AR119" s="48" t="n">
        <v>44</v>
      </c>
      <c r="AS119" s="48" t="n">
        <v>17</v>
      </c>
      <c r="AT119" s="48" t="n">
        <v>74</v>
      </c>
      <c r="AU119" s="48" t="n">
        <v>45</v>
      </c>
      <c r="AV119" s="48" t="n">
        <v>35</v>
      </c>
      <c r="AW119" s="48" t="n">
        <v>33</v>
      </c>
      <c r="AX119" s="48" t="n">
        <v>44</v>
      </c>
      <c r="AY119" s="48" t="n">
        <v>18</v>
      </c>
      <c r="AZ119" s="48" t="n">
        <v>34</v>
      </c>
      <c r="BA119" s="48" t="n">
        <v>48</v>
      </c>
      <c r="BB119" s="48" t="n">
        <v>64</v>
      </c>
      <c r="BC119" s="48" t="n">
        <v>30</v>
      </c>
      <c r="BD119" s="48" t="n">
        <v>70</v>
      </c>
      <c r="BE119" s="48" t="n">
        <v>58</v>
      </c>
      <c r="BF119" s="48" t="n">
        <v>52</v>
      </c>
      <c r="BG119" s="49" t="n">
        <v>5.95</v>
      </c>
    </row>
    <row r="120" customFormat="false" ht="15" hidden="false" customHeight="false" outlineLevel="0" collapsed="false">
      <c r="A120" s="43" t="s">
        <v>476</v>
      </c>
      <c r="B120" s="43" t="s">
        <v>477</v>
      </c>
      <c r="C120" s="44" t="str">
        <f aca="false">IF(A120="","",IFERROR(INDEX(Assumptions!$B$41:$B$55,MATCH(TRUE(),INDEX(ISNUMBER(SEARCH(" "&amp;Assumptions!$A$41:$A$55&amp;" "," "&amp;SUBSTITUTE(SUBSTITUTE(SUBSTITUTE(SUBSTITUTE(B120,"-"," "),","," "),"/"," "),"."," ")&amp;" ")),0),0)),"Other"))</f>
        <v>Other</v>
      </c>
      <c r="D120" s="45" t="n">
        <f aca="false">IF(A120="","",BG120*(1-Assumptions!$B$18))</f>
        <v>23.97</v>
      </c>
      <c r="E120" s="46" t="n">
        <f aca="false">IF(A120="","",INDEX(Assumptions!$B$23:$B$26,MOD(VALUE(LEFT(A120,5)),4)+1))</f>
        <v>6</v>
      </c>
      <c r="F120" s="47" t="n">
        <v>111</v>
      </c>
      <c r="G120" s="48" t="n">
        <v>1</v>
      </c>
      <c r="H120" s="48" t="n">
        <v>28</v>
      </c>
      <c r="I120" s="48" t="n">
        <v>0</v>
      </c>
      <c r="J120" s="48" t="n">
        <v>0</v>
      </c>
      <c r="K120" s="48" t="n">
        <v>4</v>
      </c>
      <c r="L120" s="48" t="n">
        <v>19</v>
      </c>
      <c r="M120" s="48" t="n">
        <v>4</v>
      </c>
      <c r="N120" s="48" t="n">
        <v>17</v>
      </c>
      <c r="O120" s="48" t="n">
        <v>2</v>
      </c>
      <c r="P120" s="48" t="n">
        <v>27</v>
      </c>
      <c r="Q120" s="48" t="n">
        <v>3</v>
      </c>
      <c r="R120" s="48" t="n">
        <v>10</v>
      </c>
      <c r="S120" s="48" t="n">
        <v>24</v>
      </c>
      <c r="T120" s="48" t="n">
        <v>1</v>
      </c>
      <c r="U120" s="48" t="n">
        <v>0</v>
      </c>
      <c r="V120" s="48" t="n">
        <v>7</v>
      </c>
      <c r="W120" s="48" t="n">
        <v>3</v>
      </c>
      <c r="X120" s="48" t="n">
        <v>5</v>
      </c>
      <c r="Y120" s="48" t="n">
        <v>4</v>
      </c>
      <c r="Z120" s="48" t="n">
        <v>4</v>
      </c>
      <c r="AA120" s="48" t="n">
        <v>1</v>
      </c>
      <c r="AB120" s="48" t="n">
        <v>1</v>
      </c>
      <c r="AC120" s="48" t="n">
        <v>34</v>
      </c>
      <c r="AD120" s="48" t="n">
        <v>9</v>
      </c>
      <c r="AE120" s="48" t="n">
        <v>2</v>
      </c>
      <c r="AF120" s="48" t="n">
        <v>30</v>
      </c>
      <c r="AG120" s="48" t="n">
        <v>9</v>
      </c>
      <c r="AH120" s="48" t="n">
        <v>8</v>
      </c>
      <c r="AI120" s="48" t="n">
        <v>7</v>
      </c>
      <c r="AJ120" s="48" t="n">
        <v>20</v>
      </c>
      <c r="AK120" s="48" t="n">
        <v>29</v>
      </c>
      <c r="AL120" s="48" t="n">
        <v>2</v>
      </c>
      <c r="AM120" s="48" t="n">
        <v>3</v>
      </c>
      <c r="AN120" s="48" t="n">
        <v>5</v>
      </c>
      <c r="AO120" s="48" t="n">
        <v>5</v>
      </c>
      <c r="AP120" s="48" t="n">
        <v>5</v>
      </c>
      <c r="AQ120" s="48" t="n">
        <v>2</v>
      </c>
      <c r="AR120" s="48" t="n">
        <v>19</v>
      </c>
      <c r="AS120" s="48" t="n">
        <v>2</v>
      </c>
      <c r="AT120" s="48" t="n">
        <v>0</v>
      </c>
      <c r="AU120" s="48" t="n">
        <v>1</v>
      </c>
      <c r="AV120" s="48" t="n">
        <v>2</v>
      </c>
      <c r="AW120" s="48" t="n">
        <v>4</v>
      </c>
      <c r="AX120" s="48" t="n">
        <v>4</v>
      </c>
      <c r="AY120" s="48" t="n">
        <v>5</v>
      </c>
      <c r="AZ120" s="48" t="n">
        <v>1</v>
      </c>
      <c r="BA120" s="48" t="n">
        <v>11</v>
      </c>
      <c r="BB120" s="48" t="n">
        <v>4</v>
      </c>
      <c r="BC120" s="48" t="n">
        <v>14</v>
      </c>
      <c r="BD120" s="48" t="n">
        <v>6</v>
      </c>
      <c r="BE120" s="48" t="n">
        <v>1</v>
      </c>
      <c r="BF120" s="48" t="n">
        <v>5</v>
      </c>
      <c r="BG120" s="49" t="n">
        <v>39.95</v>
      </c>
    </row>
    <row r="121" customFormat="false" ht="15" hidden="false" customHeight="false" outlineLevel="0" collapsed="false">
      <c r="A121" s="43" t="s">
        <v>478</v>
      </c>
      <c r="B121" s="43" t="s">
        <v>479</v>
      </c>
      <c r="C121" s="44" t="str">
        <f aca="false">IF(A121="","",IFERROR(INDEX(Assumptions!$B$41:$B$55,MATCH(TRUE(),INDEX(ISNUMBER(SEARCH(" "&amp;Assumptions!$A$41:$A$55&amp;" "," "&amp;SUBSTITUTE(SUBSTITUTE(SUBSTITUTE(SUBSTITUTE(B121,"-"," "),","," "),"/"," "),"."," ")&amp;" ")),0),0)),"Other"))</f>
        <v>Lighting</v>
      </c>
      <c r="D121" s="45" t="n">
        <f aca="false">IF(A121="","",BG121*(1-Assumptions!$B$18))</f>
        <v>0.75</v>
      </c>
      <c r="E121" s="46" t="n">
        <f aca="false">IF(A121="","",INDEX(Assumptions!$B$23:$B$26,MOD(VALUE(LEFT(A121,5)),4)+1))</f>
        <v>6</v>
      </c>
      <c r="F121" s="47" t="n">
        <v>3318</v>
      </c>
      <c r="G121" s="48" t="n">
        <v>137</v>
      </c>
      <c r="H121" s="48" t="n">
        <v>142</v>
      </c>
      <c r="I121" s="48" t="n">
        <v>0</v>
      </c>
      <c r="J121" s="48" t="n">
        <v>0</v>
      </c>
      <c r="K121" s="48" t="n">
        <v>82</v>
      </c>
      <c r="L121" s="48" t="n">
        <v>221</v>
      </c>
      <c r="M121" s="48" t="n">
        <v>281</v>
      </c>
      <c r="N121" s="48" t="n">
        <v>217</v>
      </c>
      <c r="O121" s="48" t="n">
        <v>167</v>
      </c>
      <c r="P121" s="48" t="n">
        <v>184</v>
      </c>
      <c r="Q121" s="48" t="n">
        <v>136</v>
      </c>
      <c r="R121" s="48" t="n">
        <v>475</v>
      </c>
      <c r="S121" s="48" t="n">
        <v>450</v>
      </c>
      <c r="T121" s="48" t="n">
        <v>308</v>
      </c>
      <c r="U121" s="48" t="n">
        <v>489</v>
      </c>
      <c r="V121" s="48" t="n">
        <v>291</v>
      </c>
      <c r="W121" s="48" t="n">
        <v>522</v>
      </c>
      <c r="X121" s="48" t="n">
        <v>279</v>
      </c>
      <c r="Y121" s="48" t="n">
        <v>276</v>
      </c>
      <c r="Z121" s="48" t="n">
        <v>171</v>
      </c>
      <c r="AA121" s="48" t="n">
        <v>308</v>
      </c>
      <c r="AB121" s="48" t="n">
        <v>506</v>
      </c>
      <c r="AC121" s="48" t="n">
        <v>415</v>
      </c>
      <c r="AD121" s="48" t="n">
        <v>315</v>
      </c>
      <c r="AE121" s="48" t="n">
        <v>392</v>
      </c>
      <c r="AF121" s="48" t="n">
        <v>139</v>
      </c>
      <c r="AG121" s="48" t="n">
        <v>451</v>
      </c>
      <c r="AH121" s="48" t="n">
        <v>139</v>
      </c>
      <c r="AI121" s="48" t="n">
        <v>402</v>
      </c>
      <c r="AJ121" s="48" t="n">
        <v>207</v>
      </c>
      <c r="AK121" s="48" t="n">
        <v>190</v>
      </c>
      <c r="AL121" s="48" t="n">
        <v>163</v>
      </c>
      <c r="AM121" s="48" t="n">
        <v>215</v>
      </c>
      <c r="AN121" s="48" t="n">
        <v>174</v>
      </c>
      <c r="AO121" s="48" t="n">
        <v>183</v>
      </c>
      <c r="AP121" s="48" t="n">
        <v>253</v>
      </c>
      <c r="AQ121" s="48" t="n">
        <v>270</v>
      </c>
      <c r="AR121" s="48" t="n">
        <v>165</v>
      </c>
      <c r="AS121" s="48" t="n">
        <v>146</v>
      </c>
      <c r="AT121" s="48" t="n">
        <v>234</v>
      </c>
      <c r="AU121" s="48" t="n">
        <v>147</v>
      </c>
      <c r="AV121" s="48" t="n">
        <v>120</v>
      </c>
      <c r="AW121" s="48" t="n">
        <v>216</v>
      </c>
      <c r="AX121" s="48" t="n">
        <v>91</v>
      </c>
      <c r="AY121" s="48" t="n">
        <v>140</v>
      </c>
      <c r="AZ121" s="48" t="n">
        <v>148</v>
      </c>
      <c r="BA121" s="48" t="n">
        <v>74</v>
      </c>
      <c r="BB121" s="48" t="n">
        <v>109</v>
      </c>
      <c r="BC121" s="48" t="n">
        <v>409</v>
      </c>
      <c r="BD121" s="48" t="n">
        <v>420</v>
      </c>
      <c r="BE121" s="48" t="n">
        <v>87</v>
      </c>
      <c r="BF121" s="48" t="n">
        <v>267</v>
      </c>
      <c r="BG121" s="49" t="n">
        <v>1.25</v>
      </c>
    </row>
    <row r="122" customFormat="false" ht="15" hidden="false" customHeight="false" outlineLevel="0" collapsed="false">
      <c r="A122" s="43" t="s">
        <v>480</v>
      </c>
      <c r="B122" s="43" t="s">
        <v>481</v>
      </c>
      <c r="C122" s="44" t="str">
        <f aca="false">IF(A122="","",IFERROR(INDEX(Assumptions!$B$41:$B$55,MATCH(TRUE(),INDEX(ISNUMBER(SEARCH(" "&amp;Assumptions!$A$41:$A$55&amp;" "," "&amp;SUBSTITUTE(SUBSTITUTE(SUBSTITUTE(SUBSTITUTE(B122,"-"," "),","," "),"/"," "),"."," ")&amp;" ")),0),0)),"Other"))</f>
        <v>Other</v>
      </c>
      <c r="D122" s="45" t="n">
        <f aca="false">IF(A122="","",BG122*(1-Assumptions!$B$18))</f>
        <v>0.75</v>
      </c>
      <c r="E122" s="46" t="n">
        <f aca="false">IF(A122="","",INDEX(Assumptions!$B$23:$B$26,MOD(VALUE(LEFT(A122,5)),4)+1))</f>
        <v>4</v>
      </c>
      <c r="F122" s="47" t="n">
        <v>9670</v>
      </c>
      <c r="G122" s="48" t="n">
        <v>0</v>
      </c>
      <c r="H122" s="48" t="n">
        <v>0</v>
      </c>
      <c r="I122" s="48" t="n">
        <v>0</v>
      </c>
      <c r="J122" s="48" t="n">
        <v>0</v>
      </c>
      <c r="K122" s="48" t="n">
        <v>0</v>
      </c>
      <c r="L122" s="48" t="n">
        <v>0</v>
      </c>
      <c r="M122" s="48" t="n">
        <v>0</v>
      </c>
      <c r="N122" s="48" t="n">
        <v>0</v>
      </c>
      <c r="O122" s="48" t="n">
        <v>0</v>
      </c>
      <c r="P122" s="48" t="n">
        <v>0</v>
      </c>
      <c r="Q122" s="48" t="n">
        <v>135</v>
      </c>
      <c r="R122" s="48" t="n">
        <v>511</v>
      </c>
      <c r="S122" s="48" t="n">
        <v>369</v>
      </c>
      <c r="T122" s="48" t="n">
        <v>241</v>
      </c>
      <c r="U122" s="48" t="n">
        <v>402</v>
      </c>
      <c r="V122" s="48" t="n">
        <v>250</v>
      </c>
      <c r="W122" s="48" t="n">
        <v>452</v>
      </c>
      <c r="X122" s="48" t="n">
        <v>259</v>
      </c>
      <c r="Y122" s="48" t="n">
        <v>595</v>
      </c>
      <c r="Z122" s="48" t="n">
        <v>173</v>
      </c>
      <c r="AA122" s="48" t="n">
        <v>112</v>
      </c>
      <c r="AB122" s="48" t="n">
        <v>371</v>
      </c>
      <c r="AC122" s="48" t="n">
        <v>312</v>
      </c>
      <c r="AD122" s="48" t="n">
        <v>343</v>
      </c>
      <c r="AE122" s="48" t="n">
        <v>193</v>
      </c>
      <c r="AF122" s="48" t="n">
        <v>97</v>
      </c>
      <c r="AG122" s="48" t="n">
        <v>209</v>
      </c>
      <c r="AH122" s="48" t="n">
        <v>290</v>
      </c>
      <c r="AI122" s="48" t="n">
        <v>111</v>
      </c>
      <c r="AJ122" s="48" t="n">
        <v>130</v>
      </c>
      <c r="AK122" s="48" t="n">
        <v>182</v>
      </c>
      <c r="AL122" s="48" t="n">
        <v>150</v>
      </c>
      <c r="AM122" s="48" t="n">
        <v>617</v>
      </c>
      <c r="AN122" s="48" t="n">
        <v>340</v>
      </c>
      <c r="AO122" s="48" t="n">
        <v>275</v>
      </c>
      <c r="AP122" s="48" t="n">
        <v>182</v>
      </c>
      <c r="AQ122" s="48" t="n">
        <v>449</v>
      </c>
      <c r="AR122" s="48" t="n">
        <v>184</v>
      </c>
      <c r="AS122" s="48" t="n">
        <v>187</v>
      </c>
      <c r="AT122" s="48" t="n">
        <v>316</v>
      </c>
      <c r="AU122" s="48" t="n">
        <v>396</v>
      </c>
      <c r="AV122" s="48" t="n">
        <v>186</v>
      </c>
      <c r="AW122" s="48" t="n">
        <v>283</v>
      </c>
      <c r="AX122" s="48" t="n">
        <v>269</v>
      </c>
      <c r="AY122" s="48" t="n">
        <v>117</v>
      </c>
      <c r="AZ122" s="48" t="n">
        <v>225</v>
      </c>
      <c r="BA122" s="48" t="n">
        <v>296</v>
      </c>
      <c r="BB122" s="48" t="n">
        <v>539</v>
      </c>
      <c r="BC122" s="48" t="n">
        <v>287</v>
      </c>
      <c r="BD122" s="48" t="n">
        <v>376</v>
      </c>
      <c r="BE122" s="48" t="n">
        <v>424</v>
      </c>
      <c r="BF122" s="48" t="n">
        <v>430</v>
      </c>
      <c r="BG122" s="49" t="n">
        <v>1.25</v>
      </c>
    </row>
    <row r="123" customFormat="false" ht="15" hidden="false" customHeight="false" outlineLevel="0" collapsed="false">
      <c r="A123" s="43" t="s">
        <v>482</v>
      </c>
      <c r="B123" s="43" t="s">
        <v>483</v>
      </c>
      <c r="C123" s="44" t="str">
        <f aca="false">IF(A123="","",IFERROR(INDEX(Assumptions!$B$41:$B$55,MATCH(TRUE(),INDEX(ISNUMBER(SEARCH(" "&amp;Assumptions!$A$41:$A$55&amp;" "," "&amp;SUBSTITUTE(SUBSTITUTE(SUBSTITUTE(SUBSTITUTE(B123,"-"," "),","," "),"/"," "),"."," ")&amp;" ")),0),0)),"Other"))</f>
        <v>Other</v>
      </c>
      <c r="D123" s="45" t="n">
        <f aca="false">IF(A123="","",BG123*(1-Assumptions!$B$18))</f>
        <v>3.57</v>
      </c>
      <c r="E123" s="46" t="n">
        <f aca="false">IF(A123="","",INDEX(Assumptions!$B$23:$B$26,MOD(VALUE(LEFT(A123,5)),4)+1))</f>
        <v>2</v>
      </c>
      <c r="F123" s="47" t="n">
        <v>588</v>
      </c>
      <c r="G123" s="48" t="n">
        <v>38</v>
      </c>
      <c r="H123" s="48" t="n">
        <v>61</v>
      </c>
      <c r="I123" s="48" t="n">
        <v>28</v>
      </c>
      <c r="J123" s="48" t="n">
        <v>0</v>
      </c>
      <c r="K123" s="48" t="n">
        <v>95</v>
      </c>
      <c r="L123" s="48" t="n">
        <v>19</v>
      </c>
      <c r="M123" s="48" t="n">
        <v>67</v>
      </c>
      <c r="N123" s="48" t="n">
        <v>12</v>
      </c>
      <c r="O123" s="48" t="n">
        <v>73</v>
      </c>
      <c r="P123" s="48" t="n">
        <v>13</v>
      </c>
      <c r="Q123" s="48" t="n">
        <v>9</v>
      </c>
      <c r="R123" s="48" t="n">
        <v>31</v>
      </c>
      <c r="S123" s="48" t="n">
        <v>11</v>
      </c>
      <c r="T123" s="48" t="n">
        <v>4</v>
      </c>
      <c r="U123" s="48" t="n">
        <v>53</v>
      </c>
      <c r="V123" s="48" t="n">
        <v>55</v>
      </c>
      <c r="W123" s="48" t="n">
        <v>3</v>
      </c>
      <c r="X123" s="48" t="n">
        <v>6</v>
      </c>
      <c r="Y123" s="48" t="n">
        <v>16</v>
      </c>
      <c r="Z123" s="48" t="n">
        <v>29</v>
      </c>
      <c r="AA123" s="48" t="n">
        <v>44</v>
      </c>
      <c r="AB123" s="48" t="n">
        <v>64</v>
      </c>
      <c r="AC123" s="48" t="n">
        <v>93</v>
      </c>
      <c r="AD123" s="48" t="n">
        <v>31</v>
      </c>
      <c r="AE123" s="48" t="n">
        <v>19</v>
      </c>
      <c r="AF123" s="48" t="n">
        <v>21</v>
      </c>
      <c r="AG123" s="48" t="n">
        <v>33</v>
      </c>
      <c r="AH123" s="48" t="n">
        <v>17</v>
      </c>
      <c r="AI123" s="48" t="n">
        <v>74</v>
      </c>
      <c r="AJ123" s="48" t="n">
        <v>15</v>
      </c>
      <c r="AK123" s="48" t="n">
        <v>163</v>
      </c>
      <c r="AL123" s="48" t="n">
        <v>113</v>
      </c>
      <c r="AM123" s="48" t="n">
        <v>222</v>
      </c>
      <c r="AN123" s="48" t="n">
        <v>14</v>
      </c>
      <c r="AO123" s="48" t="n">
        <v>82</v>
      </c>
      <c r="AP123" s="48" t="n">
        <v>18</v>
      </c>
      <c r="AQ123" s="48" t="n">
        <v>96</v>
      </c>
      <c r="AR123" s="48" t="n">
        <v>33</v>
      </c>
      <c r="AS123" s="48" t="n">
        <v>17</v>
      </c>
      <c r="AT123" s="48" t="n">
        <v>123</v>
      </c>
      <c r="AU123" s="48" t="n">
        <v>46</v>
      </c>
      <c r="AV123" s="48" t="n">
        <v>36</v>
      </c>
      <c r="AW123" s="48" t="n">
        <v>87</v>
      </c>
      <c r="AX123" s="48" t="n">
        <v>196</v>
      </c>
      <c r="AY123" s="48" t="n">
        <v>37</v>
      </c>
      <c r="AZ123" s="48" t="n">
        <v>43</v>
      </c>
      <c r="BA123" s="48" t="n">
        <v>169</v>
      </c>
      <c r="BB123" s="48" t="n">
        <v>94</v>
      </c>
      <c r="BC123" s="48" t="n">
        <v>48</v>
      </c>
      <c r="BD123" s="48" t="n">
        <v>74</v>
      </c>
      <c r="BE123" s="48" t="n">
        <v>21</v>
      </c>
      <c r="BF123" s="48" t="n">
        <v>12</v>
      </c>
      <c r="BG123" s="49" t="n">
        <v>5.95</v>
      </c>
    </row>
    <row r="124" customFormat="false" ht="15" hidden="false" customHeight="false" outlineLevel="0" collapsed="false">
      <c r="A124" s="43" t="s">
        <v>484</v>
      </c>
      <c r="B124" s="43" t="s">
        <v>485</v>
      </c>
      <c r="C124" s="44" t="str">
        <f aca="false">IF(A124="","",IFERROR(INDEX(Assumptions!$B$41:$B$55,MATCH(TRUE(),INDEX(ISNUMBER(SEARCH(" "&amp;Assumptions!$A$41:$A$55&amp;" "," "&amp;SUBSTITUTE(SUBSTITUTE(SUBSTITUTE(SUBSTITUTE(B124,"-"," "),","," "),"/"," "),"."," ")&amp;" ")),0),0)),"Other"))</f>
        <v>Bags</v>
      </c>
      <c r="D124" s="45" t="n">
        <f aca="false">IF(A124="","",BG124*(1-Assumptions!$B$18))</f>
        <v>0.51</v>
      </c>
      <c r="E124" s="46" t="n">
        <f aca="false">IF(A124="","",INDEX(Assumptions!$B$23:$B$26,MOD(VALUE(LEFT(A124,5)),4)+1))</f>
        <v>8</v>
      </c>
      <c r="F124" s="47" t="n">
        <v>2197</v>
      </c>
      <c r="G124" s="48" t="n">
        <v>255</v>
      </c>
      <c r="H124" s="48" t="n">
        <v>161</v>
      </c>
      <c r="I124" s="48" t="n">
        <v>374</v>
      </c>
      <c r="J124" s="48" t="n">
        <v>0</v>
      </c>
      <c r="K124" s="48" t="n">
        <v>202</v>
      </c>
      <c r="L124" s="48" t="n">
        <v>268</v>
      </c>
      <c r="M124" s="48" t="n">
        <v>193</v>
      </c>
      <c r="N124" s="48" t="n">
        <v>228</v>
      </c>
      <c r="O124" s="48" t="n">
        <v>141</v>
      </c>
      <c r="P124" s="48" t="n">
        <v>73</v>
      </c>
      <c r="Q124" s="48" t="n">
        <v>266</v>
      </c>
      <c r="R124" s="48" t="n">
        <v>398</v>
      </c>
      <c r="S124" s="48" t="n">
        <v>158</v>
      </c>
      <c r="T124" s="48" t="n">
        <v>353</v>
      </c>
      <c r="U124" s="48" t="n">
        <v>289</v>
      </c>
      <c r="V124" s="48" t="n">
        <v>253</v>
      </c>
      <c r="W124" s="48" t="n">
        <v>612</v>
      </c>
      <c r="X124" s="48" t="n">
        <v>211</v>
      </c>
      <c r="Y124" s="48" t="n">
        <v>162</v>
      </c>
      <c r="Z124" s="48" t="n">
        <v>106</v>
      </c>
      <c r="AA124" s="48" t="n">
        <v>105</v>
      </c>
      <c r="AB124" s="48" t="n">
        <v>243</v>
      </c>
      <c r="AC124" s="48" t="n">
        <v>396</v>
      </c>
      <c r="AD124" s="48" t="n">
        <v>126</v>
      </c>
      <c r="AE124" s="48" t="n">
        <v>332</v>
      </c>
      <c r="AF124" s="48" t="n">
        <v>95</v>
      </c>
      <c r="AG124" s="48" t="n">
        <v>335</v>
      </c>
      <c r="AH124" s="48" t="n">
        <v>333</v>
      </c>
      <c r="AI124" s="48" t="n">
        <v>253</v>
      </c>
      <c r="AJ124" s="48" t="n">
        <v>522</v>
      </c>
      <c r="AK124" s="48" t="n">
        <v>152</v>
      </c>
      <c r="AL124" s="48" t="n">
        <v>115</v>
      </c>
      <c r="AM124" s="48" t="n">
        <v>283</v>
      </c>
      <c r="AN124" s="48" t="n">
        <v>174</v>
      </c>
      <c r="AO124" s="48" t="n">
        <v>217</v>
      </c>
      <c r="AP124" s="48" t="n">
        <v>567</v>
      </c>
      <c r="AQ124" s="48" t="n">
        <v>275</v>
      </c>
      <c r="AR124" s="48" t="n">
        <v>190</v>
      </c>
      <c r="AS124" s="48" t="n">
        <v>129</v>
      </c>
      <c r="AT124" s="48" t="n">
        <v>157</v>
      </c>
      <c r="AU124" s="48" t="n">
        <v>250</v>
      </c>
      <c r="AV124" s="48" t="n">
        <v>466</v>
      </c>
      <c r="AW124" s="48" t="n">
        <v>116</v>
      </c>
      <c r="AX124" s="48" t="n">
        <v>179</v>
      </c>
      <c r="AY124" s="48" t="n">
        <v>199</v>
      </c>
      <c r="AZ124" s="48" t="n">
        <v>311</v>
      </c>
      <c r="BA124" s="48" t="n">
        <v>246</v>
      </c>
      <c r="BB124" s="48" t="n">
        <v>145</v>
      </c>
      <c r="BC124" s="48" t="n">
        <v>214</v>
      </c>
      <c r="BD124" s="48" t="n">
        <v>299</v>
      </c>
      <c r="BE124" s="48" t="n">
        <v>241</v>
      </c>
      <c r="BF124" s="48" t="n">
        <v>327</v>
      </c>
      <c r="BG124" s="49" t="n">
        <v>0.85</v>
      </c>
    </row>
    <row r="125" customFormat="false" ht="15" hidden="false" customHeight="false" outlineLevel="0" collapsed="false">
      <c r="A125" s="43" t="s">
        <v>486</v>
      </c>
      <c r="B125" s="43" t="s">
        <v>487</v>
      </c>
      <c r="C125" s="44" t="str">
        <f aca="false">IF(A125="","",IFERROR(INDEX(Assumptions!$B$41:$B$55,MATCH(TRUE(),INDEX(ISNUMBER(SEARCH(" "&amp;Assumptions!$A$41:$A$55&amp;" "," "&amp;SUBSTITUTE(SUBSTITUTE(SUBSTITUTE(SUBSTITUTE(B125,"-"," "),","," "),"/"," "),"."," ")&amp;" ")),0),0)),"Other"))</f>
        <v>Other</v>
      </c>
      <c r="D125" s="45" t="n">
        <f aca="false">IF(A125="","",BG125*(1-Assumptions!$B$18))</f>
        <v>5.1</v>
      </c>
      <c r="E125" s="46" t="n">
        <f aca="false">IF(A125="","",INDEX(Assumptions!$B$23:$B$26,MOD(VALUE(LEFT(A125,5)),4)+1))</f>
        <v>2</v>
      </c>
      <c r="F125" s="47" t="n">
        <v>551</v>
      </c>
      <c r="G125" s="48" t="n">
        <v>36</v>
      </c>
      <c r="H125" s="48" t="n">
        <v>45</v>
      </c>
      <c r="I125" s="48" t="n">
        <v>6</v>
      </c>
      <c r="J125" s="48" t="n">
        <v>0</v>
      </c>
      <c r="K125" s="48" t="n">
        <v>43</v>
      </c>
      <c r="L125" s="48" t="n">
        <v>23</v>
      </c>
      <c r="M125" s="48" t="n">
        <v>22</v>
      </c>
      <c r="N125" s="48" t="n">
        <v>27</v>
      </c>
      <c r="O125" s="48" t="n">
        <v>53</v>
      </c>
      <c r="P125" s="48" t="n">
        <v>69</v>
      </c>
      <c r="Q125" s="48" t="n">
        <v>37</v>
      </c>
      <c r="R125" s="48" t="n">
        <v>34</v>
      </c>
      <c r="S125" s="48" t="n">
        <v>13</v>
      </c>
      <c r="T125" s="48" t="n">
        <v>24</v>
      </c>
      <c r="U125" s="48" t="n">
        <v>68</v>
      </c>
      <c r="V125" s="48" t="n">
        <v>0</v>
      </c>
      <c r="W125" s="48" t="n">
        <v>12</v>
      </c>
      <c r="X125" s="48" t="n">
        <v>1</v>
      </c>
      <c r="Y125" s="48" t="n">
        <v>1</v>
      </c>
      <c r="Z125" s="48" t="n">
        <v>0</v>
      </c>
      <c r="AA125" s="48" t="n">
        <v>0</v>
      </c>
      <c r="AB125" s="48" t="n">
        <v>0</v>
      </c>
      <c r="AC125" s="48" t="n">
        <v>1</v>
      </c>
      <c r="AD125" s="48" t="n">
        <v>19</v>
      </c>
      <c r="AE125" s="48" t="n">
        <v>61</v>
      </c>
      <c r="AF125" s="48" t="n">
        <v>67</v>
      </c>
      <c r="AG125" s="48" t="n">
        <v>41</v>
      </c>
      <c r="AH125" s="48" t="n">
        <v>67</v>
      </c>
      <c r="AI125" s="48" t="n">
        <v>22</v>
      </c>
      <c r="AJ125" s="48" t="n">
        <v>57</v>
      </c>
      <c r="AK125" s="48" t="n">
        <v>32</v>
      </c>
      <c r="AL125" s="48" t="n">
        <v>22</v>
      </c>
      <c r="AM125" s="48" t="n">
        <v>43</v>
      </c>
      <c r="AN125" s="48" t="n">
        <v>34</v>
      </c>
      <c r="AO125" s="48" t="n">
        <v>37</v>
      </c>
      <c r="AP125" s="48" t="n">
        <v>67</v>
      </c>
      <c r="AQ125" s="48" t="n">
        <v>32</v>
      </c>
      <c r="AR125" s="48" t="n">
        <v>44</v>
      </c>
      <c r="AS125" s="48" t="n">
        <v>33</v>
      </c>
      <c r="AT125" s="48" t="n">
        <v>94</v>
      </c>
      <c r="AU125" s="48" t="n">
        <v>24</v>
      </c>
      <c r="AV125" s="48" t="n">
        <v>87</v>
      </c>
      <c r="AW125" s="48" t="n">
        <v>17</v>
      </c>
      <c r="AX125" s="48" t="n">
        <v>27</v>
      </c>
      <c r="AY125" s="48" t="n">
        <v>49</v>
      </c>
      <c r="AZ125" s="48" t="n">
        <v>78</v>
      </c>
      <c r="BA125" s="48" t="n">
        <v>45</v>
      </c>
      <c r="BB125" s="48" t="n">
        <v>44</v>
      </c>
      <c r="BC125" s="48" t="n">
        <v>43</v>
      </c>
      <c r="BD125" s="48" t="n">
        <v>36</v>
      </c>
      <c r="BE125" s="48" t="n">
        <v>20</v>
      </c>
      <c r="BF125" s="48" t="n">
        <v>34</v>
      </c>
      <c r="BG125" s="49" t="n">
        <v>8.5</v>
      </c>
    </row>
    <row r="126" customFormat="false" ht="15" hidden="false" customHeight="false" outlineLevel="0" collapsed="false">
      <c r="A126" s="43" t="s">
        <v>488</v>
      </c>
      <c r="B126" s="43" t="s">
        <v>489</v>
      </c>
      <c r="C126" s="44" t="str">
        <f aca="false">IF(A126="","",IFERROR(INDEX(Assumptions!$B$41:$B$55,MATCH(TRUE(),INDEX(ISNUMBER(SEARCH(" "&amp;Assumptions!$A$41:$A$55&amp;" "," "&amp;SUBSTITUTE(SUBSTITUTE(SUBSTITUTE(SUBSTITUTE(B126,"-"," "),","," "),"/"," "),"."," ")&amp;" ")),0),0)),"Other"))</f>
        <v>Bags</v>
      </c>
      <c r="D126" s="45" t="n">
        <f aca="false">IF(A126="","",BG126*(1-Assumptions!$B$18))</f>
        <v>1.26</v>
      </c>
      <c r="E126" s="46" t="n">
        <f aca="false">IF(A126="","",INDEX(Assumptions!$B$23:$B$26,MOD(VALUE(LEFT(A126,5)),4)+1))</f>
        <v>8</v>
      </c>
      <c r="F126" s="47" t="n">
        <v>6511</v>
      </c>
      <c r="G126" s="48" t="n">
        <v>231</v>
      </c>
      <c r="H126" s="48" t="n">
        <v>87</v>
      </c>
      <c r="I126" s="48" t="n">
        <v>44</v>
      </c>
      <c r="J126" s="48" t="n">
        <v>0</v>
      </c>
      <c r="K126" s="48" t="n">
        <v>737</v>
      </c>
      <c r="L126" s="48" t="n">
        <v>111</v>
      </c>
      <c r="M126" s="48" t="n">
        <v>40</v>
      </c>
      <c r="N126" s="48" t="n">
        <v>60</v>
      </c>
      <c r="O126" s="48" t="n">
        <v>348</v>
      </c>
      <c r="P126" s="48" t="n">
        <v>59</v>
      </c>
      <c r="Q126" s="48" t="n">
        <v>54</v>
      </c>
      <c r="R126" s="48" t="n">
        <v>134</v>
      </c>
      <c r="S126" s="48" t="n">
        <v>23</v>
      </c>
      <c r="T126" s="48" t="n">
        <v>66</v>
      </c>
      <c r="U126" s="48" t="n">
        <v>141</v>
      </c>
      <c r="V126" s="48" t="n">
        <v>29</v>
      </c>
      <c r="W126" s="48" t="n">
        <v>105</v>
      </c>
      <c r="X126" s="48" t="n">
        <v>207</v>
      </c>
      <c r="Y126" s="48" t="n">
        <v>48</v>
      </c>
      <c r="Z126" s="48" t="n">
        <v>87</v>
      </c>
      <c r="AA126" s="48" t="n">
        <v>79</v>
      </c>
      <c r="AB126" s="48" t="n">
        <v>26</v>
      </c>
      <c r="AC126" s="48" t="n">
        <v>81</v>
      </c>
      <c r="AD126" s="48" t="n">
        <v>118</v>
      </c>
      <c r="AE126" s="48" t="n">
        <v>169</v>
      </c>
      <c r="AF126" s="48" t="n">
        <v>138</v>
      </c>
      <c r="AG126" s="48" t="n">
        <v>35</v>
      </c>
      <c r="AH126" s="48" t="n">
        <v>90</v>
      </c>
      <c r="AI126" s="48" t="n">
        <v>244</v>
      </c>
      <c r="AJ126" s="48" t="n">
        <v>34</v>
      </c>
      <c r="AK126" s="48" t="n">
        <v>292</v>
      </c>
      <c r="AL126" s="48" t="n">
        <v>92</v>
      </c>
      <c r="AM126" s="48" t="n">
        <v>109</v>
      </c>
      <c r="AN126" s="48" t="n">
        <v>81</v>
      </c>
      <c r="AO126" s="48" t="n">
        <v>30</v>
      </c>
      <c r="AP126" s="48" t="n">
        <v>157</v>
      </c>
      <c r="AQ126" s="48" t="n">
        <v>111</v>
      </c>
      <c r="AR126" s="48" t="n">
        <v>77</v>
      </c>
      <c r="AS126" s="48" t="n">
        <v>42</v>
      </c>
      <c r="AT126" s="48" t="n">
        <v>89</v>
      </c>
      <c r="AU126" s="48" t="n">
        <v>130</v>
      </c>
      <c r="AV126" s="48" t="n">
        <v>261</v>
      </c>
      <c r="AW126" s="48" t="n">
        <v>152</v>
      </c>
      <c r="AX126" s="48" t="n">
        <v>746</v>
      </c>
      <c r="AY126" s="48" t="n">
        <v>97</v>
      </c>
      <c r="AZ126" s="48" t="n">
        <v>119</v>
      </c>
      <c r="BA126" s="48" t="n">
        <v>39</v>
      </c>
      <c r="BB126" s="48" t="n">
        <v>89</v>
      </c>
      <c r="BC126" s="48" t="n">
        <v>70</v>
      </c>
      <c r="BD126" s="48" t="n">
        <v>90</v>
      </c>
      <c r="BE126" s="48" t="n">
        <v>126</v>
      </c>
      <c r="BF126" s="48" t="n">
        <v>147</v>
      </c>
      <c r="BG126" s="49" t="n">
        <v>2.1</v>
      </c>
    </row>
    <row r="127" customFormat="false" ht="15" hidden="false" customHeight="false" outlineLevel="0" collapsed="false">
      <c r="A127" s="43" t="s">
        <v>490</v>
      </c>
      <c r="B127" s="43" t="s">
        <v>491</v>
      </c>
      <c r="C127" s="44" t="str">
        <f aca="false">IF(A127="","",IFERROR(INDEX(Assumptions!$B$41:$B$55,MATCH(TRUE(),INDEX(ISNUMBER(SEARCH(" "&amp;Assumptions!$A$41:$A$55&amp;" "," "&amp;SUBSTITUTE(SUBSTITUTE(SUBSTITUTE(SUBSTITUTE(B127,"-"," "),","," "),"/"," "),"."," ")&amp;" ")),0),0)),"Other"))</f>
        <v>Other</v>
      </c>
      <c r="D127" s="45" t="n">
        <f aca="false">IF(A127="","",BG127*(1-Assumptions!$B$18))</f>
        <v>1.26</v>
      </c>
      <c r="E127" s="46" t="n">
        <f aca="false">IF(A127="","",INDEX(Assumptions!$B$23:$B$26,MOD(VALUE(LEFT(A127,5)),4)+1))</f>
        <v>4</v>
      </c>
      <c r="F127" s="47" t="n">
        <v>1526</v>
      </c>
      <c r="G127" s="48" t="n">
        <v>286</v>
      </c>
      <c r="H127" s="48" t="n">
        <v>24</v>
      </c>
      <c r="I127" s="48" t="n">
        <v>0</v>
      </c>
      <c r="J127" s="48" t="n">
        <v>0</v>
      </c>
      <c r="K127" s="48" t="n">
        <v>60</v>
      </c>
      <c r="L127" s="48" t="n">
        <v>1</v>
      </c>
      <c r="M127" s="48" t="n">
        <v>3</v>
      </c>
      <c r="N127" s="48" t="n">
        <v>0</v>
      </c>
      <c r="O127" s="48" t="n">
        <v>0</v>
      </c>
      <c r="P127" s="48" t="n">
        <v>0</v>
      </c>
      <c r="Q127" s="48" t="n">
        <v>0</v>
      </c>
      <c r="R127" s="48" t="n">
        <v>0</v>
      </c>
      <c r="S127" s="48" t="n">
        <v>3</v>
      </c>
      <c r="T127" s="48" t="n">
        <v>12</v>
      </c>
      <c r="U127" s="48" t="n">
        <v>3</v>
      </c>
      <c r="V127" s="48" t="n">
        <v>7</v>
      </c>
      <c r="W127" s="48" t="n">
        <v>0</v>
      </c>
      <c r="X127" s="48" t="n">
        <v>8</v>
      </c>
      <c r="Y127" s="48" t="n">
        <v>1</v>
      </c>
      <c r="Z127" s="48" t="n">
        <v>1</v>
      </c>
      <c r="AA127" s="48" t="n">
        <v>0</v>
      </c>
      <c r="AB127" s="48" t="n">
        <v>0</v>
      </c>
      <c r="AC127" s="48" t="n">
        <v>0</v>
      </c>
      <c r="AD127" s="48" t="n">
        <v>2</v>
      </c>
      <c r="AE127" s="48" t="n">
        <v>1</v>
      </c>
      <c r="AF127" s="48" t="n">
        <v>2</v>
      </c>
      <c r="AG127" s="48" t="n">
        <v>6</v>
      </c>
      <c r="AH127" s="48" t="n">
        <v>3</v>
      </c>
      <c r="AI127" s="48" t="n">
        <v>0</v>
      </c>
      <c r="AJ127" s="48" t="n">
        <v>0</v>
      </c>
      <c r="AK127" s="48" t="n">
        <v>2</v>
      </c>
      <c r="AL127" s="48" t="n">
        <v>0</v>
      </c>
      <c r="AM127" s="48" t="n">
        <v>0</v>
      </c>
      <c r="AN127" s="48" t="n">
        <v>0</v>
      </c>
      <c r="AO127" s="48" t="n">
        <v>0</v>
      </c>
      <c r="AP127" s="48" t="n">
        <v>0</v>
      </c>
      <c r="AQ127" s="48" t="n">
        <v>0</v>
      </c>
      <c r="AR127" s="48" t="n">
        <v>254</v>
      </c>
      <c r="AS127" s="48" t="n">
        <v>159</v>
      </c>
      <c r="AT127" s="48" t="n">
        <v>836</v>
      </c>
      <c r="AU127" s="48" t="n">
        <v>330</v>
      </c>
      <c r="AV127" s="48" t="n">
        <v>674</v>
      </c>
      <c r="AW127" s="48" t="n">
        <v>201</v>
      </c>
      <c r="AX127" s="48" t="n">
        <v>563</v>
      </c>
      <c r="AY127" s="48" t="n">
        <v>203</v>
      </c>
      <c r="AZ127" s="48" t="n">
        <v>407</v>
      </c>
      <c r="BA127" s="48" t="n">
        <v>303</v>
      </c>
      <c r="BB127" s="48" t="n">
        <v>529</v>
      </c>
      <c r="BC127" s="48" t="n">
        <v>859</v>
      </c>
      <c r="BD127" s="48" t="n">
        <v>532</v>
      </c>
      <c r="BE127" s="48" t="n">
        <v>344</v>
      </c>
      <c r="BF127" s="48" t="n">
        <v>597</v>
      </c>
      <c r="BG127" s="49" t="n">
        <v>2.1</v>
      </c>
    </row>
    <row r="128" customFormat="false" ht="15" hidden="false" customHeight="false" outlineLevel="0" collapsed="false">
      <c r="A128" s="43" t="s">
        <v>492</v>
      </c>
      <c r="B128" s="43" t="s">
        <v>493</v>
      </c>
      <c r="C128" s="44" t="str">
        <f aca="false">IF(A128="","",IFERROR(INDEX(Assumptions!$B$41:$B$55,MATCH(TRUE(),INDEX(ISNUMBER(SEARCH(" "&amp;Assumptions!$A$41:$A$55&amp;" "," "&amp;SUBSTITUTE(SUBSTITUTE(SUBSTITUTE(SUBSTITUTE(B128,"-"," "),","," "),"/"," "),"."," ")&amp;" ")),0),0)),"Other"))</f>
        <v>Other</v>
      </c>
      <c r="D128" s="45" t="n">
        <f aca="false">IF(A128="","",BG128*(1-Assumptions!$B$18))</f>
        <v>0.99</v>
      </c>
      <c r="E128" s="46" t="n">
        <f aca="false">IF(A128="","",INDEX(Assumptions!$B$23:$B$26,MOD(VALUE(LEFT(A128,5)),4)+1))</f>
        <v>4</v>
      </c>
      <c r="F128" s="47" t="n">
        <v>5889</v>
      </c>
      <c r="G128" s="48" t="n">
        <v>0</v>
      </c>
      <c r="H128" s="48" t="n">
        <v>0</v>
      </c>
      <c r="I128" s="48" t="n">
        <v>0</v>
      </c>
      <c r="J128" s="48" t="n">
        <v>0</v>
      </c>
      <c r="K128" s="48" t="n">
        <v>0</v>
      </c>
      <c r="L128" s="48" t="n">
        <v>0</v>
      </c>
      <c r="M128" s="48" t="n">
        <v>0</v>
      </c>
      <c r="N128" s="48" t="n">
        <v>0</v>
      </c>
      <c r="O128" s="48" t="n">
        <v>0</v>
      </c>
      <c r="P128" s="48" t="n">
        <v>0</v>
      </c>
      <c r="Q128" s="48" t="n">
        <v>0</v>
      </c>
      <c r="R128" s="48" t="n">
        <v>0</v>
      </c>
      <c r="S128" s="48" t="n">
        <v>0</v>
      </c>
      <c r="T128" s="48" t="n">
        <v>0</v>
      </c>
      <c r="U128" s="48" t="n">
        <v>0</v>
      </c>
      <c r="V128" s="48" t="n">
        <v>0</v>
      </c>
      <c r="W128" s="48" t="n">
        <v>0</v>
      </c>
      <c r="X128" s="48" t="n">
        <v>0</v>
      </c>
      <c r="Y128" s="48" t="n">
        <v>0</v>
      </c>
      <c r="Z128" s="48" t="n">
        <v>0</v>
      </c>
      <c r="AA128" s="48" t="n">
        <v>0</v>
      </c>
      <c r="AB128" s="48" t="n">
        <v>0</v>
      </c>
      <c r="AC128" s="48" t="n">
        <v>28</v>
      </c>
      <c r="AD128" s="48" t="n">
        <v>325</v>
      </c>
      <c r="AE128" s="48" t="n">
        <v>271</v>
      </c>
      <c r="AF128" s="48" t="n">
        <v>256</v>
      </c>
      <c r="AG128" s="48" t="n">
        <v>208</v>
      </c>
      <c r="AH128" s="48" t="n">
        <v>343</v>
      </c>
      <c r="AI128" s="48" t="n">
        <v>281</v>
      </c>
      <c r="AJ128" s="48" t="n">
        <v>59</v>
      </c>
      <c r="AK128" s="48" t="n">
        <v>134</v>
      </c>
      <c r="AL128" s="48" t="n">
        <v>172</v>
      </c>
      <c r="AM128" s="48" t="n">
        <v>343</v>
      </c>
      <c r="AN128" s="48" t="n">
        <v>174</v>
      </c>
      <c r="AO128" s="48" t="n">
        <v>193</v>
      </c>
      <c r="AP128" s="48" t="n">
        <v>112</v>
      </c>
      <c r="AQ128" s="48" t="n">
        <v>103</v>
      </c>
      <c r="AR128" s="48" t="n">
        <v>218</v>
      </c>
      <c r="AS128" s="48" t="n">
        <v>62</v>
      </c>
      <c r="AT128" s="48" t="n">
        <v>111</v>
      </c>
      <c r="AU128" s="48" t="n">
        <v>432</v>
      </c>
      <c r="AV128" s="48" t="n">
        <v>209</v>
      </c>
      <c r="AW128" s="48" t="n">
        <v>253</v>
      </c>
      <c r="AX128" s="48" t="n">
        <v>329</v>
      </c>
      <c r="AY128" s="48" t="n">
        <v>219</v>
      </c>
      <c r="AZ128" s="48" t="n">
        <v>289</v>
      </c>
      <c r="BA128" s="48" t="n">
        <v>170</v>
      </c>
      <c r="BB128" s="48" t="n">
        <v>480</v>
      </c>
      <c r="BC128" s="48" t="n">
        <v>569</v>
      </c>
      <c r="BD128" s="48" t="n">
        <v>957</v>
      </c>
      <c r="BE128" s="48" t="n">
        <v>344</v>
      </c>
      <c r="BF128" s="48" t="n">
        <v>632</v>
      </c>
      <c r="BG128" s="49" t="n">
        <v>1.65</v>
      </c>
    </row>
    <row r="129" customFormat="false" ht="15" hidden="false" customHeight="false" outlineLevel="0" collapsed="false">
      <c r="A129" s="43" t="s">
        <v>494</v>
      </c>
      <c r="B129" s="43" t="s">
        <v>495</v>
      </c>
      <c r="C129" s="44" t="str">
        <f aca="false">IF(A129="","",IFERROR(INDEX(Assumptions!$B$41:$B$55,MATCH(TRUE(),INDEX(ISNUMBER(SEARCH(" "&amp;Assumptions!$A$41:$A$55&amp;" "," "&amp;SUBSTITUTE(SUBSTITUTE(SUBSTITUTE(SUBSTITUTE(B129,"-"," "),","," "),"/"," "),"."," ")&amp;" ")),0),0)),"Other"))</f>
        <v>Other</v>
      </c>
      <c r="D129" s="45" t="n">
        <f aca="false">IF(A129="","",BG129*(1-Assumptions!$B$18))</f>
        <v>1.77</v>
      </c>
      <c r="E129" s="46" t="n">
        <f aca="false">IF(A129="","",INDEX(Assumptions!$B$23:$B$26,MOD(VALUE(LEFT(A129,5)),4)+1))</f>
        <v>2</v>
      </c>
      <c r="F129" s="47" t="n">
        <v>1387</v>
      </c>
      <c r="G129" s="48" t="n">
        <v>46</v>
      </c>
      <c r="H129" s="48" t="n">
        <v>5</v>
      </c>
      <c r="I129" s="48" t="n">
        <v>8</v>
      </c>
      <c r="J129" s="48" t="n">
        <v>0</v>
      </c>
      <c r="K129" s="48" t="n">
        <v>60</v>
      </c>
      <c r="L129" s="48" t="n">
        <v>65</v>
      </c>
      <c r="M129" s="48" t="n">
        <v>15</v>
      </c>
      <c r="N129" s="48" t="n">
        <v>66</v>
      </c>
      <c r="O129" s="48" t="n">
        <v>30</v>
      </c>
      <c r="P129" s="48" t="n">
        <v>39</v>
      </c>
      <c r="Q129" s="48" t="n">
        <v>136</v>
      </c>
      <c r="R129" s="48" t="n">
        <v>321</v>
      </c>
      <c r="S129" s="48" t="n">
        <v>273</v>
      </c>
      <c r="T129" s="48" t="n">
        <v>239</v>
      </c>
      <c r="U129" s="48" t="n">
        <v>287</v>
      </c>
      <c r="V129" s="48" t="n">
        <v>327</v>
      </c>
      <c r="W129" s="48" t="n">
        <v>549</v>
      </c>
      <c r="X129" s="48" t="n">
        <v>525</v>
      </c>
      <c r="Y129" s="48" t="n">
        <v>955</v>
      </c>
      <c r="Z129" s="48" t="n">
        <v>377</v>
      </c>
      <c r="AA129" s="48" t="n">
        <v>486</v>
      </c>
      <c r="AB129" s="48" t="n">
        <v>67</v>
      </c>
      <c r="AC129" s="48" t="n">
        <v>65</v>
      </c>
      <c r="AD129" s="48" t="n">
        <v>24</v>
      </c>
      <c r="AE129" s="48" t="n">
        <v>18</v>
      </c>
      <c r="AF129" s="48" t="n">
        <v>8</v>
      </c>
      <c r="AG129" s="48" t="n">
        <v>57</v>
      </c>
      <c r="AH129" s="48" t="n">
        <v>30</v>
      </c>
      <c r="AI129" s="48" t="n">
        <v>40</v>
      </c>
      <c r="AJ129" s="48" t="n">
        <v>0</v>
      </c>
      <c r="AK129" s="48" t="n">
        <v>3</v>
      </c>
      <c r="AL129" s="48" t="n">
        <v>11</v>
      </c>
      <c r="AM129" s="48" t="n">
        <v>1</v>
      </c>
      <c r="AN129" s="48" t="n">
        <v>1</v>
      </c>
      <c r="AO129" s="48" t="n">
        <v>3</v>
      </c>
      <c r="AP129" s="48" t="n">
        <v>0</v>
      </c>
      <c r="AQ129" s="48" t="n">
        <v>1</v>
      </c>
      <c r="AR129" s="48" t="n">
        <v>2</v>
      </c>
      <c r="AS129" s="48" t="n">
        <v>0</v>
      </c>
      <c r="AT129" s="48" t="n">
        <v>1</v>
      </c>
      <c r="AU129" s="48" t="n">
        <v>2</v>
      </c>
      <c r="AV129" s="48" t="n">
        <v>0</v>
      </c>
      <c r="AW129" s="48" t="n">
        <v>8</v>
      </c>
      <c r="AX129" s="48" t="n">
        <v>0</v>
      </c>
      <c r="AY129" s="48" t="n">
        <v>0</v>
      </c>
      <c r="AZ129" s="48" t="n">
        <v>0</v>
      </c>
      <c r="BA129" s="48" t="n">
        <v>0</v>
      </c>
      <c r="BB129" s="48" t="n">
        <v>0</v>
      </c>
      <c r="BC129" s="48" t="n">
        <v>0</v>
      </c>
      <c r="BD129" s="48" t="n">
        <v>0</v>
      </c>
      <c r="BE129" s="48" t="n">
        <v>0</v>
      </c>
      <c r="BF129" s="48" t="n">
        <v>0</v>
      </c>
      <c r="BG129" s="49" t="n">
        <v>2.95</v>
      </c>
    </row>
    <row r="130" customFormat="false" ht="15" hidden="false" customHeight="false" outlineLevel="0" collapsed="false">
      <c r="A130" s="43" t="s">
        <v>496</v>
      </c>
      <c r="B130" s="43" t="s">
        <v>497</v>
      </c>
      <c r="C130" s="44" t="str">
        <f aca="false">IF(A130="","",IFERROR(INDEX(Assumptions!$B$41:$B$55,MATCH(TRUE(),INDEX(ISNUMBER(SEARCH(" "&amp;Assumptions!$A$41:$A$55&amp;" "," "&amp;SUBSTITUTE(SUBSTITUTE(SUBSTITUTE(SUBSTITUTE(B130,"-"," "),","," "),"/"," "),"."," ")&amp;" ")),0),0)),"Other"))</f>
        <v>Other</v>
      </c>
      <c r="D130" s="45" t="n">
        <f aca="false">IF(A130="","",BG130*(1-Assumptions!$B$18))</f>
        <v>0.75</v>
      </c>
      <c r="E130" s="46" t="n">
        <f aca="false">IF(A130="","",INDEX(Assumptions!$B$23:$B$26,MOD(VALUE(LEFT(A130,5)),4)+1))</f>
        <v>2</v>
      </c>
      <c r="F130" s="47" t="n">
        <v>2510</v>
      </c>
      <c r="G130" s="48" t="n">
        <v>413</v>
      </c>
      <c r="H130" s="48" t="n">
        <v>366</v>
      </c>
      <c r="I130" s="48" t="n">
        <v>47</v>
      </c>
      <c r="J130" s="48" t="n">
        <v>0</v>
      </c>
      <c r="K130" s="48" t="n">
        <v>140</v>
      </c>
      <c r="L130" s="48" t="n">
        <v>40</v>
      </c>
      <c r="M130" s="48" t="n">
        <v>160</v>
      </c>
      <c r="N130" s="48" t="n">
        <v>158</v>
      </c>
      <c r="O130" s="48" t="n">
        <v>286</v>
      </c>
      <c r="P130" s="48" t="n">
        <v>113</v>
      </c>
      <c r="Q130" s="48" t="n">
        <v>146</v>
      </c>
      <c r="R130" s="48" t="n">
        <v>439</v>
      </c>
      <c r="S130" s="48" t="n">
        <v>306</v>
      </c>
      <c r="T130" s="48" t="n">
        <v>316</v>
      </c>
      <c r="U130" s="48" t="n">
        <v>146</v>
      </c>
      <c r="V130" s="48" t="n">
        <v>347</v>
      </c>
      <c r="W130" s="48" t="n">
        <v>272</v>
      </c>
      <c r="X130" s="48" t="n">
        <v>200</v>
      </c>
      <c r="Y130" s="48" t="n">
        <v>178</v>
      </c>
      <c r="Z130" s="48" t="n">
        <v>139</v>
      </c>
      <c r="AA130" s="48" t="n">
        <v>214</v>
      </c>
      <c r="AB130" s="48" t="n">
        <v>262</v>
      </c>
      <c r="AC130" s="48" t="n">
        <v>136</v>
      </c>
      <c r="AD130" s="48" t="n">
        <v>329</v>
      </c>
      <c r="AE130" s="48" t="n">
        <v>126</v>
      </c>
      <c r="AF130" s="48" t="n">
        <v>114</v>
      </c>
      <c r="AG130" s="48" t="n">
        <v>195</v>
      </c>
      <c r="AH130" s="48" t="n">
        <v>86</v>
      </c>
      <c r="AI130" s="48" t="n">
        <v>189</v>
      </c>
      <c r="AJ130" s="48" t="n">
        <v>104</v>
      </c>
      <c r="AK130" s="48" t="n">
        <v>89</v>
      </c>
      <c r="AL130" s="48" t="n">
        <v>158</v>
      </c>
      <c r="AM130" s="48" t="n">
        <v>177</v>
      </c>
      <c r="AN130" s="48" t="n">
        <v>95</v>
      </c>
      <c r="AO130" s="48" t="n">
        <v>141</v>
      </c>
      <c r="AP130" s="48" t="n">
        <v>119</v>
      </c>
      <c r="AQ130" s="48" t="n">
        <v>112</v>
      </c>
      <c r="AR130" s="48" t="n">
        <v>149</v>
      </c>
      <c r="AS130" s="48" t="n">
        <v>74</v>
      </c>
      <c r="AT130" s="48" t="n">
        <v>287</v>
      </c>
      <c r="AU130" s="48" t="n">
        <v>217</v>
      </c>
      <c r="AV130" s="48" t="n">
        <v>207</v>
      </c>
      <c r="AW130" s="48" t="n">
        <v>214</v>
      </c>
      <c r="AX130" s="48" t="n">
        <v>139</v>
      </c>
      <c r="AY130" s="48" t="n">
        <v>490</v>
      </c>
      <c r="AZ130" s="48" t="n">
        <v>259</v>
      </c>
      <c r="BA130" s="48" t="n">
        <v>137</v>
      </c>
      <c r="BB130" s="48" t="n">
        <v>237</v>
      </c>
      <c r="BC130" s="48" t="n">
        <v>151</v>
      </c>
      <c r="BD130" s="48" t="n">
        <v>769</v>
      </c>
      <c r="BE130" s="48" t="n">
        <v>225</v>
      </c>
      <c r="BF130" s="48" t="n">
        <v>463</v>
      </c>
      <c r="BG130" s="49" t="n">
        <v>1.25</v>
      </c>
    </row>
    <row r="131" customFormat="false" ht="15" hidden="false" customHeight="false" outlineLevel="0" collapsed="false">
      <c r="A131" s="43" t="s">
        <v>498</v>
      </c>
      <c r="B131" s="43" t="s">
        <v>499</v>
      </c>
      <c r="C131" s="44" t="str">
        <f aca="false">IF(A131="","",IFERROR(INDEX(Assumptions!$B$41:$B$55,MATCH(TRUE(),INDEX(ISNUMBER(SEARCH(" "&amp;Assumptions!$A$41:$A$55&amp;" "," "&amp;SUBSTITUTE(SUBSTITUTE(SUBSTITUTE(SUBSTITUTE(B131,"-"," "),","," "),"/"," "),"."," ")&amp;" ")),0),0)),"Other"))</f>
        <v>Other</v>
      </c>
      <c r="D131" s="45" t="n">
        <f aca="false">IF(A131="","",BG131*(1-Assumptions!$B$18))</f>
        <v>2.97</v>
      </c>
      <c r="E131" s="46" t="n">
        <f aca="false">IF(A131="","",INDEX(Assumptions!$B$23:$B$26,MOD(VALUE(LEFT(A131,5)),4)+1))</f>
        <v>4</v>
      </c>
      <c r="F131" s="47" t="n">
        <v>485</v>
      </c>
      <c r="G131" s="48" t="n">
        <v>0</v>
      </c>
      <c r="H131" s="48" t="n">
        <v>0</v>
      </c>
      <c r="I131" s="48" t="n">
        <v>0</v>
      </c>
      <c r="J131" s="48" t="n">
        <v>0</v>
      </c>
      <c r="K131" s="48" t="n">
        <v>0</v>
      </c>
      <c r="L131" s="48" t="n">
        <v>0</v>
      </c>
      <c r="M131" s="48" t="n">
        <v>0</v>
      </c>
      <c r="N131" s="48" t="n">
        <v>0</v>
      </c>
      <c r="O131" s="48" t="n">
        <v>0</v>
      </c>
      <c r="P131" s="48" t="n">
        <v>0</v>
      </c>
      <c r="Q131" s="48" t="n">
        <v>0</v>
      </c>
      <c r="R131" s="48" t="n">
        <v>0</v>
      </c>
      <c r="S131" s="48" t="n">
        <v>0</v>
      </c>
      <c r="T131" s="48" t="n">
        <v>0</v>
      </c>
      <c r="U131" s="48" t="n">
        <v>0</v>
      </c>
      <c r="V131" s="48" t="n">
        <v>0</v>
      </c>
      <c r="W131" s="48" t="n">
        <v>0</v>
      </c>
      <c r="X131" s="48" t="n">
        <v>0</v>
      </c>
      <c r="Y131" s="48" t="n">
        <v>0</v>
      </c>
      <c r="Z131" s="48" t="n">
        <v>0</v>
      </c>
      <c r="AA131" s="48" t="n">
        <v>0</v>
      </c>
      <c r="AB131" s="48" t="n">
        <v>0</v>
      </c>
      <c r="AC131" s="48" t="n">
        <v>0</v>
      </c>
      <c r="AD131" s="48" t="n">
        <v>0</v>
      </c>
      <c r="AE131" s="48" t="n">
        <v>0</v>
      </c>
      <c r="AF131" s="48" t="n">
        <v>0</v>
      </c>
      <c r="AG131" s="48" t="n">
        <v>0</v>
      </c>
      <c r="AH131" s="48" t="n">
        <v>0</v>
      </c>
      <c r="AI131" s="48" t="n">
        <v>0</v>
      </c>
      <c r="AJ131" s="48" t="n">
        <v>0</v>
      </c>
      <c r="AK131" s="48" t="n">
        <v>0</v>
      </c>
      <c r="AL131" s="48" t="n">
        <v>28</v>
      </c>
      <c r="AM131" s="48" t="n">
        <v>22</v>
      </c>
      <c r="AN131" s="48" t="n">
        <v>10</v>
      </c>
      <c r="AO131" s="48" t="n">
        <v>83</v>
      </c>
      <c r="AP131" s="48" t="n">
        <v>45</v>
      </c>
      <c r="AQ131" s="48" t="n">
        <v>88</v>
      </c>
      <c r="AR131" s="48" t="n">
        <v>68</v>
      </c>
      <c r="AS131" s="48" t="n">
        <v>38</v>
      </c>
      <c r="AT131" s="48" t="n">
        <v>200</v>
      </c>
      <c r="AU131" s="48" t="n">
        <v>41</v>
      </c>
      <c r="AV131" s="48" t="n">
        <v>144</v>
      </c>
      <c r="AW131" s="48" t="n">
        <v>102</v>
      </c>
      <c r="AX131" s="48" t="n">
        <v>103</v>
      </c>
      <c r="AY131" s="48" t="n">
        <v>180</v>
      </c>
      <c r="AZ131" s="48" t="n">
        <v>149</v>
      </c>
      <c r="BA131" s="48" t="n">
        <v>81</v>
      </c>
      <c r="BB131" s="48" t="n">
        <v>238</v>
      </c>
      <c r="BC131" s="48" t="n">
        <v>325</v>
      </c>
      <c r="BD131" s="48" t="n">
        <v>434</v>
      </c>
      <c r="BE131" s="48" t="n">
        <v>158</v>
      </c>
      <c r="BF131" s="48" t="n">
        <v>266</v>
      </c>
      <c r="BG131" s="49" t="n">
        <v>4.95</v>
      </c>
    </row>
    <row r="132" customFormat="false" ht="15" hidden="false" customHeight="false" outlineLevel="0" collapsed="false">
      <c r="A132" s="43" t="s">
        <v>500</v>
      </c>
      <c r="B132" s="43" t="s">
        <v>501</v>
      </c>
      <c r="C132" s="44" t="str">
        <f aca="false">IF(A132="","",IFERROR(INDEX(Assumptions!$B$41:$B$55,MATCH(TRUE(),INDEX(ISNUMBER(SEARCH(" "&amp;Assumptions!$A$41:$A$55&amp;" "," "&amp;SUBSTITUTE(SUBSTITUTE(SUBSTITUTE(SUBSTITUTE(B132,"-"," "),","," "),"/"," "),"."," ")&amp;" ")),0),0)),"Other"))</f>
        <v>Other</v>
      </c>
      <c r="D132" s="45" t="n">
        <f aca="false">IF(A132="","",BG132*(1-Assumptions!$B$18))</f>
        <v>4.17</v>
      </c>
      <c r="E132" s="46" t="n">
        <f aca="false">IF(A132="","",INDEX(Assumptions!$B$23:$B$26,MOD(VALUE(LEFT(A132,5)),4)+1))</f>
        <v>8</v>
      </c>
      <c r="F132" s="47" t="n">
        <v>441</v>
      </c>
      <c r="G132" s="48" t="n">
        <v>128</v>
      </c>
      <c r="H132" s="48" t="n">
        <v>69</v>
      </c>
      <c r="I132" s="48" t="n">
        <v>57</v>
      </c>
      <c r="J132" s="48" t="n">
        <v>0</v>
      </c>
      <c r="K132" s="48" t="n">
        <v>29</v>
      </c>
      <c r="L132" s="48" t="n">
        <v>26</v>
      </c>
      <c r="M132" s="48" t="n">
        <v>29</v>
      </c>
      <c r="N132" s="48" t="n">
        <v>46</v>
      </c>
      <c r="O132" s="48" t="n">
        <v>64</v>
      </c>
      <c r="P132" s="48" t="n">
        <v>16</v>
      </c>
      <c r="Q132" s="48" t="n">
        <v>30</v>
      </c>
      <c r="R132" s="48" t="n">
        <v>58</v>
      </c>
      <c r="S132" s="48" t="n">
        <v>29</v>
      </c>
      <c r="T132" s="48" t="n">
        <v>39</v>
      </c>
      <c r="U132" s="48" t="n">
        <v>110</v>
      </c>
      <c r="V132" s="48" t="n">
        <v>15</v>
      </c>
      <c r="W132" s="48" t="n">
        <v>33</v>
      </c>
      <c r="X132" s="48" t="n">
        <v>36</v>
      </c>
      <c r="Y132" s="48" t="n">
        <v>8</v>
      </c>
      <c r="Z132" s="48" t="n">
        <v>18</v>
      </c>
      <c r="AA132" s="48" t="n">
        <v>21</v>
      </c>
      <c r="AB132" s="48" t="n">
        <v>0</v>
      </c>
      <c r="AC132" s="48" t="n">
        <v>0</v>
      </c>
      <c r="AD132" s="48" t="n">
        <v>0</v>
      </c>
      <c r="AE132" s="48" t="n">
        <v>0</v>
      </c>
      <c r="AF132" s="48" t="n">
        <v>0</v>
      </c>
      <c r="AG132" s="48" t="n">
        <v>93</v>
      </c>
      <c r="AH132" s="48" t="n">
        <v>138</v>
      </c>
      <c r="AI132" s="48" t="n">
        <v>32</v>
      </c>
      <c r="AJ132" s="48" t="n">
        <v>15</v>
      </c>
      <c r="AK132" s="48" t="n">
        <v>15</v>
      </c>
      <c r="AL132" s="48" t="n">
        <v>32</v>
      </c>
      <c r="AM132" s="48" t="n">
        <v>32</v>
      </c>
      <c r="AN132" s="48" t="n">
        <v>44</v>
      </c>
      <c r="AO132" s="48" t="n">
        <v>54</v>
      </c>
      <c r="AP132" s="48" t="n">
        <v>40</v>
      </c>
      <c r="AQ132" s="48" t="n">
        <v>62</v>
      </c>
      <c r="AR132" s="48" t="n">
        <v>36</v>
      </c>
      <c r="AS132" s="48" t="n">
        <v>82</v>
      </c>
      <c r="AT132" s="48" t="n">
        <v>29</v>
      </c>
      <c r="AU132" s="48" t="n">
        <v>43</v>
      </c>
      <c r="AV132" s="48" t="n">
        <v>73</v>
      </c>
      <c r="AW132" s="48" t="n">
        <v>26</v>
      </c>
      <c r="AX132" s="48" t="n">
        <v>10</v>
      </c>
      <c r="AY132" s="48" t="n">
        <v>78</v>
      </c>
      <c r="AZ132" s="48" t="n">
        <v>44</v>
      </c>
      <c r="BA132" s="48" t="n">
        <v>41</v>
      </c>
      <c r="BB132" s="48" t="n">
        <v>105</v>
      </c>
      <c r="BC132" s="48" t="n">
        <v>60</v>
      </c>
      <c r="BD132" s="48" t="n">
        <v>45</v>
      </c>
      <c r="BE132" s="48" t="n">
        <v>94</v>
      </c>
      <c r="BF132" s="48" t="n">
        <v>108</v>
      </c>
      <c r="BG132" s="49" t="n">
        <v>6.95</v>
      </c>
    </row>
    <row r="133" customFormat="false" ht="15" hidden="false" customHeight="false" outlineLevel="0" collapsed="false">
      <c r="A133" s="43" t="s">
        <v>502</v>
      </c>
      <c r="B133" s="43" t="s">
        <v>503</v>
      </c>
      <c r="C133" s="44" t="str">
        <f aca="false">IF(A133="","",IFERROR(INDEX(Assumptions!$B$41:$B$55,MATCH(TRUE(),INDEX(ISNUMBER(SEARCH(" "&amp;Assumptions!$A$41:$A$55&amp;" "," "&amp;SUBSTITUTE(SUBSTITUTE(SUBSTITUTE(SUBSTITUTE(B133,"-"," "),","," "),"/"," "),"."," ")&amp;" ")),0),0)),"Other"))</f>
        <v>Other</v>
      </c>
      <c r="D133" s="45" t="n">
        <f aca="false">IF(A133="","",BG133*(1-Assumptions!$B$18))</f>
        <v>1.26</v>
      </c>
      <c r="E133" s="46" t="n">
        <f aca="false">IF(A133="","",INDEX(Assumptions!$B$23:$B$26,MOD(VALUE(LEFT(A133,5)),4)+1))</f>
        <v>2</v>
      </c>
      <c r="F133" s="47" t="n">
        <v>7296</v>
      </c>
      <c r="G133" s="48" t="n">
        <v>171</v>
      </c>
      <c r="H133" s="48" t="n">
        <v>415</v>
      </c>
      <c r="I133" s="48" t="n">
        <v>42</v>
      </c>
      <c r="J133" s="48" t="n">
        <v>0</v>
      </c>
      <c r="K133" s="48" t="n">
        <v>54</v>
      </c>
      <c r="L133" s="48" t="n">
        <v>10</v>
      </c>
      <c r="M133" s="48" t="n">
        <v>88</v>
      </c>
      <c r="N133" s="48" t="n">
        <v>57</v>
      </c>
      <c r="O133" s="48" t="n">
        <v>111</v>
      </c>
      <c r="P133" s="48" t="n">
        <v>41</v>
      </c>
      <c r="Q133" s="48" t="n">
        <v>99</v>
      </c>
      <c r="R133" s="48" t="n">
        <v>255</v>
      </c>
      <c r="S133" s="48" t="n">
        <v>86</v>
      </c>
      <c r="T133" s="48" t="n">
        <v>53</v>
      </c>
      <c r="U133" s="48" t="n">
        <v>158</v>
      </c>
      <c r="V133" s="48" t="n">
        <v>258</v>
      </c>
      <c r="W133" s="48" t="n">
        <v>110</v>
      </c>
      <c r="X133" s="48" t="n">
        <v>42</v>
      </c>
      <c r="Y133" s="48" t="n">
        <v>239</v>
      </c>
      <c r="Z133" s="48" t="n">
        <v>25</v>
      </c>
      <c r="AA133" s="48" t="n">
        <v>86</v>
      </c>
      <c r="AB133" s="48" t="n">
        <v>59</v>
      </c>
      <c r="AC133" s="48" t="n">
        <v>153</v>
      </c>
      <c r="AD133" s="48" t="n">
        <v>283</v>
      </c>
      <c r="AE133" s="48" t="n">
        <v>60</v>
      </c>
      <c r="AF133" s="48" t="n">
        <v>106</v>
      </c>
      <c r="AG133" s="48" t="n">
        <v>71</v>
      </c>
      <c r="AH133" s="48" t="n">
        <v>356</v>
      </c>
      <c r="AI133" s="48" t="n">
        <v>48</v>
      </c>
      <c r="AJ133" s="48" t="n">
        <v>197</v>
      </c>
      <c r="AK133" s="48" t="n">
        <v>202</v>
      </c>
      <c r="AL133" s="48" t="n">
        <v>116</v>
      </c>
      <c r="AM133" s="48" t="n">
        <v>106</v>
      </c>
      <c r="AN133" s="48" t="n">
        <v>167</v>
      </c>
      <c r="AO133" s="48" t="n">
        <v>233</v>
      </c>
      <c r="AP133" s="48" t="n">
        <v>0</v>
      </c>
      <c r="AQ133" s="48" t="n">
        <v>1</v>
      </c>
      <c r="AR133" s="48" t="n">
        <v>0</v>
      </c>
      <c r="AS133" s="48" t="n">
        <v>0</v>
      </c>
      <c r="AT133" s="48" t="n">
        <v>433</v>
      </c>
      <c r="AU133" s="48" t="n">
        <v>112</v>
      </c>
      <c r="AV133" s="48" t="n">
        <v>110</v>
      </c>
      <c r="AW133" s="48" t="n">
        <v>194</v>
      </c>
      <c r="AX133" s="48" t="n">
        <v>481</v>
      </c>
      <c r="AY133" s="48" t="n">
        <v>145</v>
      </c>
      <c r="AZ133" s="48" t="n">
        <v>477</v>
      </c>
      <c r="BA133" s="48" t="n">
        <v>160</v>
      </c>
      <c r="BB133" s="48" t="n">
        <v>186</v>
      </c>
      <c r="BC133" s="48" t="n">
        <v>68</v>
      </c>
      <c r="BD133" s="48" t="n">
        <v>1</v>
      </c>
      <c r="BE133" s="48" t="n">
        <v>27</v>
      </c>
      <c r="BF133" s="48" t="n">
        <v>487</v>
      </c>
      <c r="BG133" s="49" t="n">
        <v>2.1</v>
      </c>
    </row>
    <row r="134" customFormat="false" ht="15" hidden="false" customHeight="false" outlineLevel="0" collapsed="false">
      <c r="A134" s="43" t="s">
        <v>504</v>
      </c>
      <c r="B134" s="43" t="s">
        <v>505</v>
      </c>
      <c r="C134" s="44" t="str">
        <f aca="false">IF(A134="","",IFERROR(INDEX(Assumptions!$B$41:$B$55,MATCH(TRUE(),INDEX(ISNUMBER(SEARCH(" "&amp;Assumptions!$A$41:$A$55&amp;" "," "&amp;SUBSTITUTE(SUBSTITUTE(SUBSTITUTE(SUBSTITUTE(B134,"-"," "),","," "),"/"," "),"."," ")&amp;" ")),0),0)),"Other"))</f>
        <v>Other</v>
      </c>
      <c r="D134" s="45" t="n">
        <f aca="false">IF(A134="","",BG134*(1-Assumptions!$B$18))</f>
        <v>1.95</v>
      </c>
      <c r="E134" s="46" t="n">
        <f aca="false">IF(A134="","",INDEX(Assumptions!$B$23:$B$26,MOD(VALUE(LEFT(A134,5)),4)+1))</f>
        <v>2</v>
      </c>
      <c r="F134" s="47" t="n">
        <v>544</v>
      </c>
      <c r="G134" s="48" t="n">
        <v>127</v>
      </c>
      <c r="H134" s="48" t="n">
        <v>80</v>
      </c>
      <c r="I134" s="48" t="n">
        <v>25</v>
      </c>
      <c r="J134" s="48" t="n">
        <v>0</v>
      </c>
      <c r="K134" s="48" t="n">
        <v>23</v>
      </c>
      <c r="L134" s="48" t="n">
        <v>45</v>
      </c>
      <c r="M134" s="48" t="n">
        <v>314</v>
      </c>
      <c r="N134" s="48" t="n">
        <v>44</v>
      </c>
      <c r="O134" s="48" t="n">
        <v>122</v>
      </c>
      <c r="P134" s="48" t="n">
        <v>36</v>
      </c>
      <c r="Q134" s="48" t="n">
        <v>20</v>
      </c>
      <c r="R134" s="48" t="n">
        <v>49</v>
      </c>
      <c r="S134" s="48" t="n">
        <v>20</v>
      </c>
      <c r="T134" s="48" t="n">
        <v>53</v>
      </c>
      <c r="U134" s="48" t="n">
        <v>135</v>
      </c>
      <c r="V134" s="48" t="n">
        <v>610</v>
      </c>
      <c r="W134" s="48" t="n">
        <v>311</v>
      </c>
      <c r="X134" s="48" t="n">
        <v>40</v>
      </c>
      <c r="Y134" s="48" t="n">
        <v>90</v>
      </c>
      <c r="Z134" s="48" t="n">
        <v>50</v>
      </c>
      <c r="AA134" s="48" t="n">
        <v>140</v>
      </c>
      <c r="AB134" s="48" t="n">
        <v>37</v>
      </c>
      <c r="AC134" s="48" t="n">
        <v>76</v>
      </c>
      <c r="AD134" s="48" t="n">
        <v>61</v>
      </c>
      <c r="AE134" s="48" t="n">
        <v>142</v>
      </c>
      <c r="AF134" s="48" t="n">
        <v>58</v>
      </c>
      <c r="AG134" s="48" t="n">
        <v>14</v>
      </c>
      <c r="AH134" s="48" t="n">
        <v>110</v>
      </c>
      <c r="AI134" s="48" t="n">
        <v>47</v>
      </c>
      <c r="AJ134" s="48" t="n">
        <v>21</v>
      </c>
      <c r="AK134" s="48" t="n">
        <v>134</v>
      </c>
      <c r="AL134" s="48" t="n">
        <v>24</v>
      </c>
      <c r="AM134" s="48" t="n">
        <v>317</v>
      </c>
      <c r="AN134" s="48" t="n">
        <v>15</v>
      </c>
      <c r="AO134" s="48" t="n">
        <v>147</v>
      </c>
      <c r="AP134" s="48" t="n">
        <v>32</v>
      </c>
      <c r="AQ134" s="48" t="n">
        <v>23</v>
      </c>
      <c r="AR134" s="48" t="n">
        <v>30</v>
      </c>
      <c r="AS134" s="48" t="n">
        <v>18</v>
      </c>
      <c r="AT134" s="48" t="n">
        <v>32</v>
      </c>
      <c r="AU134" s="48" t="n">
        <v>55</v>
      </c>
      <c r="AV134" s="48" t="n">
        <v>77</v>
      </c>
      <c r="AW134" s="48" t="n">
        <v>238</v>
      </c>
      <c r="AX134" s="48" t="n">
        <v>45</v>
      </c>
      <c r="AY134" s="48" t="n">
        <v>31</v>
      </c>
      <c r="AZ134" s="48" t="n">
        <v>118</v>
      </c>
      <c r="BA134" s="48" t="n">
        <v>56</v>
      </c>
      <c r="BB134" s="48" t="n">
        <v>66</v>
      </c>
      <c r="BC134" s="48" t="n">
        <v>181</v>
      </c>
      <c r="BD134" s="48" t="n">
        <v>66</v>
      </c>
      <c r="BE134" s="48" t="n">
        <v>37</v>
      </c>
      <c r="BF134" s="48" t="n">
        <v>69</v>
      </c>
      <c r="BG134" s="49" t="n">
        <v>3.25</v>
      </c>
    </row>
    <row r="135" customFormat="false" ht="15" hidden="false" customHeight="false" outlineLevel="0" collapsed="false">
      <c r="A135" s="43" t="s">
        <v>506</v>
      </c>
      <c r="B135" s="43" t="s">
        <v>507</v>
      </c>
      <c r="C135" s="44" t="str">
        <f aca="false">IF(A135="","",IFERROR(INDEX(Assumptions!$B$41:$B$55,MATCH(TRUE(),INDEX(ISNUMBER(SEARCH(" "&amp;Assumptions!$A$41:$A$55&amp;" "," "&amp;SUBSTITUTE(SUBSTITUTE(SUBSTITUTE(SUBSTITUTE(B135,"-"," "),","," "),"/"," "),"."," ")&amp;" ")),0),0)),"Other"))</f>
        <v>Bags</v>
      </c>
      <c r="D135" s="45" t="n">
        <f aca="false">IF(A135="","",BG135*(1-Assumptions!$B$18))</f>
        <v>1.248</v>
      </c>
      <c r="E135" s="46" t="n">
        <f aca="false">IF(A135="","",INDEX(Assumptions!$B$23:$B$26,MOD(VALUE(LEFT(A135,5)),4)+1))</f>
        <v>2</v>
      </c>
      <c r="F135" s="47" t="n">
        <v>811</v>
      </c>
      <c r="G135" s="48" t="n">
        <v>0</v>
      </c>
      <c r="H135" s="48" t="n">
        <v>0</v>
      </c>
      <c r="I135" s="48" t="n">
        <v>0</v>
      </c>
      <c r="J135" s="48" t="n">
        <v>0</v>
      </c>
      <c r="K135" s="48" t="n">
        <v>0</v>
      </c>
      <c r="L135" s="48" t="n">
        <v>0</v>
      </c>
      <c r="M135" s="48" t="n">
        <v>0</v>
      </c>
      <c r="N135" s="48" t="n">
        <v>0</v>
      </c>
      <c r="O135" s="48" t="n">
        <v>0</v>
      </c>
      <c r="P135" s="48" t="n">
        <v>0</v>
      </c>
      <c r="Q135" s="48" t="n">
        <v>0</v>
      </c>
      <c r="R135" s="48" t="n">
        <v>0</v>
      </c>
      <c r="S135" s="48" t="n">
        <v>0</v>
      </c>
      <c r="T135" s="48" t="n">
        <v>0</v>
      </c>
      <c r="U135" s="48" t="n">
        <v>0</v>
      </c>
      <c r="V135" s="48" t="n">
        <v>0</v>
      </c>
      <c r="W135" s="48" t="n">
        <v>0</v>
      </c>
      <c r="X135" s="48" t="n">
        <v>0</v>
      </c>
      <c r="Y135" s="48" t="n">
        <v>0</v>
      </c>
      <c r="Z135" s="48" t="n">
        <v>0</v>
      </c>
      <c r="AA135" s="48" t="n">
        <v>0</v>
      </c>
      <c r="AB135" s="48" t="n">
        <v>56</v>
      </c>
      <c r="AC135" s="48" t="n">
        <v>557</v>
      </c>
      <c r="AD135" s="48" t="n">
        <v>340</v>
      </c>
      <c r="AE135" s="48" t="n">
        <v>344</v>
      </c>
      <c r="AF135" s="48" t="n">
        <v>175</v>
      </c>
      <c r="AG135" s="48" t="n">
        <v>167</v>
      </c>
      <c r="AH135" s="48" t="n">
        <v>166</v>
      </c>
      <c r="AI135" s="48" t="n">
        <v>193</v>
      </c>
      <c r="AJ135" s="48" t="n">
        <v>404</v>
      </c>
      <c r="AK135" s="48" t="n">
        <v>285</v>
      </c>
      <c r="AL135" s="48" t="n">
        <v>168</v>
      </c>
      <c r="AM135" s="48" t="n">
        <v>130</v>
      </c>
      <c r="AN135" s="48" t="n">
        <v>213</v>
      </c>
      <c r="AO135" s="48" t="n">
        <v>436</v>
      </c>
      <c r="AP135" s="48" t="n">
        <v>225</v>
      </c>
      <c r="AQ135" s="48" t="n">
        <v>135</v>
      </c>
      <c r="AR135" s="48" t="n">
        <v>343</v>
      </c>
      <c r="AS135" s="48" t="n">
        <v>280</v>
      </c>
      <c r="AT135" s="48" t="n">
        <v>228</v>
      </c>
      <c r="AU135" s="48" t="n">
        <v>245</v>
      </c>
      <c r="AV135" s="48" t="n">
        <v>233</v>
      </c>
      <c r="AW135" s="48" t="n">
        <v>323</v>
      </c>
      <c r="AX135" s="48" t="n">
        <v>216</v>
      </c>
      <c r="AY135" s="48" t="n">
        <v>163</v>
      </c>
      <c r="AZ135" s="48" t="n">
        <v>99</v>
      </c>
      <c r="BA135" s="48" t="n">
        <v>99</v>
      </c>
      <c r="BB135" s="48" t="n">
        <v>129</v>
      </c>
      <c r="BC135" s="48" t="n">
        <v>131</v>
      </c>
      <c r="BD135" s="48" t="n">
        <v>208</v>
      </c>
      <c r="BE135" s="48" t="n">
        <v>161</v>
      </c>
      <c r="BF135" s="48" t="n">
        <v>173</v>
      </c>
      <c r="BG135" s="49" t="n">
        <v>2.08</v>
      </c>
    </row>
    <row r="136" customFormat="false" ht="15" hidden="false" customHeight="false" outlineLevel="0" collapsed="false">
      <c r="A136" s="43" t="s">
        <v>508</v>
      </c>
      <c r="B136" s="43" t="s">
        <v>509</v>
      </c>
      <c r="C136" s="44" t="str">
        <f aca="false">IF(A136="","",IFERROR(INDEX(Assumptions!$B$41:$B$55,MATCH(TRUE(),INDEX(ISNUMBER(SEARCH(" "&amp;Assumptions!$A$41:$A$55&amp;" "," "&amp;SUBSTITUTE(SUBSTITUTE(SUBSTITUTE(SUBSTITUTE(B136,"-"," "),","," "),"/"," "),"."," ")&amp;" ")),0),0)),"Other"))</f>
        <v>Other</v>
      </c>
      <c r="D136" s="45" t="n">
        <f aca="false">IF(A136="","",BG136*(1-Assumptions!$B$18))</f>
        <v>10.17</v>
      </c>
      <c r="E136" s="46" t="n">
        <f aca="false">IF(A136="","",INDEX(Assumptions!$B$23:$B$26,MOD(VALUE(LEFT(A136,5)),4)+1))</f>
        <v>8</v>
      </c>
      <c r="F136" s="47" t="n">
        <v>665</v>
      </c>
      <c r="G136" s="48" t="n">
        <v>24</v>
      </c>
      <c r="H136" s="48" t="n">
        <v>10</v>
      </c>
      <c r="I136" s="48" t="n">
        <v>8</v>
      </c>
      <c r="J136" s="48" t="n">
        <v>0</v>
      </c>
      <c r="K136" s="48" t="n">
        <v>6</v>
      </c>
      <c r="L136" s="48" t="n">
        <v>9</v>
      </c>
      <c r="M136" s="48" t="n">
        <v>13</v>
      </c>
      <c r="N136" s="48" t="n">
        <v>26</v>
      </c>
      <c r="O136" s="48" t="n">
        <v>30</v>
      </c>
      <c r="P136" s="48" t="n">
        <v>3</v>
      </c>
      <c r="Q136" s="48" t="n">
        <v>0</v>
      </c>
      <c r="R136" s="48" t="n">
        <v>1</v>
      </c>
      <c r="S136" s="48" t="n">
        <v>0</v>
      </c>
      <c r="T136" s="48" t="n">
        <v>0</v>
      </c>
      <c r="U136" s="48" t="n">
        <v>0</v>
      </c>
      <c r="V136" s="48" t="n">
        <v>0</v>
      </c>
      <c r="W136" s="48" t="n">
        <v>0</v>
      </c>
      <c r="X136" s="48" t="n">
        <v>1</v>
      </c>
      <c r="Y136" s="48" t="n">
        <v>0</v>
      </c>
      <c r="Z136" s="48" t="n">
        <v>0</v>
      </c>
      <c r="AA136" s="48" t="n">
        <v>0</v>
      </c>
      <c r="AB136" s="48" t="n">
        <v>17</v>
      </c>
      <c r="AC136" s="48" t="n">
        <v>40</v>
      </c>
      <c r="AD136" s="48" t="n">
        <v>59</v>
      </c>
      <c r="AE136" s="48" t="n">
        <v>31</v>
      </c>
      <c r="AF136" s="48" t="n">
        <v>18</v>
      </c>
      <c r="AG136" s="48" t="n">
        <v>19</v>
      </c>
      <c r="AH136" s="48" t="n">
        <v>28</v>
      </c>
      <c r="AI136" s="48" t="n">
        <v>20</v>
      </c>
      <c r="AJ136" s="48" t="n">
        <v>23</v>
      </c>
      <c r="AK136" s="48" t="n">
        <v>15</v>
      </c>
      <c r="AL136" s="48" t="n">
        <v>14</v>
      </c>
      <c r="AM136" s="48" t="n">
        <v>48</v>
      </c>
      <c r="AN136" s="48" t="n">
        <v>10</v>
      </c>
      <c r="AO136" s="48" t="n">
        <v>16</v>
      </c>
      <c r="AP136" s="48" t="n">
        <v>19</v>
      </c>
      <c r="AQ136" s="48" t="n">
        <v>25</v>
      </c>
      <c r="AR136" s="48" t="n">
        <v>13</v>
      </c>
      <c r="AS136" s="48" t="n">
        <v>9</v>
      </c>
      <c r="AT136" s="48" t="n">
        <v>44</v>
      </c>
      <c r="AU136" s="48" t="n">
        <v>16</v>
      </c>
      <c r="AV136" s="48" t="n">
        <v>74</v>
      </c>
      <c r="AW136" s="48" t="n">
        <v>20</v>
      </c>
      <c r="AX136" s="48" t="n">
        <v>16</v>
      </c>
      <c r="AY136" s="48" t="n">
        <v>14</v>
      </c>
      <c r="AZ136" s="48" t="n">
        <v>17</v>
      </c>
      <c r="BA136" s="48" t="n">
        <v>23</v>
      </c>
      <c r="BB136" s="48" t="n">
        <v>12</v>
      </c>
      <c r="BC136" s="48" t="n">
        <v>28</v>
      </c>
      <c r="BD136" s="48" t="n">
        <v>21</v>
      </c>
      <c r="BE136" s="48" t="n">
        <v>22</v>
      </c>
      <c r="BF136" s="48" t="n">
        <v>25</v>
      </c>
      <c r="BG136" s="49" t="n">
        <v>16.95</v>
      </c>
    </row>
    <row r="137" customFormat="false" ht="15" hidden="false" customHeight="false" outlineLevel="0" collapsed="false">
      <c r="A137" s="43" t="s">
        <v>510</v>
      </c>
      <c r="B137" s="43" t="s">
        <v>511</v>
      </c>
      <c r="C137" s="44" t="str">
        <f aca="false">IF(A137="","",IFERROR(INDEX(Assumptions!$B$41:$B$55,MATCH(TRUE(),INDEX(ISNUMBER(SEARCH(" "&amp;Assumptions!$A$41:$A$55&amp;" "," "&amp;SUBSTITUTE(SUBSTITUTE(SUBSTITUTE(SUBSTITUTE(B137,"-"," "),","," "),"/"," "),"."," ")&amp;" ")),0),0)),"Other"))</f>
        <v>Other</v>
      </c>
      <c r="D137" s="45" t="n">
        <f aca="false">IF(A137="","",BG137*(1-Assumptions!$B$18))</f>
        <v>2.55</v>
      </c>
      <c r="E137" s="46" t="n">
        <f aca="false">IF(A137="","",INDEX(Assumptions!$B$23:$B$26,MOD(VALUE(LEFT(A137,5)),4)+1))</f>
        <v>4</v>
      </c>
      <c r="F137" s="47" t="n">
        <v>655</v>
      </c>
      <c r="G137" s="48" t="n">
        <v>396</v>
      </c>
      <c r="H137" s="48" t="n">
        <v>286</v>
      </c>
      <c r="I137" s="48" t="n">
        <v>313</v>
      </c>
      <c r="J137" s="48" t="n">
        <v>0</v>
      </c>
      <c r="K137" s="48" t="n">
        <v>117</v>
      </c>
      <c r="L137" s="48" t="n">
        <v>27</v>
      </c>
      <c r="M137" s="48" t="n">
        <v>17</v>
      </c>
      <c r="N137" s="48" t="n">
        <v>18</v>
      </c>
      <c r="O137" s="48" t="n">
        <v>8</v>
      </c>
      <c r="P137" s="48" t="n">
        <v>24</v>
      </c>
      <c r="Q137" s="48" t="n">
        <v>37</v>
      </c>
      <c r="R137" s="48" t="n">
        <v>31</v>
      </c>
      <c r="S137" s="48" t="n">
        <v>10</v>
      </c>
      <c r="T137" s="48" t="n">
        <v>10</v>
      </c>
      <c r="U137" s="48" t="n">
        <v>12</v>
      </c>
      <c r="V137" s="48" t="n">
        <v>4</v>
      </c>
      <c r="W137" s="48" t="n">
        <v>6</v>
      </c>
      <c r="X137" s="48" t="n">
        <v>2</v>
      </c>
      <c r="Y137" s="48" t="n">
        <v>4</v>
      </c>
      <c r="Z137" s="48" t="n">
        <v>2</v>
      </c>
      <c r="AA137" s="48" t="n">
        <v>3</v>
      </c>
      <c r="AB137" s="48" t="n">
        <v>4</v>
      </c>
      <c r="AC137" s="48" t="n">
        <v>6</v>
      </c>
      <c r="AD137" s="48" t="n">
        <v>9</v>
      </c>
      <c r="AE137" s="48" t="n">
        <v>4</v>
      </c>
      <c r="AF137" s="48" t="n">
        <v>4</v>
      </c>
      <c r="AG137" s="48" t="n">
        <v>7</v>
      </c>
      <c r="AH137" s="48" t="n">
        <v>10</v>
      </c>
      <c r="AI137" s="48" t="n">
        <v>2</v>
      </c>
      <c r="AJ137" s="48" t="n">
        <v>2</v>
      </c>
      <c r="AK137" s="48" t="n">
        <v>12</v>
      </c>
      <c r="AL137" s="48" t="n">
        <v>2</v>
      </c>
      <c r="AM137" s="48" t="n">
        <v>8</v>
      </c>
      <c r="AN137" s="48" t="n">
        <v>2</v>
      </c>
      <c r="AO137" s="48" t="n">
        <v>0</v>
      </c>
      <c r="AP137" s="48" t="n">
        <v>33</v>
      </c>
      <c r="AQ137" s="48" t="n">
        <v>6</v>
      </c>
      <c r="AR137" s="48" t="n">
        <v>58</v>
      </c>
      <c r="AS137" s="48" t="n">
        <v>20</v>
      </c>
      <c r="AT137" s="48" t="n">
        <v>61</v>
      </c>
      <c r="AU137" s="48" t="n">
        <v>45</v>
      </c>
      <c r="AV137" s="48" t="n">
        <v>70</v>
      </c>
      <c r="AW137" s="48" t="n">
        <v>137</v>
      </c>
      <c r="AX137" s="48" t="n">
        <v>65</v>
      </c>
      <c r="AY137" s="48" t="n">
        <v>90</v>
      </c>
      <c r="AZ137" s="48" t="n">
        <v>33</v>
      </c>
      <c r="BA137" s="48" t="n">
        <v>41</v>
      </c>
      <c r="BB137" s="48" t="n">
        <v>249</v>
      </c>
      <c r="BC137" s="48" t="n">
        <v>170</v>
      </c>
      <c r="BD137" s="48" t="n">
        <v>150</v>
      </c>
      <c r="BE137" s="48" t="n">
        <v>87</v>
      </c>
      <c r="BF137" s="48" t="n">
        <v>123</v>
      </c>
      <c r="BG137" s="49" t="n">
        <v>4.25</v>
      </c>
    </row>
    <row r="138" customFormat="false" ht="15" hidden="false" customHeight="false" outlineLevel="0" collapsed="false">
      <c r="A138" s="43" t="s">
        <v>512</v>
      </c>
      <c r="B138" s="43" t="s">
        <v>513</v>
      </c>
      <c r="C138" s="44" t="str">
        <f aca="false">IF(A138="","",IFERROR(INDEX(Assumptions!$B$41:$B$55,MATCH(TRUE(),INDEX(ISNUMBER(SEARCH(" "&amp;Assumptions!$A$41:$A$55&amp;" "," "&amp;SUBSTITUTE(SUBSTITUTE(SUBSTITUTE(SUBSTITUTE(B138,"-"," "),","," "),"/"," "),"."," ")&amp;" ")),0),0)),"Other"))</f>
        <v>Other</v>
      </c>
      <c r="D138" s="45" t="n">
        <f aca="false">IF(A138="","",BG138*(1-Assumptions!$B$18))</f>
        <v>2.97</v>
      </c>
      <c r="E138" s="46" t="n">
        <f aca="false">IF(A138="","",INDEX(Assumptions!$B$23:$B$26,MOD(VALUE(LEFT(A138,5)),4)+1))</f>
        <v>8</v>
      </c>
      <c r="F138" s="47" t="n">
        <v>168</v>
      </c>
      <c r="G138" s="48" t="n">
        <v>220</v>
      </c>
      <c r="H138" s="48" t="n">
        <v>31</v>
      </c>
      <c r="I138" s="48" t="n">
        <v>8</v>
      </c>
      <c r="J138" s="48" t="n">
        <v>0</v>
      </c>
      <c r="K138" s="48" t="n">
        <v>95</v>
      </c>
      <c r="L138" s="48" t="n">
        <v>41</v>
      </c>
      <c r="M138" s="48" t="n">
        <v>29</v>
      </c>
      <c r="N138" s="48" t="n">
        <v>19</v>
      </c>
      <c r="O138" s="48" t="n">
        <v>36</v>
      </c>
      <c r="P138" s="48" t="n">
        <v>268</v>
      </c>
      <c r="Q138" s="48" t="n">
        <v>23</v>
      </c>
      <c r="R138" s="48" t="n">
        <v>43</v>
      </c>
      <c r="S138" s="48" t="n">
        <v>22</v>
      </c>
      <c r="T138" s="48" t="n">
        <v>8</v>
      </c>
      <c r="U138" s="48" t="n">
        <v>19</v>
      </c>
      <c r="V138" s="48" t="n">
        <v>334</v>
      </c>
      <c r="W138" s="48" t="n">
        <v>11</v>
      </c>
      <c r="X138" s="48" t="n">
        <v>20</v>
      </c>
      <c r="Y138" s="48" t="n">
        <v>22</v>
      </c>
      <c r="Z138" s="48" t="n">
        <v>131</v>
      </c>
      <c r="AA138" s="48" t="n">
        <v>12</v>
      </c>
      <c r="AB138" s="48" t="n">
        <v>5</v>
      </c>
      <c r="AC138" s="48" t="n">
        <v>21</v>
      </c>
      <c r="AD138" s="48" t="n">
        <v>25</v>
      </c>
      <c r="AE138" s="48" t="n">
        <v>9</v>
      </c>
      <c r="AF138" s="48" t="n">
        <v>23</v>
      </c>
      <c r="AG138" s="48" t="n">
        <v>13</v>
      </c>
      <c r="AH138" s="48" t="n">
        <v>257</v>
      </c>
      <c r="AI138" s="48" t="n">
        <v>18</v>
      </c>
      <c r="AJ138" s="48" t="n">
        <v>9</v>
      </c>
      <c r="AK138" s="48" t="n">
        <v>10</v>
      </c>
      <c r="AL138" s="48" t="n">
        <v>6</v>
      </c>
      <c r="AM138" s="48" t="n">
        <v>129</v>
      </c>
      <c r="AN138" s="48" t="n">
        <v>14</v>
      </c>
      <c r="AO138" s="48" t="n">
        <v>13</v>
      </c>
      <c r="AP138" s="48" t="n">
        <v>39</v>
      </c>
      <c r="AQ138" s="48" t="n">
        <v>31</v>
      </c>
      <c r="AR138" s="48" t="n">
        <v>24</v>
      </c>
      <c r="AS138" s="48" t="n">
        <v>36</v>
      </c>
      <c r="AT138" s="48" t="n">
        <v>31</v>
      </c>
      <c r="AU138" s="48" t="n">
        <v>20</v>
      </c>
      <c r="AV138" s="48" t="n">
        <v>453</v>
      </c>
      <c r="AW138" s="48" t="n">
        <v>19</v>
      </c>
      <c r="AX138" s="48" t="n">
        <v>21</v>
      </c>
      <c r="AY138" s="48" t="n">
        <v>24</v>
      </c>
      <c r="AZ138" s="48" t="n">
        <v>26</v>
      </c>
      <c r="BA138" s="48" t="n">
        <v>25</v>
      </c>
      <c r="BB138" s="48" t="n">
        <v>53</v>
      </c>
      <c r="BC138" s="48" t="n">
        <v>37</v>
      </c>
      <c r="BD138" s="48" t="n">
        <v>51</v>
      </c>
      <c r="BE138" s="48" t="n">
        <v>37</v>
      </c>
      <c r="BF138" s="48" t="n">
        <v>42</v>
      </c>
      <c r="BG138" s="49" t="n">
        <v>4.95</v>
      </c>
    </row>
    <row r="139" customFormat="false" ht="15" hidden="false" customHeight="false" outlineLevel="0" collapsed="false">
      <c r="A139" s="43" t="s">
        <v>514</v>
      </c>
      <c r="B139" s="43" t="s">
        <v>515</v>
      </c>
      <c r="C139" s="44" t="str">
        <f aca="false">IF(A139="","",IFERROR(INDEX(Assumptions!$B$41:$B$55,MATCH(TRUE(),INDEX(ISNUMBER(SEARCH(" "&amp;Assumptions!$A$41:$A$55&amp;" "," "&amp;SUBSTITUTE(SUBSTITUTE(SUBSTITUTE(SUBSTITUTE(B139,"-"," "),","," "),"/"," "),"."," ")&amp;" ")),0),0)),"Other"))</f>
        <v>Other</v>
      </c>
      <c r="D139" s="45" t="n">
        <f aca="false">IF(A139="","",BG139*(1-Assumptions!$B$18))</f>
        <v>4.77</v>
      </c>
      <c r="E139" s="46" t="n">
        <f aca="false">IF(A139="","",INDEX(Assumptions!$B$23:$B$26,MOD(VALUE(LEFT(A139,5)),4)+1))</f>
        <v>2</v>
      </c>
      <c r="F139" s="47" t="n">
        <v>527</v>
      </c>
      <c r="G139" s="48" t="n">
        <v>44</v>
      </c>
      <c r="H139" s="48" t="n">
        <v>37</v>
      </c>
      <c r="I139" s="48" t="n">
        <v>11</v>
      </c>
      <c r="J139" s="48" t="n">
        <v>0</v>
      </c>
      <c r="K139" s="48" t="n">
        <v>16</v>
      </c>
      <c r="L139" s="48" t="n">
        <v>20</v>
      </c>
      <c r="M139" s="48" t="n">
        <v>32</v>
      </c>
      <c r="N139" s="48" t="n">
        <v>60</v>
      </c>
      <c r="O139" s="48" t="n">
        <v>60</v>
      </c>
      <c r="P139" s="48" t="n">
        <v>11</v>
      </c>
      <c r="Q139" s="48" t="n">
        <v>5</v>
      </c>
      <c r="R139" s="48" t="n">
        <v>29</v>
      </c>
      <c r="S139" s="48" t="n">
        <v>45</v>
      </c>
      <c r="T139" s="48" t="n">
        <v>47</v>
      </c>
      <c r="U139" s="48" t="n">
        <v>26</v>
      </c>
      <c r="V139" s="48" t="n">
        <v>9</v>
      </c>
      <c r="W139" s="48" t="n">
        <v>44</v>
      </c>
      <c r="X139" s="48" t="n">
        <v>15</v>
      </c>
      <c r="Y139" s="48" t="n">
        <v>54</v>
      </c>
      <c r="Z139" s="48" t="n">
        <v>12</v>
      </c>
      <c r="AA139" s="48" t="n">
        <v>2</v>
      </c>
      <c r="AB139" s="48" t="n">
        <v>71</v>
      </c>
      <c r="AC139" s="48" t="n">
        <v>62</v>
      </c>
      <c r="AD139" s="48" t="n">
        <v>22</v>
      </c>
      <c r="AE139" s="48" t="n">
        <v>10</v>
      </c>
      <c r="AF139" s="48" t="n">
        <v>12</v>
      </c>
      <c r="AG139" s="48" t="n">
        <v>54</v>
      </c>
      <c r="AH139" s="48" t="n">
        <v>18</v>
      </c>
      <c r="AI139" s="48" t="n">
        <v>11</v>
      </c>
      <c r="AJ139" s="48" t="n">
        <v>17</v>
      </c>
      <c r="AK139" s="48" t="n">
        <v>36</v>
      </c>
      <c r="AL139" s="48" t="n">
        <v>18</v>
      </c>
      <c r="AM139" s="48" t="n">
        <v>86</v>
      </c>
      <c r="AN139" s="48" t="n">
        <v>10</v>
      </c>
      <c r="AO139" s="48" t="n">
        <v>13</v>
      </c>
      <c r="AP139" s="48" t="n">
        <v>53</v>
      </c>
      <c r="AQ139" s="48" t="n">
        <v>55</v>
      </c>
      <c r="AR139" s="48" t="n">
        <v>17</v>
      </c>
      <c r="AS139" s="48" t="n">
        <v>20</v>
      </c>
      <c r="AT139" s="48" t="n">
        <v>21</v>
      </c>
      <c r="AU139" s="48" t="n">
        <v>381</v>
      </c>
      <c r="AV139" s="48" t="n">
        <v>11</v>
      </c>
      <c r="AW139" s="48" t="n">
        <v>126</v>
      </c>
      <c r="AX139" s="48" t="n">
        <v>14</v>
      </c>
      <c r="AY139" s="48" t="n">
        <v>39</v>
      </c>
      <c r="AZ139" s="48" t="n">
        <v>10</v>
      </c>
      <c r="BA139" s="48" t="n">
        <v>20</v>
      </c>
      <c r="BB139" s="48" t="n">
        <v>37</v>
      </c>
      <c r="BC139" s="48" t="n">
        <v>13</v>
      </c>
      <c r="BD139" s="48" t="n">
        <v>13</v>
      </c>
      <c r="BE139" s="48" t="n">
        <v>84</v>
      </c>
      <c r="BF139" s="48" t="n">
        <v>24</v>
      </c>
      <c r="BG139" s="49" t="n">
        <v>7.95</v>
      </c>
    </row>
    <row r="140" customFormat="false" ht="15" hidden="false" customHeight="false" outlineLevel="0" collapsed="false">
      <c r="A140" s="43" t="s">
        <v>516</v>
      </c>
      <c r="B140" s="43" t="s">
        <v>517</v>
      </c>
      <c r="C140" s="44" t="str">
        <f aca="false">IF(A140="","",IFERROR(INDEX(Assumptions!$B$41:$B$55,MATCH(TRUE(),INDEX(ISNUMBER(SEARCH(" "&amp;Assumptions!$A$41:$A$55&amp;" "," "&amp;SUBSTITUTE(SUBSTITUTE(SUBSTITUTE(SUBSTITUTE(B140,"-"," "),","," "),"/"," "),"."," ")&amp;" ")),0),0)),"Other"))</f>
        <v>Other</v>
      </c>
      <c r="D140" s="45" t="n">
        <f aca="false">IF(A140="","",BG140*(1-Assumptions!$B$18))</f>
        <v>1.77</v>
      </c>
      <c r="E140" s="46" t="n">
        <f aca="false">IF(A140="","",INDEX(Assumptions!$B$23:$B$26,MOD(VALUE(LEFT(A140,5)),4)+1))</f>
        <v>8</v>
      </c>
      <c r="F140" s="47" t="n">
        <v>855</v>
      </c>
      <c r="G140" s="48" t="n">
        <v>215</v>
      </c>
      <c r="H140" s="48" t="n">
        <v>149</v>
      </c>
      <c r="I140" s="48" t="n">
        <v>39</v>
      </c>
      <c r="J140" s="48" t="n">
        <v>0</v>
      </c>
      <c r="K140" s="48" t="n">
        <v>17</v>
      </c>
      <c r="L140" s="48" t="n">
        <v>88</v>
      </c>
      <c r="M140" s="48" t="n">
        <v>19</v>
      </c>
      <c r="N140" s="48" t="n">
        <v>78</v>
      </c>
      <c r="O140" s="48" t="n">
        <v>55</v>
      </c>
      <c r="P140" s="48" t="n">
        <v>20</v>
      </c>
      <c r="Q140" s="48" t="n">
        <v>76</v>
      </c>
      <c r="R140" s="48" t="n">
        <v>101</v>
      </c>
      <c r="S140" s="48" t="n">
        <v>126</v>
      </c>
      <c r="T140" s="48" t="n">
        <v>59</v>
      </c>
      <c r="U140" s="48" t="n">
        <v>60</v>
      </c>
      <c r="V140" s="48" t="n">
        <v>53</v>
      </c>
      <c r="W140" s="48" t="n">
        <v>183</v>
      </c>
      <c r="X140" s="48" t="n">
        <v>61</v>
      </c>
      <c r="Y140" s="48" t="n">
        <v>117</v>
      </c>
      <c r="Z140" s="48" t="n">
        <v>79</v>
      </c>
      <c r="AA140" s="48" t="n">
        <v>51</v>
      </c>
      <c r="AB140" s="48" t="n">
        <v>149</v>
      </c>
      <c r="AC140" s="48" t="n">
        <v>54</v>
      </c>
      <c r="AD140" s="48" t="n">
        <v>99</v>
      </c>
      <c r="AE140" s="48" t="n">
        <v>53</v>
      </c>
      <c r="AF140" s="48" t="n">
        <v>31</v>
      </c>
      <c r="AG140" s="48" t="n">
        <v>124</v>
      </c>
      <c r="AH140" s="48" t="n">
        <v>115</v>
      </c>
      <c r="AI140" s="48" t="n">
        <v>72</v>
      </c>
      <c r="AJ140" s="48" t="n">
        <v>50</v>
      </c>
      <c r="AK140" s="48" t="n">
        <v>74</v>
      </c>
      <c r="AL140" s="48" t="n">
        <v>49</v>
      </c>
      <c r="AM140" s="48" t="n">
        <v>92</v>
      </c>
      <c r="AN140" s="48" t="n">
        <v>65</v>
      </c>
      <c r="AO140" s="48" t="n">
        <v>46</v>
      </c>
      <c r="AP140" s="48" t="n">
        <v>78</v>
      </c>
      <c r="AQ140" s="48" t="n">
        <v>101</v>
      </c>
      <c r="AR140" s="48" t="n">
        <v>65</v>
      </c>
      <c r="AS140" s="48" t="n">
        <v>86</v>
      </c>
      <c r="AT140" s="48" t="n">
        <v>137</v>
      </c>
      <c r="AU140" s="48" t="n">
        <v>55</v>
      </c>
      <c r="AV140" s="48" t="n">
        <v>133</v>
      </c>
      <c r="AW140" s="48" t="n">
        <v>65</v>
      </c>
      <c r="AX140" s="48" t="n">
        <v>66</v>
      </c>
      <c r="AY140" s="48" t="n">
        <v>82</v>
      </c>
      <c r="AZ140" s="48" t="n">
        <v>75</v>
      </c>
      <c r="BA140" s="48" t="n">
        <v>75</v>
      </c>
      <c r="BB140" s="48" t="n">
        <v>132</v>
      </c>
      <c r="BC140" s="48" t="n">
        <v>102</v>
      </c>
      <c r="BD140" s="48" t="n">
        <v>223</v>
      </c>
      <c r="BE140" s="48" t="n">
        <v>153</v>
      </c>
      <c r="BF140" s="48" t="n">
        <v>101</v>
      </c>
      <c r="BG140" s="49" t="n">
        <v>2.95</v>
      </c>
    </row>
    <row r="141" customFormat="false" ht="15" hidden="false" customHeight="false" outlineLevel="0" collapsed="false">
      <c r="A141" s="43" t="s">
        <v>518</v>
      </c>
      <c r="B141" s="43" t="s">
        <v>519</v>
      </c>
      <c r="C141" s="44" t="str">
        <f aca="false">IF(A141="","",IFERROR(INDEX(Assumptions!$B$41:$B$55,MATCH(TRUE(),INDEX(ISNUMBER(SEARCH(" "&amp;Assumptions!$A$41:$A$55&amp;" "," "&amp;SUBSTITUTE(SUBSTITUTE(SUBSTITUTE(SUBSTITUTE(B141,"-"," "),","," "),"/"," "),"."," ")&amp;" ")),0),0)),"Other"))</f>
        <v>Other</v>
      </c>
      <c r="D141" s="45" t="n">
        <f aca="false">IF(A141="","",BG141*(1-Assumptions!$B$18))</f>
        <v>5.1</v>
      </c>
      <c r="E141" s="46" t="n">
        <f aca="false">IF(A141="","",INDEX(Assumptions!$B$23:$B$26,MOD(VALUE(LEFT(A141,5)),4)+1))</f>
        <v>8</v>
      </c>
      <c r="F141" s="47" t="n">
        <v>921</v>
      </c>
      <c r="G141" s="48" t="n">
        <v>29</v>
      </c>
      <c r="H141" s="48" t="n">
        <v>21</v>
      </c>
      <c r="I141" s="48" t="n">
        <v>7</v>
      </c>
      <c r="J141" s="48" t="n">
        <v>0</v>
      </c>
      <c r="K141" s="48" t="n">
        <v>11</v>
      </c>
      <c r="L141" s="48" t="n">
        <v>13</v>
      </c>
      <c r="M141" s="48" t="n">
        <v>23</v>
      </c>
      <c r="N141" s="48" t="n">
        <v>32</v>
      </c>
      <c r="O141" s="48" t="n">
        <v>115</v>
      </c>
      <c r="P141" s="48" t="n">
        <v>8</v>
      </c>
      <c r="Q141" s="48" t="n">
        <v>26</v>
      </c>
      <c r="R141" s="48" t="n">
        <v>28</v>
      </c>
      <c r="S141" s="48" t="n">
        <v>16</v>
      </c>
      <c r="T141" s="48" t="n">
        <v>37</v>
      </c>
      <c r="U141" s="48" t="n">
        <v>69</v>
      </c>
      <c r="V141" s="48" t="n">
        <v>36</v>
      </c>
      <c r="W141" s="48" t="n">
        <v>10</v>
      </c>
      <c r="X141" s="48" t="n">
        <v>2</v>
      </c>
      <c r="Y141" s="48" t="n">
        <v>32</v>
      </c>
      <c r="Z141" s="48" t="n">
        <v>18</v>
      </c>
      <c r="AA141" s="48" t="n">
        <v>15</v>
      </c>
      <c r="AB141" s="48" t="n">
        <v>19</v>
      </c>
      <c r="AC141" s="48" t="n">
        <v>39</v>
      </c>
      <c r="AD141" s="48" t="n">
        <v>98</v>
      </c>
      <c r="AE141" s="48" t="n">
        <v>17</v>
      </c>
      <c r="AF141" s="48" t="n">
        <v>18</v>
      </c>
      <c r="AG141" s="48" t="n">
        <v>35</v>
      </c>
      <c r="AH141" s="48" t="n">
        <v>320</v>
      </c>
      <c r="AI141" s="48" t="n">
        <v>20</v>
      </c>
      <c r="AJ141" s="48" t="n">
        <v>12</v>
      </c>
      <c r="AK141" s="48" t="n">
        <v>17</v>
      </c>
      <c r="AL141" s="48" t="n">
        <v>30</v>
      </c>
      <c r="AM141" s="48" t="n">
        <v>124</v>
      </c>
      <c r="AN141" s="48" t="n">
        <v>215</v>
      </c>
      <c r="AO141" s="48" t="n">
        <v>58</v>
      </c>
      <c r="AP141" s="48" t="n">
        <v>8</v>
      </c>
      <c r="AQ141" s="48" t="n">
        <v>26</v>
      </c>
      <c r="AR141" s="48" t="n">
        <v>13</v>
      </c>
      <c r="AS141" s="48" t="n">
        <v>1</v>
      </c>
      <c r="AT141" s="48" t="n">
        <v>22</v>
      </c>
      <c r="AU141" s="48" t="n">
        <v>1</v>
      </c>
      <c r="AV141" s="48" t="n">
        <v>4</v>
      </c>
      <c r="AW141" s="48" t="n">
        <v>2</v>
      </c>
      <c r="AX141" s="48" t="n">
        <v>1</v>
      </c>
      <c r="AY141" s="48" t="n">
        <v>2</v>
      </c>
      <c r="AZ141" s="48" t="n">
        <v>0</v>
      </c>
      <c r="BA141" s="48" t="n">
        <v>4</v>
      </c>
      <c r="BB141" s="48" t="n">
        <v>18</v>
      </c>
      <c r="BC141" s="48" t="n">
        <v>36</v>
      </c>
      <c r="BD141" s="48" t="n">
        <v>17</v>
      </c>
      <c r="BE141" s="48" t="n">
        <v>27</v>
      </c>
      <c r="BF141" s="48" t="n">
        <v>22</v>
      </c>
      <c r="BG141" s="49" t="n">
        <v>8.5</v>
      </c>
    </row>
    <row r="142" customFormat="false" ht="15" hidden="false" customHeight="false" outlineLevel="0" collapsed="false">
      <c r="A142" s="43" t="s">
        <v>520</v>
      </c>
      <c r="B142" s="43" t="s">
        <v>521</v>
      </c>
      <c r="C142" s="44" t="str">
        <f aca="false">IF(A142="","",IFERROR(INDEX(Assumptions!$B$41:$B$55,MATCH(TRUE(),INDEX(ISNUMBER(SEARCH(" "&amp;Assumptions!$A$41:$A$55&amp;" "," "&amp;SUBSTITUTE(SUBSTITUTE(SUBSTITUTE(SUBSTITUTE(B142,"-"," "),","," "),"/"," "),"."," ")&amp;" ")),0),0)),"Other"))</f>
        <v>Other</v>
      </c>
      <c r="D142" s="45" t="n">
        <f aca="false">IF(A142="","",BG142*(1-Assumptions!$B$18))</f>
        <v>5.1</v>
      </c>
      <c r="E142" s="46" t="n">
        <f aca="false">IF(A142="","",INDEX(Assumptions!$B$23:$B$26,MOD(VALUE(LEFT(A142,5)),4)+1))</f>
        <v>4</v>
      </c>
      <c r="F142" s="47" t="n">
        <v>1549</v>
      </c>
      <c r="G142" s="48" t="n">
        <v>86</v>
      </c>
      <c r="H142" s="48" t="n">
        <v>62</v>
      </c>
      <c r="I142" s="48" t="n">
        <v>10</v>
      </c>
      <c r="J142" s="48" t="n">
        <v>0</v>
      </c>
      <c r="K142" s="48" t="n">
        <v>33</v>
      </c>
      <c r="L142" s="48" t="n">
        <v>18</v>
      </c>
      <c r="M142" s="48" t="n">
        <v>33</v>
      </c>
      <c r="N142" s="48" t="n">
        <v>15</v>
      </c>
      <c r="O142" s="48" t="n">
        <v>31</v>
      </c>
      <c r="P142" s="48" t="n">
        <v>26</v>
      </c>
      <c r="Q142" s="48" t="n">
        <v>31</v>
      </c>
      <c r="R142" s="48" t="n">
        <v>47</v>
      </c>
      <c r="S142" s="48" t="n">
        <v>35</v>
      </c>
      <c r="T142" s="48" t="n">
        <v>21</v>
      </c>
      <c r="U142" s="48" t="n">
        <v>67</v>
      </c>
      <c r="V142" s="48" t="n">
        <v>2</v>
      </c>
      <c r="W142" s="48" t="n">
        <v>6</v>
      </c>
      <c r="X142" s="48" t="n">
        <v>0</v>
      </c>
      <c r="Y142" s="48" t="n">
        <v>1</v>
      </c>
      <c r="Z142" s="48" t="n">
        <v>0</v>
      </c>
      <c r="AA142" s="48" t="n">
        <v>0</v>
      </c>
      <c r="AB142" s="48" t="n">
        <v>0</v>
      </c>
      <c r="AC142" s="48" t="n">
        <v>0</v>
      </c>
      <c r="AD142" s="48" t="n">
        <v>49</v>
      </c>
      <c r="AE142" s="48" t="n">
        <v>30</v>
      </c>
      <c r="AF142" s="48" t="n">
        <v>41</v>
      </c>
      <c r="AG142" s="48" t="n">
        <v>30</v>
      </c>
      <c r="AH142" s="48" t="n">
        <v>36</v>
      </c>
      <c r="AI142" s="48" t="n">
        <v>11</v>
      </c>
      <c r="AJ142" s="48" t="n">
        <v>92</v>
      </c>
      <c r="AK142" s="48" t="n">
        <v>18</v>
      </c>
      <c r="AL142" s="48" t="n">
        <v>12</v>
      </c>
      <c r="AM142" s="48" t="n">
        <v>45</v>
      </c>
      <c r="AN142" s="48" t="n">
        <v>18</v>
      </c>
      <c r="AO142" s="48" t="n">
        <v>44</v>
      </c>
      <c r="AP142" s="48" t="n">
        <v>36</v>
      </c>
      <c r="AQ142" s="48" t="n">
        <v>22</v>
      </c>
      <c r="AR142" s="48" t="n">
        <v>23</v>
      </c>
      <c r="AS142" s="48" t="n">
        <v>39</v>
      </c>
      <c r="AT142" s="48" t="n">
        <v>72</v>
      </c>
      <c r="AU142" s="48" t="n">
        <v>20</v>
      </c>
      <c r="AV142" s="48" t="n">
        <v>80</v>
      </c>
      <c r="AW142" s="48" t="n">
        <v>9</v>
      </c>
      <c r="AX142" s="48" t="n">
        <v>15</v>
      </c>
      <c r="AY142" s="48" t="n">
        <v>26</v>
      </c>
      <c r="AZ142" s="48" t="n">
        <v>62</v>
      </c>
      <c r="BA142" s="48" t="n">
        <v>31</v>
      </c>
      <c r="BB142" s="48" t="n">
        <v>24</v>
      </c>
      <c r="BC142" s="48" t="n">
        <v>16</v>
      </c>
      <c r="BD142" s="48" t="n">
        <v>61</v>
      </c>
      <c r="BE142" s="48" t="n">
        <v>28</v>
      </c>
      <c r="BF142" s="48" t="n">
        <v>35</v>
      </c>
      <c r="BG142" s="49" t="n">
        <v>8.5</v>
      </c>
    </row>
    <row r="143" customFormat="false" ht="15" hidden="false" customHeight="false" outlineLevel="0" collapsed="false">
      <c r="A143" s="43" t="s">
        <v>522</v>
      </c>
      <c r="B143" s="43" t="s">
        <v>523</v>
      </c>
      <c r="C143" s="44" t="str">
        <f aca="false">IF(A143="","",IFERROR(INDEX(Assumptions!$B$41:$B$55,MATCH(TRUE(),INDEX(ISNUMBER(SEARCH(" "&amp;Assumptions!$A$41:$A$55&amp;" "," "&amp;SUBSTITUTE(SUBSTITUTE(SUBSTITUTE(SUBSTITUTE(B143,"-"," "),","," "),"/"," "),"."," ")&amp;" ")),0),0)),"Other"))</f>
        <v>Other</v>
      </c>
      <c r="D143" s="45" t="n">
        <f aca="false">IF(A143="","",BG143*(1-Assumptions!$B$18))</f>
        <v>7.17</v>
      </c>
      <c r="E143" s="46" t="n">
        <f aca="false">IF(A143="","",INDEX(Assumptions!$B$23:$B$26,MOD(VALUE(LEFT(A143,5)),4)+1))</f>
        <v>6</v>
      </c>
      <c r="F143" s="47" t="n">
        <v>224</v>
      </c>
      <c r="G143" s="48" t="n">
        <v>300</v>
      </c>
      <c r="H143" s="48" t="n">
        <v>18</v>
      </c>
      <c r="I143" s="48" t="n">
        <v>7</v>
      </c>
      <c r="J143" s="48" t="n">
        <v>0</v>
      </c>
      <c r="K143" s="48" t="n">
        <v>2</v>
      </c>
      <c r="L143" s="48" t="n">
        <v>10</v>
      </c>
      <c r="M143" s="48" t="n">
        <v>6</v>
      </c>
      <c r="N143" s="48" t="n">
        <v>36</v>
      </c>
      <c r="O143" s="48" t="n">
        <v>14</v>
      </c>
      <c r="P143" s="48" t="n">
        <v>4</v>
      </c>
      <c r="Q143" s="48" t="n">
        <v>2</v>
      </c>
      <c r="R143" s="48" t="n">
        <v>11</v>
      </c>
      <c r="S143" s="48" t="n">
        <v>2</v>
      </c>
      <c r="T143" s="48" t="n">
        <v>6</v>
      </c>
      <c r="U143" s="48" t="n">
        <v>34</v>
      </c>
      <c r="V143" s="48" t="n">
        <v>31</v>
      </c>
      <c r="W143" s="48" t="n">
        <v>33</v>
      </c>
      <c r="X143" s="48" t="n">
        <v>8</v>
      </c>
      <c r="Y143" s="48" t="n">
        <v>31</v>
      </c>
      <c r="Z143" s="48" t="n">
        <v>7</v>
      </c>
      <c r="AA143" s="48" t="n">
        <v>4</v>
      </c>
      <c r="AB143" s="48" t="n">
        <v>14</v>
      </c>
      <c r="AC143" s="48" t="n">
        <v>14</v>
      </c>
      <c r="AD143" s="48" t="n">
        <v>13</v>
      </c>
      <c r="AE143" s="48" t="n">
        <v>20</v>
      </c>
      <c r="AF143" s="48" t="n">
        <v>16</v>
      </c>
      <c r="AG143" s="48" t="n">
        <v>9</v>
      </c>
      <c r="AH143" s="48" t="n">
        <v>26</v>
      </c>
      <c r="AI143" s="48" t="n">
        <v>11</v>
      </c>
      <c r="AJ143" s="48" t="n">
        <v>4</v>
      </c>
      <c r="AK143" s="48" t="n">
        <v>20</v>
      </c>
      <c r="AL143" s="48" t="n">
        <v>5</v>
      </c>
      <c r="AM143" s="48" t="n">
        <v>13</v>
      </c>
      <c r="AN143" s="48" t="n">
        <v>42</v>
      </c>
      <c r="AO143" s="48" t="n">
        <v>6</v>
      </c>
      <c r="AP143" s="48" t="n">
        <v>3</v>
      </c>
      <c r="AQ143" s="48" t="n">
        <v>6</v>
      </c>
      <c r="AR143" s="48" t="n">
        <v>23</v>
      </c>
      <c r="AS143" s="48" t="n">
        <v>15</v>
      </c>
      <c r="AT143" s="48" t="n">
        <v>14</v>
      </c>
      <c r="AU143" s="48" t="n">
        <v>52</v>
      </c>
      <c r="AV143" s="48" t="n">
        <v>30</v>
      </c>
      <c r="AW143" s="48" t="n">
        <v>55</v>
      </c>
      <c r="AX143" s="48" t="n">
        <v>62</v>
      </c>
      <c r="AY143" s="48" t="n">
        <v>8</v>
      </c>
      <c r="AZ143" s="48" t="n">
        <v>11</v>
      </c>
      <c r="BA143" s="48" t="n">
        <v>28</v>
      </c>
      <c r="BB143" s="48" t="n">
        <v>13</v>
      </c>
      <c r="BC143" s="48" t="n">
        <v>122</v>
      </c>
      <c r="BD143" s="48" t="n">
        <v>20</v>
      </c>
      <c r="BE143" s="48" t="n">
        <v>37</v>
      </c>
      <c r="BF143" s="48" t="n">
        <v>15</v>
      </c>
      <c r="BG143" s="49" t="n">
        <v>11.95</v>
      </c>
    </row>
    <row r="144" customFormat="false" ht="15" hidden="false" customHeight="false" outlineLevel="0" collapsed="false">
      <c r="A144" s="43" t="s">
        <v>524</v>
      </c>
      <c r="B144" s="43" t="s">
        <v>525</v>
      </c>
      <c r="C144" s="44" t="str">
        <f aca="false">IF(A144="","",IFERROR(INDEX(Assumptions!$B$41:$B$55,MATCH(TRUE(),INDEX(ISNUMBER(SEARCH(" "&amp;Assumptions!$A$41:$A$55&amp;" "," "&amp;SUBSTITUTE(SUBSTITUTE(SUBSTITUTE(SUBSTITUTE(B144,"-"," "),","," "),"/"," "),"."," ")&amp;" ")),0),0)),"Other"))</f>
        <v>Bags</v>
      </c>
      <c r="D144" s="45" t="n">
        <f aca="false">IF(A144="","",BG144*(1-Assumptions!$B$18))</f>
        <v>1.248</v>
      </c>
      <c r="E144" s="46" t="n">
        <f aca="false">IF(A144="","",INDEX(Assumptions!$B$23:$B$26,MOD(VALUE(LEFT(A144,5)),4)+1))</f>
        <v>6</v>
      </c>
      <c r="F144" s="47" t="n">
        <v>1881</v>
      </c>
      <c r="G144" s="48" t="n">
        <v>125</v>
      </c>
      <c r="H144" s="48" t="n">
        <v>80</v>
      </c>
      <c r="I144" s="48" t="n">
        <v>124</v>
      </c>
      <c r="J144" s="48" t="n">
        <v>0</v>
      </c>
      <c r="K144" s="48" t="n">
        <v>45</v>
      </c>
      <c r="L144" s="48" t="n">
        <v>108</v>
      </c>
      <c r="M144" s="48" t="n">
        <v>78</v>
      </c>
      <c r="N144" s="48" t="n">
        <v>94</v>
      </c>
      <c r="O144" s="48" t="n">
        <v>184</v>
      </c>
      <c r="P144" s="48" t="n">
        <v>26</v>
      </c>
      <c r="Q144" s="48" t="n">
        <v>148</v>
      </c>
      <c r="R144" s="48" t="n">
        <v>65</v>
      </c>
      <c r="S144" s="48" t="n">
        <v>35</v>
      </c>
      <c r="T144" s="48" t="n">
        <v>59</v>
      </c>
      <c r="U144" s="48" t="n">
        <v>60</v>
      </c>
      <c r="V144" s="48" t="n">
        <v>147</v>
      </c>
      <c r="W144" s="48" t="n">
        <v>320</v>
      </c>
      <c r="X144" s="48" t="n">
        <v>30</v>
      </c>
      <c r="Y144" s="48" t="n">
        <v>48</v>
      </c>
      <c r="Z144" s="48" t="n">
        <v>4</v>
      </c>
      <c r="AA144" s="48" t="n">
        <v>58</v>
      </c>
      <c r="AB144" s="48" t="n">
        <v>108</v>
      </c>
      <c r="AC144" s="48" t="n">
        <v>58</v>
      </c>
      <c r="AD144" s="48" t="n">
        <v>68</v>
      </c>
      <c r="AE144" s="48" t="n">
        <v>164</v>
      </c>
      <c r="AF144" s="48" t="n">
        <v>192</v>
      </c>
      <c r="AG144" s="48" t="n">
        <v>100</v>
      </c>
      <c r="AH144" s="48" t="n">
        <v>36</v>
      </c>
      <c r="AI144" s="48" t="n">
        <v>135</v>
      </c>
      <c r="AJ144" s="48" t="n">
        <v>281</v>
      </c>
      <c r="AK144" s="48" t="n">
        <v>178</v>
      </c>
      <c r="AL144" s="48" t="n">
        <v>34</v>
      </c>
      <c r="AM144" s="48" t="n">
        <v>48</v>
      </c>
      <c r="AN144" s="48" t="n">
        <v>166</v>
      </c>
      <c r="AO144" s="48" t="n">
        <v>89</v>
      </c>
      <c r="AP144" s="48" t="n">
        <v>153</v>
      </c>
      <c r="AQ144" s="48" t="n">
        <v>61</v>
      </c>
      <c r="AR144" s="48" t="n">
        <v>94</v>
      </c>
      <c r="AS144" s="48" t="n">
        <v>192</v>
      </c>
      <c r="AT144" s="48" t="n">
        <v>302</v>
      </c>
      <c r="AU144" s="48" t="n">
        <v>263</v>
      </c>
      <c r="AV144" s="48" t="n">
        <v>330</v>
      </c>
      <c r="AW144" s="48" t="n">
        <v>204</v>
      </c>
      <c r="AX144" s="48" t="n">
        <v>62</v>
      </c>
      <c r="AY144" s="48" t="n">
        <v>42</v>
      </c>
      <c r="AZ144" s="48" t="n">
        <v>76</v>
      </c>
      <c r="BA144" s="48" t="n">
        <v>92</v>
      </c>
      <c r="BB144" s="48" t="n">
        <v>170</v>
      </c>
      <c r="BC144" s="48" t="n">
        <v>206</v>
      </c>
      <c r="BD144" s="48" t="n">
        <v>101</v>
      </c>
      <c r="BE144" s="48" t="n">
        <v>91</v>
      </c>
      <c r="BF144" s="48" t="n">
        <v>179</v>
      </c>
      <c r="BG144" s="49" t="n">
        <v>2.08</v>
      </c>
    </row>
    <row r="145" customFormat="false" ht="15" hidden="false" customHeight="false" outlineLevel="0" collapsed="false">
      <c r="A145" s="43" t="s">
        <v>526</v>
      </c>
      <c r="B145" s="43" t="s">
        <v>527</v>
      </c>
      <c r="C145" s="44" t="str">
        <f aca="false">IF(A145="","",IFERROR(INDEX(Assumptions!$B$41:$B$55,MATCH(TRUE(),INDEX(ISNUMBER(SEARCH(" "&amp;Assumptions!$A$41:$A$55&amp;" "," "&amp;SUBSTITUTE(SUBSTITUTE(SUBSTITUTE(SUBSTITUTE(B145,"-"," "),","," "),"/"," "),"."," ")&amp;" ")),0),0)),"Other"))</f>
        <v>Other</v>
      </c>
      <c r="D145" s="45" t="n">
        <f aca="false">IF(A145="","",BG145*(1-Assumptions!$B$18))</f>
        <v>0.75</v>
      </c>
      <c r="E145" s="46" t="n">
        <f aca="false">IF(A145="","",INDEX(Assumptions!$B$23:$B$26,MOD(VALUE(LEFT(A145,5)),4)+1))</f>
        <v>8</v>
      </c>
      <c r="F145" s="47" t="n">
        <v>5488</v>
      </c>
      <c r="G145" s="48" t="n">
        <v>93</v>
      </c>
      <c r="H145" s="48" t="n">
        <v>44</v>
      </c>
      <c r="I145" s="48" t="n">
        <v>12</v>
      </c>
      <c r="J145" s="48" t="n">
        <v>0</v>
      </c>
      <c r="K145" s="48" t="n">
        <v>31</v>
      </c>
      <c r="L145" s="48" t="n">
        <v>94</v>
      </c>
      <c r="M145" s="48" t="n">
        <v>315</v>
      </c>
      <c r="N145" s="48" t="n">
        <v>95</v>
      </c>
      <c r="O145" s="48" t="n">
        <v>108</v>
      </c>
      <c r="P145" s="48" t="n">
        <v>28</v>
      </c>
      <c r="Q145" s="48" t="n">
        <v>21</v>
      </c>
      <c r="R145" s="48" t="n">
        <v>89</v>
      </c>
      <c r="S145" s="48" t="n">
        <v>106</v>
      </c>
      <c r="T145" s="48" t="n">
        <v>71</v>
      </c>
      <c r="U145" s="48" t="n">
        <v>51</v>
      </c>
      <c r="V145" s="48" t="n">
        <v>50</v>
      </c>
      <c r="W145" s="48" t="n">
        <v>185</v>
      </c>
      <c r="X145" s="48" t="n">
        <v>61</v>
      </c>
      <c r="Y145" s="48" t="n">
        <v>85</v>
      </c>
      <c r="Z145" s="48" t="n">
        <v>39</v>
      </c>
      <c r="AA145" s="48" t="n">
        <v>78</v>
      </c>
      <c r="AB145" s="48" t="n">
        <v>55</v>
      </c>
      <c r="AC145" s="48" t="n">
        <v>60</v>
      </c>
      <c r="AD145" s="48" t="n">
        <v>93</v>
      </c>
      <c r="AE145" s="48" t="n">
        <v>53</v>
      </c>
      <c r="AF145" s="48" t="n">
        <v>25</v>
      </c>
      <c r="AG145" s="48" t="n">
        <v>93</v>
      </c>
      <c r="AH145" s="48" t="n">
        <v>35</v>
      </c>
      <c r="AI145" s="48" t="n">
        <v>25</v>
      </c>
      <c r="AJ145" s="48" t="n">
        <v>33</v>
      </c>
      <c r="AK145" s="48" t="n">
        <v>51</v>
      </c>
      <c r="AL145" s="48" t="n">
        <v>42</v>
      </c>
      <c r="AM145" s="48" t="n">
        <v>49</v>
      </c>
      <c r="AN145" s="48" t="n">
        <v>74</v>
      </c>
      <c r="AO145" s="48" t="n">
        <v>95</v>
      </c>
      <c r="AP145" s="48" t="n">
        <v>345</v>
      </c>
      <c r="AQ145" s="48" t="n">
        <v>636</v>
      </c>
      <c r="AR145" s="48" t="n">
        <v>61</v>
      </c>
      <c r="AS145" s="48" t="n">
        <v>41</v>
      </c>
      <c r="AT145" s="48" t="n">
        <v>143</v>
      </c>
      <c r="AU145" s="48" t="n">
        <v>87</v>
      </c>
      <c r="AV145" s="48" t="n">
        <v>100</v>
      </c>
      <c r="AW145" s="48" t="n">
        <v>280</v>
      </c>
      <c r="AX145" s="48" t="n">
        <v>3013</v>
      </c>
      <c r="AY145" s="48" t="n">
        <v>1515</v>
      </c>
      <c r="AZ145" s="48" t="n">
        <v>246</v>
      </c>
      <c r="BA145" s="48" t="n">
        <v>90</v>
      </c>
      <c r="BB145" s="48" t="n">
        <v>103</v>
      </c>
      <c r="BC145" s="48" t="n">
        <v>453</v>
      </c>
      <c r="BD145" s="48" t="n">
        <v>667</v>
      </c>
      <c r="BE145" s="48" t="n">
        <v>94</v>
      </c>
      <c r="BF145" s="48" t="n">
        <v>256</v>
      </c>
      <c r="BG145" s="49" t="n">
        <v>1.25</v>
      </c>
    </row>
    <row r="146" customFormat="false" ht="15" hidden="false" customHeight="false" outlineLevel="0" collapsed="false">
      <c r="A146" s="43" t="s">
        <v>528</v>
      </c>
      <c r="B146" s="43" t="s">
        <v>529</v>
      </c>
      <c r="C146" s="44" t="str">
        <f aca="false">IF(A146="","",IFERROR(INDEX(Assumptions!$B$41:$B$55,MATCH(TRUE(),INDEX(ISNUMBER(SEARCH(" "&amp;Assumptions!$A$41:$A$55&amp;" "," "&amp;SUBSTITUTE(SUBSTITUTE(SUBSTITUTE(SUBSTITUTE(B146,"-"," "),","," "),"/"," "),"."," ")&amp;" ")),0),0)),"Other"))</f>
        <v>Bags</v>
      </c>
      <c r="D146" s="45" t="n">
        <f aca="false">IF(A146="","",BG146*(1-Assumptions!$B$18))</f>
        <v>0.99</v>
      </c>
      <c r="E146" s="46" t="n">
        <f aca="false">IF(A146="","",INDEX(Assumptions!$B$23:$B$26,MOD(VALUE(LEFT(A146,5)),4)+1))</f>
        <v>8</v>
      </c>
      <c r="F146" s="47" t="n">
        <v>448</v>
      </c>
      <c r="G146" s="48" t="n">
        <v>0</v>
      </c>
      <c r="H146" s="48" t="n">
        <v>0</v>
      </c>
      <c r="I146" s="48" t="n">
        <v>0</v>
      </c>
      <c r="J146" s="48" t="n">
        <v>0</v>
      </c>
      <c r="K146" s="48" t="n">
        <v>0</v>
      </c>
      <c r="L146" s="48" t="n">
        <v>0</v>
      </c>
      <c r="M146" s="48" t="n">
        <v>0</v>
      </c>
      <c r="N146" s="48" t="n">
        <v>0</v>
      </c>
      <c r="O146" s="48" t="n">
        <v>0</v>
      </c>
      <c r="P146" s="48" t="n">
        <v>0</v>
      </c>
      <c r="Q146" s="48" t="n">
        <v>0</v>
      </c>
      <c r="R146" s="48" t="n">
        <v>0</v>
      </c>
      <c r="S146" s="48" t="n">
        <v>0</v>
      </c>
      <c r="T146" s="48" t="n">
        <v>0</v>
      </c>
      <c r="U146" s="48" t="n">
        <v>0</v>
      </c>
      <c r="V146" s="48" t="n">
        <v>0</v>
      </c>
      <c r="W146" s="48" t="n">
        <v>0</v>
      </c>
      <c r="X146" s="48" t="n">
        <v>0</v>
      </c>
      <c r="Y146" s="48" t="n">
        <v>439</v>
      </c>
      <c r="Z146" s="48" t="n">
        <v>275</v>
      </c>
      <c r="AA146" s="48" t="n">
        <v>55</v>
      </c>
      <c r="AB146" s="48" t="n">
        <v>242</v>
      </c>
      <c r="AC146" s="48" t="n">
        <v>504</v>
      </c>
      <c r="AD146" s="48" t="n">
        <v>292</v>
      </c>
      <c r="AE146" s="48" t="n">
        <v>152</v>
      </c>
      <c r="AF146" s="48" t="n">
        <v>217</v>
      </c>
      <c r="AG146" s="48" t="n">
        <v>212</v>
      </c>
      <c r="AH146" s="48" t="n">
        <v>294</v>
      </c>
      <c r="AI146" s="48" t="n">
        <v>268</v>
      </c>
      <c r="AJ146" s="48" t="n">
        <v>144</v>
      </c>
      <c r="AK146" s="48" t="n">
        <v>126</v>
      </c>
      <c r="AL146" s="48" t="n">
        <v>216</v>
      </c>
      <c r="AM146" s="48" t="n">
        <v>232</v>
      </c>
      <c r="AN146" s="48" t="n">
        <v>216</v>
      </c>
      <c r="AO146" s="48" t="n">
        <v>529</v>
      </c>
      <c r="AP146" s="48" t="n">
        <v>601</v>
      </c>
      <c r="AQ146" s="48" t="n">
        <v>391</v>
      </c>
      <c r="AR146" s="48" t="n">
        <v>300</v>
      </c>
      <c r="AS146" s="48" t="n">
        <v>65</v>
      </c>
      <c r="AT146" s="48" t="n">
        <v>98</v>
      </c>
      <c r="AU146" s="48" t="n">
        <v>159</v>
      </c>
      <c r="AV146" s="48" t="n">
        <v>147</v>
      </c>
      <c r="AW146" s="48" t="n">
        <v>155</v>
      </c>
      <c r="AX146" s="48" t="n">
        <v>194</v>
      </c>
      <c r="AY146" s="48" t="n">
        <v>102</v>
      </c>
      <c r="AZ146" s="48" t="n">
        <v>74</v>
      </c>
      <c r="BA146" s="48" t="n">
        <v>137</v>
      </c>
      <c r="BB146" s="48" t="n">
        <v>100</v>
      </c>
      <c r="BC146" s="48" t="n">
        <v>193</v>
      </c>
      <c r="BD146" s="48" t="n">
        <v>211</v>
      </c>
      <c r="BE146" s="48" t="n">
        <v>314</v>
      </c>
      <c r="BF146" s="48" t="n">
        <v>115</v>
      </c>
      <c r="BG146" s="49" t="n">
        <v>1.65</v>
      </c>
    </row>
    <row r="147" customFormat="false" ht="15" hidden="false" customHeight="false" outlineLevel="0" collapsed="false">
      <c r="A147" s="43" t="s">
        <v>530</v>
      </c>
      <c r="B147" s="43" t="s">
        <v>531</v>
      </c>
      <c r="C147" s="44" t="str">
        <f aca="false">IF(A147="","",IFERROR(INDEX(Assumptions!$B$41:$B$55,MATCH(TRUE(),INDEX(ISNUMBER(SEARCH(" "&amp;Assumptions!$A$41:$A$55&amp;" "," "&amp;SUBSTITUTE(SUBSTITUTE(SUBSTITUTE(SUBSTITUTE(B147,"-"," "),","," "),"/"," "),"."," ")&amp;" ")),0),0)),"Other"))</f>
        <v>Other</v>
      </c>
      <c r="D147" s="45" t="n">
        <f aca="false">IF(A147="","",BG147*(1-Assumptions!$B$18))</f>
        <v>0.75</v>
      </c>
      <c r="E147" s="46" t="n">
        <f aca="false">IF(A147="","",INDEX(Assumptions!$B$23:$B$26,MOD(VALUE(LEFT(A147,5)),4)+1))</f>
        <v>4</v>
      </c>
      <c r="F147" s="47" t="n">
        <v>191</v>
      </c>
      <c r="G147" s="48" t="n">
        <v>0</v>
      </c>
      <c r="H147" s="48" t="n">
        <v>0</v>
      </c>
      <c r="I147" s="48" t="n">
        <v>0</v>
      </c>
      <c r="J147" s="48" t="n">
        <v>0</v>
      </c>
      <c r="K147" s="48" t="n">
        <v>0</v>
      </c>
      <c r="L147" s="48" t="n">
        <v>0</v>
      </c>
      <c r="M147" s="48" t="n">
        <v>0</v>
      </c>
      <c r="N147" s="48" t="n">
        <v>0</v>
      </c>
      <c r="O147" s="48" t="n">
        <v>0</v>
      </c>
      <c r="P147" s="48" t="n">
        <v>0</v>
      </c>
      <c r="Q147" s="48" t="n">
        <v>0</v>
      </c>
      <c r="R147" s="48" t="n">
        <v>0</v>
      </c>
      <c r="S147" s="48" t="n">
        <v>0</v>
      </c>
      <c r="T147" s="48" t="n">
        <v>0</v>
      </c>
      <c r="U147" s="48" t="n">
        <v>0</v>
      </c>
      <c r="V147" s="48" t="n">
        <v>204</v>
      </c>
      <c r="W147" s="48" t="n">
        <v>439</v>
      </c>
      <c r="X147" s="48" t="n">
        <v>221</v>
      </c>
      <c r="Y147" s="48" t="n">
        <v>240</v>
      </c>
      <c r="Z147" s="48" t="n">
        <v>122</v>
      </c>
      <c r="AA147" s="48" t="n">
        <v>160</v>
      </c>
      <c r="AB147" s="48" t="n">
        <v>161</v>
      </c>
      <c r="AC147" s="48" t="n">
        <v>280</v>
      </c>
      <c r="AD147" s="48" t="n">
        <v>120</v>
      </c>
      <c r="AE147" s="48" t="n">
        <v>47</v>
      </c>
      <c r="AF147" s="48" t="n">
        <v>240</v>
      </c>
      <c r="AG147" s="48" t="n">
        <v>122</v>
      </c>
      <c r="AH147" s="48" t="n">
        <v>81</v>
      </c>
      <c r="AI147" s="48" t="n">
        <v>41</v>
      </c>
      <c r="AJ147" s="48" t="n">
        <v>41</v>
      </c>
      <c r="AK147" s="48" t="n">
        <v>400</v>
      </c>
      <c r="AL147" s="48" t="n">
        <v>193</v>
      </c>
      <c r="AM147" s="48" t="n">
        <v>300</v>
      </c>
      <c r="AN147" s="48" t="n">
        <v>300</v>
      </c>
      <c r="AO147" s="48" t="n">
        <v>340</v>
      </c>
      <c r="AP147" s="48" t="n">
        <v>161</v>
      </c>
      <c r="AQ147" s="48" t="n">
        <v>83</v>
      </c>
      <c r="AR147" s="48" t="n">
        <v>140</v>
      </c>
      <c r="AS147" s="48" t="n">
        <v>307</v>
      </c>
      <c r="AT147" s="48" t="n">
        <v>80</v>
      </c>
      <c r="AU147" s="48" t="n">
        <v>360</v>
      </c>
      <c r="AV147" s="48" t="n">
        <v>321</v>
      </c>
      <c r="AW147" s="48" t="n">
        <v>280</v>
      </c>
      <c r="AX147" s="48" t="n">
        <v>520</v>
      </c>
      <c r="AY147" s="48" t="n">
        <v>261</v>
      </c>
      <c r="AZ147" s="48" t="n">
        <v>600</v>
      </c>
      <c r="BA147" s="48" t="n">
        <v>160</v>
      </c>
      <c r="BB147" s="48" t="n">
        <v>401</v>
      </c>
      <c r="BC147" s="48" t="n">
        <v>655</v>
      </c>
      <c r="BD147" s="48" t="n">
        <v>680</v>
      </c>
      <c r="BE147" s="48" t="n">
        <v>623</v>
      </c>
      <c r="BF147" s="48" t="n">
        <v>246</v>
      </c>
      <c r="BG147" s="49" t="n">
        <v>1.25</v>
      </c>
    </row>
    <row r="148" customFormat="false" ht="15" hidden="false" customHeight="false" outlineLevel="0" collapsed="false">
      <c r="A148" s="43" t="s">
        <v>532</v>
      </c>
      <c r="B148" s="43" t="s">
        <v>533</v>
      </c>
      <c r="C148" s="44" t="str">
        <f aca="false">IF(A148="","",IFERROR(INDEX(Assumptions!$B$41:$B$55,MATCH(TRUE(),INDEX(ISNUMBER(SEARCH(" "&amp;Assumptions!$A$41:$A$55&amp;" "," "&amp;SUBSTITUTE(SUBSTITUTE(SUBSTITUTE(SUBSTITUTE(B148,"-"," "),","," "),"/"," "),"."," ")&amp;" ")),0),0)),"Other"))</f>
        <v>Other</v>
      </c>
      <c r="D148" s="45" t="n">
        <f aca="false">IF(A148="","",BG148*(1-Assumptions!$B$18))</f>
        <v>4.77</v>
      </c>
      <c r="E148" s="46" t="n">
        <f aca="false">IF(A148="","",INDEX(Assumptions!$B$23:$B$26,MOD(VALUE(LEFT(A148,5)),4)+1))</f>
        <v>2</v>
      </c>
      <c r="F148" s="47" t="n">
        <v>521</v>
      </c>
      <c r="G148" s="48" t="n">
        <v>62</v>
      </c>
      <c r="H148" s="48" t="n">
        <v>48</v>
      </c>
      <c r="I148" s="48" t="n">
        <v>12</v>
      </c>
      <c r="J148" s="48" t="n">
        <v>0</v>
      </c>
      <c r="K148" s="48" t="n">
        <v>54</v>
      </c>
      <c r="L148" s="48" t="n">
        <v>17</v>
      </c>
      <c r="M148" s="48" t="n">
        <v>7</v>
      </c>
      <c r="N148" s="48" t="n">
        <v>66</v>
      </c>
      <c r="O148" s="48" t="n">
        <v>23</v>
      </c>
      <c r="P148" s="48" t="n">
        <v>5</v>
      </c>
      <c r="Q148" s="48" t="n">
        <v>33</v>
      </c>
      <c r="R148" s="48" t="n">
        <v>13</v>
      </c>
      <c r="S148" s="48" t="n">
        <v>17</v>
      </c>
      <c r="T148" s="48" t="n">
        <v>47</v>
      </c>
      <c r="U148" s="48" t="n">
        <v>35</v>
      </c>
      <c r="V148" s="48" t="n">
        <v>28</v>
      </c>
      <c r="W148" s="48" t="n">
        <v>47</v>
      </c>
      <c r="X148" s="48" t="n">
        <v>18</v>
      </c>
      <c r="Y148" s="48" t="n">
        <v>25</v>
      </c>
      <c r="Z148" s="48" t="n">
        <v>40</v>
      </c>
      <c r="AA148" s="48" t="n">
        <v>20</v>
      </c>
      <c r="AB148" s="48" t="n">
        <v>33</v>
      </c>
      <c r="AC148" s="48" t="n">
        <v>50</v>
      </c>
      <c r="AD148" s="48" t="n">
        <v>31</v>
      </c>
      <c r="AE148" s="48" t="n">
        <v>14</v>
      </c>
      <c r="AF148" s="48" t="n">
        <v>6</v>
      </c>
      <c r="AG148" s="48" t="n">
        <v>21</v>
      </c>
      <c r="AH148" s="48" t="n">
        <v>22</v>
      </c>
      <c r="AI148" s="48" t="n">
        <v>4</v>
      </c>
      <c r="AJ148" s="48" t="n">
        <v>41</v>
      </c>
      <c r="AK148" s="48" t="n">
        <v>44</v>
      </c>
      <c r="AL148" s="48" t="n">
        <v>8</v>
      </c>
      <c r="AM148" s="48" t="n">
        <v>26</v>
      </c>
      <c r="AN148" s="48" t="n">
        <v>10</v>
      </c>
      <c r="AO148" s="48" t="n">
        <v>27</v>
      </c>
      <c r="AP148" s="48" t="n">
        <v>41</v>
      </c>
      <c r="AQ148" s="48" t="n">
        <v>44</v>
      </c>
      <c r="AR148" s="48" t="n">
        <v>23</v>
      </c>
      <c r="AS148" s="48" t="n">
        <v>23</v>
      </c>
      <c r="AT148" s="48" t="n">
        <v>81</v>
      </c>
      <c r="AU148" s="48" t="n">
        <v>156</v>
      </c>
      <c r="AV148" s="48" t="n">
        <v>64</v>
      </c>
      <c r="AW148" s="48" t="n">
        <v>55</v>
      </c>
      <c r="AX148" s="48" t="n">
        <v>44</v>
      </c>
      <c r="AY148" s="48" t="n">
        <v>11</v>
      </c>
      <c r="AZ148" s="48" t="n">
        <v>22</v>
      </c>
      <c r="BA148" s="48" t="n">
        <v>16</v>
      </c>
      <c r="BB148" s="48" t="n">
        <v>21</v>
      </c>
      <c r="BC148" s="48" t="n">
        <v>15</v>
      </c>
      <c r="BD148" s="48" t="n">
        <v>21</v>
      </c>
      <c r="BE148" s="48" t="n">
        <v>77</v>
      </c>
      <c r="BF148" s="48" t="n">
        <v>24</v>
      </c>
      <c r="BG148" s="49" t="n">
        <v>7.95</v>
      </c>
    </row>
    <row r="149" customFormat="false" ht="15" hidden="false" customHeight="false" outlineLevel="0" collapsed="false">
      <c r="A149" s="43" t="s">
        <v>534</v>
      </c>
      <c r="B149" s="43" t="s">
        <v>535</v>
      </c>
      <c r="C149" s="44" t="str">
        <f aca="false">IF(A149="","",IFERROR(INDEX(Assumptions!$B$41:$B$55,MATCH(TRUE(),INDEX(ISNUMBER(SEARCH(" "&amp;Assumptions!$A$41:$A$55&amp;" "," "&amp;SUBSTITUTE(SUBSTITUTE(SUBSTITUTE(SUBSTITUTE(B149,"-"," "),","," "),"/"," "),"."," ")&amp;" ")),0),0)),"Other"))</f>
        <v>Kitchen</v>
      </c>
      <c r="D149" s="45" t="n">
        <f aca="false">IF(A149="","",BG149*(1-Assumptions!$B$18))</f>
        <v>0.99</v>
      </c>
      <c r="E149" s="46" t="n">
        <f aca="false">IF(A149="","",INDEX(Assumptions!$B$23:$B$26,MOD(VALUE(LEFT(A149,5)),4)+1))</f>
        <v>8</v>
      </c>
      <c r="F149" s="47" t="n">
        <v>2232</v>
      </c>
      <c r="G149" s="48" t="n">
        <v>216</v>
      </c>
      <c r="H149" s="48" t="n">
        <v>63</v>
      </c>
      <c r="I149" s="48" t="n">
        <v>42</v>
      </c>
      <c r="J149" s="48" t="n">
        <v>0</v>
      </c>
      <c r="K149" s="48" t="n">
        <v>101</v>
      </c>
      <c r="L149" s="48" t="n">
        <v>457</v>
      </c>
      <c r="M149" s="48" t="n">
        <v>609</v>
      </c>
      <c r="N149" s="48" t="n">
        <v>175</v>
      </c>
      <c r="O149" s="48" t="n">
        <v>199</v>
      </c>
      <c r="P149" s="48" t="n">
        <v>35</v>
      </c>
      <c r="Q149" s="48" t="n">
        <v>31</v>
      </c>
      <c r="R149" s="48" t="n">
        <v>79</v>
      </c>
      <c r="S149" s="48" t="n">
        <v>256</v>
      </c>
      <c r="T149" s="48" t="n">
        <v>23</v>
      </c>
      <c r="U149" s="48" t="n">
        <v>160</v>
      </c>
      <c r="V149" s="48" t="n">
        <v>89</v>
      </c>
      <c r="W149" s="48" t="n">
        <v>183</v>
      </c>
      <c r="X149" s="48" t="n">
        <v>87</v>
      </c>
      <c r="Y149" s="48" t="n">
        <v>76</v>
      </c>
      <c r="Z149" s="48" t="n">
        <v>56</v>
      </c>
      <c r="AA149" s="48" t="n">
        <v>40</v>
      </c>
      <c r="AB149" s="48" t="n">
        <v>88</v>
      </c>
      <c r="AC149" s="48" t="n">
        <v>246</v>
      </c>
      <c r="AD149" s="48" t="n">
        <v>28</v>
      </c>
      <c r="AE149" s="48" t="n">
        <v>73</v>
      </c>
      <c r="AF149" s="48" t="n">
        <v>49</v>
      </c>
      <c r="AG149" s="48" t="n">
        <v>139</v>
      </c>
      <c r="AH149" s="48" t="n">
        <v>135</v>
      </c>
      <c r="AI149" s="48" t="n">
        <v>56</v>
      </c>
      <c r="AJ149" s="48" t="n">
        <v>136</v>
      </c>
      <c r="AK149" s="48" t="n">
        <v>198</v>
      </c>
      <c r="AL149" s="48" t="n">
        <v>46</v>
      </c>
      <c r="AM149" s="48" t="n">
        <v>124</v>
      </c>
      <c r="AN149" s="48" t="n">
        <v>181</v>
      </c>
      <c r="AO149" s="48" t="n">
        <v>64</v>
      </c>
      <c r="AP149" s="48" t="n">
        <v>223</v>
      </c>
      <c r="AQ149" s="48" t="n">
        <v>141</v>
      </c>
      <c r="AR149" s="48" t="n">
        <v>84</v>
      </c>
      <c r="AS149" s="48" t="n">
        <v>134</v>
      </c>
      <c r="AT149" s="48" t="n">
        <v>170</v>
      </c>
      <c r="AU149" s="48" t="n">
        <v>78</v>
      </c>
      <c r="AV149" s="48" t="n">
        <v>250</v>
      </c>
      <c r="AW149" s="48" t="n">
        <v>155</v>
      </c>
      <c r="AX149" s="48" t="n">
        <v>164</v>
      </c>
      <c r="AY149" s="48" t="n">
        <v>173</v>
      </c>
      <c r="AZ149" s="48" t="n">
        <v>146</v>
      </c>
      <c r="BA149" s="48" t="n">
        <v>178</v>
      </c>
      <c r="BB149" s="48" t="n">
        <v>197</v>
      </c>
      <c r="BC149" s="48" t="n">
        <v>397</v>
      </c>
      <c r="BD149" s="48" t="n">
        <v>269</v>
      </c>
      <c r="BE149" s="48" t="n">
        <v>275</v>
      </c>
      <c r="BF149" s="48" t="n">
        <v>165</v>
      </c>
      <c r="BG149" s="49" t="n">
        <v>1.65</v>
      </c>
    </row>
    <row r="150" customFormat="false" ht="15" hidden="false" customHeight="false" outlineLevel="0" collapsed="false">
      <c r="A150" s="43" t="s">
        <v>536</v>
      </c>
      <c r="B150" s="43" t="s">
        <v>537</v>
      </c>
      <c r="C150" s="44" t="str">
        <f aca="false">IF(A150="","",IFERROR(INDEX(Assumptions!$B$41:$B$55,MATCH(TRUE(),INDEX(ISNUMBER(SEARCH(" "&amp;Assumptions!$A$41:$A$55&amp;" "," "&amp;SUBSTITUTE(SUBSTITUTE(SUBSTITUTE(SUBSTITUTE(B150,"-"," "),","," "),"/"," "),"."," ")&amp;" ")),0),0)),"Other"))</f>
        <v>Lighting</v>
      </c>
      <c r="D150" s="45" t="n">
        <f aca="false">IF(A150="","",BG150*(1-Assumptions!$B$18))</f>
        <v>3.75</v>
      </c>
      <c r="E150" s="46" t="n">
        <f aca="false">IF(A150="","",INDEX(Assumptions!$B$23:$B$26,MOD(VALUE(LEFT(A150,5)),4)+1))</f>
        <v>2</v>
      </c>
      <c r="F150" s="47" t="n">
        <v>545</v>
      </c>
      <c r="G150" s="48" t="n">
        <v>0</v>
      </c>
      <c r="H150" s="48" t="n">
        <v>0</v>
      </c>
      <c r="I150" s="48" t="n">
        <v>0</v>
      </c>
      <c r="J150" s="48" t="n">
        <v>0</v>
      </c>
      <c r="K150" s="48" t="n">
        <v>0</v>
      </c>
      <c r="L150" s="48" t="n">
        <v>0</v>
      </c>
      <c r="M150" s="48" t="n">
        <v>0</v>
      </c>
      <c r="N150" s="48" t="n">
        <v>0</v>
      </c>
      <c r="O150" s="48" t="n">
        <v>0</v>
      </c>
      <c r="P150" s="48" t="n">
        <v>0</v>
      </c>
      <c r="Q150" s="48" t="n">
        <v>0</v>
      </c>
      <c r="R150" s="48" t="n">
        <v>0</v>
      </c>
      <c r="S150" s="48" t="n">
        <v>0</v>
      </c>
      <c r="T150" s="48" t="n">
        <v>0</v>
      </c>
      <c r="U150" s="48" t="n">
        <v>0</v>
      </c>
      <c r="V150" s="48" t="n">
        <v>0</v>
      </c>
      <c r="W150" s="48" t="n">
        <v>0</v>
      </c>
      <c r="X150" s="48" t="n">
        <v>0</v>
      </c>
      <c r="Y150" s="48" t="n">
        <v>0</v>
      </c>
      <c r="Z150" s="48" t="n">
        <v>0</v>
      </c>
      <c r="AA150" s="48" t="n">
        <v>0</v>
      </c>
      <c r="AB150" s="48" t="n">
        <v>0</v>
      </c>
      <c r="AC150" s="48" t="n">
        <v>77</v>
      </c>
      <c r="AD150" s="48" t="n">
        <v>218</v>
      </c>
      <c r="AE150" s="48" t="n">
        <v>37</v>
      </c>
      <c r="AF150" s="48" t="n">
        <v>50</v>
      </c>
      <c r="AG150" s="48" t="n">
        <v>92</v>
      </c>
      <c r="AH150" s="48" t="n">
        <v>96</v>
      </c>
      <c r="AI150" s="48" t="n">
        <v>41</v>
      </c>
      <c r="AJ150" s="48" t="n">
        <v>33</v>
      </c>
      <c r="AK150" s="48" t="n">
        <v>3</v>
      </c>
      <c r="AL150" s="48" t="n">
        <v>10</v>
      </c>
      <c r="AM150" s="48" t="n">
        <v>88</v>
      </c>
      <c r="AN150" s="48" t="n">
        <v>24</v>
      </c>
      <c r="AO150" s="48" t="n">
        <v>29</v>
      </c>
      <c r="AP150" s="48" t="n">
        <v>35</v>
      </c>
      <c r="AQ150" s="48" t="n">
        <v>29</v>
      </c>
      <c r="AR150" s="48" t="n">
        <v>21</v>
      </c>
      <c r="AS150" s="48" t="n">
        <v>7</v>
      </c>
      <c r="AT150" s="48" t="n">
        <v>98</v>
      </c>
      <c r="AU150" s="48" t="n">
        <v>30</v>
      </c>
      <c r="AV150" s="48" t="n">
        <v>496</v>
      </c>
      <c r="AW150" s="48" t="n">
        <v>31</v>
      </c>
      <c r="AX150" s="48" t="n">
        <v>107</v>
      </c>
      <c r="AY150" s="48" t="n">
        <v>92</v>
      </c>
      <c r="AZ150" s="48" t="n">
        <v>28</v>
      </c>
      <c r="BA150" s="48" t="n">
        <v>32</v>
      </c>
      <c r="BB150" s="48" t="n">
        <v>53</v>
      </c>
      <c r="BC150" s="48" t="n">
        <v>58</v>
      </c>
      <c r="BD150" s="48" t="n">
        <v>129</v>
      </c>
      <c r="BE150" s="48" t="n">
        <v>44</v>
      </c>
      <c r="BF150" s="48" t="n">
        <v>90</v>
      </c>
      <c r="BG150" s="49" t="n">
        <v>6.25</v>
      </c>
    </row>
    <row r="151" customFormat="false" ht="15" hidden="false" customHeight="false" outlineLevel="0" collapsed="false">
      <c r="A151" s="43" t="s">
        <v>538</v>
      </c>
      <c r="B151" s="43" t="s">
        <v>539</v>
      </c>
      <c r="C151" s="44" t="str">
        <f aca="false">IF(A151="","",IFERROR(INDEX(Assumptions!$B$41:$B$55,MATCH(TRUE(),INDEX(ISNUMBER(SEARCH(" "&amp;Assumptions!$A$41:$A$55&amp;" "," "&amp;SUBSTITUTE(SUBSTITUTE(SUBSTITUTE(SUBSTITUTE(B151,"-"," "),","," "),"/"," "),"."," ")&amp;" ")),0),0)),"Other"))</f>
        <v>Kitchen</v>
      </c>
      <c r="D151" s="45" t="n">
        <f aca="false">IF(A151="","",BG151*(1-Assumptions!$B$18))</f>
        <v>0.99</v>
      </c>
      <c r="E151" s="46" t="n">
        <f aca="false">IF(A151="","",INDEX(Assumptions!$B$23:$B$26,MOD(VALUE(LEFT(A151,5)),4)+1))</f>
        <v>6</v>
      </c>
      <c r="F151" s="47" t="n">
        <v>2183</v>
      </c>
      <c r="G151" s="48" t="n">
        <v>187</v>
      </c>
      <c r="H151" s="48" t="n">
        <v>38</v>
      </c>
      <c r="I151" s="48" t="n">
        <v>49</v>
      </c>
      <c r="J151" s="48" t="n">
        <v>0</v>
      </c>
      <c r="K151" s="48" t="n">
        <v>32</v>
      </c>
      <c r="L151" s="48" t="n">
        <v>421</v>
      </c>
      <c r="M151" s="48" t="n">
        <v>343</v>
      </c>
      <c r="N151" s="48" t="n">
        <v>195</v>
      </c>
      <c r="O151" s="48" t="n">
        <v>77</v>
      </c>
      <c r="P151" s="48" t="n">
        <v>44</v>
      </c>
      <c r="Q151" s="48" t="n">
        <v>29</v>
      </c>
      <c r="R151" s="48" t="n">
        <v>45</v>
      </c>
      <c r="S151" s="48" t="n">
        <v>64</v>
      </c>
      <c r="T151" s="48" t="n">
        <v>60</v>
      </c>
      <c r="U151" s="48" t="n">
        <v>148</v>
      </c>
      <c r="V151" s="48" t="n">
        <v>104</v>
      </c>
      <c r="W151" s="48" t="n">
        <v>369</v>
      </c>
      <c r="X151" s="48" t="n">
        <v>82</v>
      </c>
      <c r="Y151" s="48" t="n">
        <v>78</v>
      </c>
      <c r="Z151" s="48" t="n">
        <v>41</v>
      </c>
      <c r="AA151" s="48" t="n">
        <v>66</v>
      </c>
      <c r="AB151" s="48" t="n">
        <v>114</v>
      </c>
      <c r="AC151" s="48" t="n">
        <v>100</v>
      </c>
      <c r="AD151" s="48" t="n">
        <v>106</v>
      </c>
      <c r="AE151" s="48" t="n">
        <v>135</v>
      </c>
      <c r="AF151" s="48" t="n">
        <v>92</v>
      </c>
      <c r="AG151" s="48" t="n">
        <v>142</v>
      </c>
      <c r="AH151" s="48" t="n">
        <v>236</v>
      </c>
      <c r="AI151" s="48" t="n">
        <v>96</v>
      </c>
      <c r="AJ151" s="48" t="n">
        <v>209</v>
      </c>
      <c r="AK151" s="48" t="n">
        <v>190</v>
      </c>
      <c r="AL151" s="48" t="n">
        <v>63</v>
      </c>
      <c r="AM151" s="48" t="n">
        <v>86</v>
      </c>
      <c r="AN151" s="48" t="n">
        <v>245</v>
      </c>
      <c r="AO151" s="48" t="n">
        <v>112</v>
      </c>
      <c r="AP151" s="48" t="n">
        <v>32</v>
      </c>
      <c r="AQ151" s="48" t="n">
        <v>53</v>
      </c>
      <c r="AR151" s="48" t="n">
        <v>74</v>
      </c>
      <c r="AS151" s="48" t="n">
        <v>207</v>
      </c>
      <c r="AT151" s="48" t="n">
        <v>193</v>
      </c>
      <c r="AU151" s="48" t="n">
        <v>104</v>
      </c>
      <c r="AV151" s="48" t="n">
        <v>340</v>
      </c>
      <c r="AW151" s="48" t="n">
        <v>135</v>
      </c>
      <c r="AX151" s="48" t="n">
        <v>139</v>
      </c>
      <c r="AY151" s="48" t="n">
        <v>146</v>
      </c>
      <c r="AZ151" s="48" t="n">
        <v>307</v>
      </c>
      <c r="BA151" s="48" t="n">
        <v>172</v>
      </c>
      <c r="BB151" s="48" t="n">
        <v>228</v>
      </c>
      <c r="BC151" s="48" t="n">
        <v>318</v>
      </c>
      <c r="BD151" s="48" t="n">
        <v>204</v>
      </c>
      <c r="BE151" s="48" t="n">
        <v>395</v>
      </c>
      <c r="BF151" s="48" t="n">
        <v>124</v>
      </c>
      <c r="BG151" s="49" t="n">
        <v>1.65</v>
      </c>
    </row>
    <row r="152" customFormat="false" ht="15" hidden="false" customHeight="false" outlineLevel="0" collapsed="false">
      <c r="A152" s="43" t="s">
        <v>540</v>
      </c>
      <c r="B152" s="43" t="s">
        <v>541</v>
      </c>
      <c r="C152" s="44" t="str">
        <f aca="false">IF(A152="","",IFERROR(INDEX(Assumptions!$B$41:$B$55,MATCH(TRUE(),INDEX(ISNUMBER(SEARCH(" "&amp;Assumptions!$A$41:$A$55&amp;" "," "&amp;SUBSTITUTE(SUBSTITUTE(SUBSTITUTE(SUBSTITUTE(B152,"-"," "),","," "),"/"," "),"."," ")&amp;" ")),0),0)),"Other"))</f>
        <v>Other</v>
      </c>
      <c r="D152" s="45" t="n">
        <f aca="false">IF(A152="","",BG152*(1-Assumptions!$B$18))</f>
        <v>0.174</v>
      </c>
      <c r="E152" s="46" t="n">
        <f aca="false">IF(A152="","",INDEX(Assumptions!$B$23:$B$26,MOD(VALUE(LEFT(A152,5)),4)+1))</f>
        <v>4</v>
      </c>
      <c r="F152" s="47" t="n">
        <v>972</v>
      </c>
      <c r="G152" s="48" t="n">
        <v>513</v>
      </c>
      <c r="H152" s="48" t="n">
        <v>1173</v>
      </c>
      <c r="I152" s="48" t="n">
        <v>100</v>
      </c>
      <c r="J152" s="48" t="n">
        <v>0</v>
      </c>
      <c r="K152" s="48" t="n">
        <v>625</v>
      </c>
      <c r="L152" s="48" t="n">
        <v>289</v>
      </c>
      <c r="M152" s="48" t="n">
        <v>0</v>
      </c>
      <c r="N152" s="48" t="n">
        <v>530</v>
      </c>
      <c r="O152" s="48" t="n">
        <v>2837</v>
      </c>
      <c r="P152" s="48" t="n">
        <v>48</v>
      </c>
      <c r="Q152" s="48" t="n">
        <v>424</v>
      </c>
      <c r="R152" s="48" t="n">
        <v>257</v>
      </c>
      <c r="S152" s="48" t="n">
        <v>1680</v>
      </c>
      <c r="T152" s="48" t="n">
        <v>1200</v>
      </c>
      <c r="U152" s="48" t="n">
        <v>480</v>
      </c>
      <c r="V152" s="48" t="n">
        <v>192</v>
      </c>
      <c r="W152" s="48" t="n">
        <v>3216</v>
      </c>
      <c r="X152" s="48" t="n">
        <v>392</v>
      </c>
      <c r="Y152" s="48" t="n">
        <v>2448</v>
      </c>
      <c r="Z152" s="48" t="n">
        <v>1927</v>
      </c>
      <c r="AA152" s="48" t="n">
        <v>2592</v>
      </c>
      <c r="AB152" s="48" t="n">
        <v>917</v>
      </c>
      <c r="AC152" s="48" t="n">
        <v>1248</v>
      </c>
      <c r="AD152" s="48" t="n">
        <v>1008</v>
      </c>
      <c r="AE152" s="48" t="n">
        <v>576</v>
      </c>
      <c r="AF152" s="48" t="n">
        <v>1445</v>
      </c>
      <c r="AG152" s="48" t="n">
        <v>480</v>
      </c>
      <c r="AH152" s="48" t="n">
        <v>145</v>
      </c>
      <c r="AI152" s="48" t="n">
        <v>961</v>
      </c>
      <c r="AJ152" s="48" t="n">
        <v>291</v>
      </c>
      <c r="AK152" s="48" t="n">
        <v>1109</v>
      </c>
      <c r="AL152" s="48" t="n">
        <v>1104</v>
      </c>
      <c r="AM152" s="48" t="n">
        <v>726</v>
      </c>
      <c r="AN152" s="48" t="n">
        <v>823</v>
      </c>
      <c r="AO152" s="48" t="n">
        <v>98</v>
      </c>
      <c r="AP152" s="48" t="n">
        <v>577</v>
      </c>
      <c r="AQ152" s="48" t="n">
        <v>528</v>
      </c>
      <c r="AR152" s="48" t="n">
        <v>1056</v>
      </c>
      <c r="AS152" s="48" t="n">
        <v>290</v>
      </c>
      <c r="AT152" s="48" t="n">
        <v>432</v>
      </c>
      <c r="AU152" s="48" t="n">
        <v>1296</v>
      </c>
      <c r="AV152" s="48" t="n">
        <v>587</v>
      </c>
      <c r="AW152" s="48" t="n">
        <v>1008</v>
      </c>
      <c r="AX152" s="48" t="n">
        <v>989</v>
      </c>
      <c r="AY152" s="48" t="n">
        <v>730</v>
      </c>
      <c r="AZ152" s="48" t="n">
        <v>975</v>
      </c>
      <c r="BA152" s="48" t="n">
        <v>5328</v>
      </c>
      <c r="BB152" s="48" t="n">
        <v>974</v>
      </c>
      <c r="BC152" s="48" t="n">
        <v>1167</v>
      </c>
      <c r="BD152" s="48" t="n">
        <v>1170</v>
      </c>
      <c r="BE152" s="48" t="n">
        <v>915</v>
      </c>
      <c r="BF152" s="48" t="n">
        <v>689</v>
      </c>
      <c r="BG152" s="49" t="n">
        <v>0.29</v>
      </c>
    </row>
    <row r="153" customFormat="false" ht="15" hidden="false" customHeight="false" outlineLevel="0" collapsed="false">
      <c r="A153" s="43" t="s">
        <v>542</v>
      </c>
      <c r="B153" s="43" t="s">
        <v>543</v>
      </c>
      <c r="C153" s="44" t="str">
        <f aca="false">IF(A153="","",IFERROR(INDEX(Assumptions!$B$41:$B$55,MATCH(TRUE(),INDEX(ISNUMBER(SEARCH(" "&amp;Assumptions!$A$41:$A$55&amp;" "," "&amp;SUBSTITUTE(SUBSTITUTE(SUBSTITUTE(SUBSTITUTE(B153,"-"," "),","," "),"/"," "),"."," ")&amp;" ")),0),0)),"Other"))</f>
        <v>Other</v>
      </c>
      <c r="D153" s="45" t="n">
        <f aca="false">IF(A153="","",BG153*(1-Assumptions!$B$18))</f>
        <v>3.57</v>
      </c>
      <c r="E153" s="46" t="n">
        <f aca="false">IF(A153="","",INDEX(Assumptions!$B$23:$B$26,MOD(VALUE(LEFT(A153,5)),4)+1))</f>
        <v>2</v>
      </c>
      <c r="F153" s="47" t="n">
        <v>483</v>
      </c>
      <c r="G153" s="48" t="n">
        <v>0</v>
      </c>
      <c r="H153" s="48" t="n">
        <v>0</v>
      </c>
      <c r="I153" s="48" t="n">
        <v>0</v>
      </c>
      <c r="J153" s="48" t="n">
        <v>0</v>
      </c>
      <c r="K153" s="48" t="n">
        <v>0</v>
      </c>
      <c r="L153" s="48" t="n">
        <v>0</v>
      </c>
      <c r="M153" s="48" t="n">
        <v>0</v>
      </c>
      <c r="N153" s="48" t="n">
        <v>0</v>
      </c>
      <c r="O153" s="48" t="n">
        <v>0</v>
      </c>
      <c r="P153" s="48" t="n">
        <v>0</v>
      </c>
      <c r="Q153" s="48" t="n">
        <v>0</v>
      </c>
      <c r="R153" s="48" t="n">
        <v>0</v>
      </c>
      <c r="S153" s="48" t="n">
        <v>0</v>
      </c>
      <c r="T153" s="48" t="n">
        <v>0</v>
      </c>
      <c r="U153" s="48" t="n">
        <v>0</v>
      </c>
      <c r="V153" s="48" t="n">
        <v>0</v>
      </c>
      <c r="W153" s="48" t="n">
        <v>0</v>
      </c>
      <c r="X153" s="48" t="n">
        <v>0</v>
      </c>
      <c r="Y153" s="48" t="n">
        <v>0</v>
      </c>
      <c r="Z153" s="48" t="n">
        <v>0</v>
      </c>
      <c r="AA153" s="48" t="n">
        <v>0</v>
      </c>
      <c r="AB153" s="48" t="n">
        <v>0</v>
      </c>
      <c r="AC153" s="48" t="n">
        <v>0</v>
      </c>
      <c r="AD153" s="48" t="n">
        <v>0</v>
      </c>
      <c r="AE153" s="48" t="n">
        <v>0</v>
      </c>
      <c r="AF153" s="48" t="n">
        <v>0</v>
      </c>
      <c r="AG153" s="48" t="n">
        <v>0</v>
      </c>
      <c r="AH153" s="48" t="n">
        <v>0</v>
      </c>
      <c r="AI153" s="48" t="n">
        <v>0</v>
      </c>
      <c r="AJ153" s="48" t="n">
        <v>0</v>
      </c>
      <c r="AK153" s="48" t="n">
        <v>0</v>
      </c>
      <c r="AL153" s="48" t="n">
        <v>0</v>
      </c>
      <c r="AM153" s="48" t="n">
        <v>0</v>
      </c>
      <c r="AN153" s="48" t="n">
        <v>0</v>
      </c>
      <c r="AO153" s="48" t="n">
        <v>0</v>
      </c>
      <c r="AP153" s="48" t="n">
        <v>0</v>
      </c>
      <c r="AQ153" s="48" t="n">
        <v>0</v>
      </c>
      <c r="AR153" s="48" t="n">
        <v>25</v>
      </c>
      <c r="AS153" s="48" t="n">
        <v>77</v>
      </c>
      <c r="AT153" s="48" t="n">
        <v>192</v>
      </c>
      <c r="AU153" s="48" t="n">
        <v>136</v>
      </c>
      <c r="AV153" s="48" t="n">
        <v>122</v>
      </c>
      <c r="AW153" s="48" t="n">
        <v>101</v>
      </c>
      <c r="AX153" s="48" t="n">
        <v>130</v>
      </c>
      <c r="AY153" s="48" t="n">
        <v>136</v>
      </c>
      <c r="AZ153" s="48" t="n">
        <v>114</v>
      </c>
      <c r="BA153" s="48" t="n">
        <v>101</v>
      </c>
      <c r="BB153" s="48" t="n">
        <v>452</v>
      </c>
      <c r="BC153" s="48" t="n">
        <v>155</v>
      </c>
      <c r="BD153" s="48" t="n">
        <v>254</v>
      </c>
      <c r="BE153" s="48" t="n">
        <v>184</v>
      </c>
      <c r="BF153" s="48" t="n">
        <v>102</v>
      </c>
      <c r="BG153" s="49" t="n">
        <v>5.95</v>
      </c>
    </row>
    <row r="154" customFormat="false" ht="15" hidden="false" customHeight="false" outlineLevel="0" collapsed="false">
      <c r="A154" s="43" t="s">
        <v>544</v>
      </c>
      <c r="B154" s="43" t="s">
        <v>545</v>
      </c>
      <c r="C154" s="44" t="str">
        <f aca="false">IF(A154="","",IFERROR(INDEX(Assumptions!$B$41:$B$55,MATCH(TRUE(),INDEX(ISNUMBER(SEARCH(" "&amp;Assumptions!$A$41:$A$55&amp;" "," "&amp;SUBSTITUTE(SUBSTITUTE(SUBSTITUTE(SUBSTITUTE(B154,"-"," "),","," "),"/"," "),"."," ")&amp;" ")),0),0)),"Other"))</f>
        <v>Other</v>
      </c>
      <c r="D154" s="45" t="n">
        <f aca="false">IF(A154="","",BG154*(1-Assumptions!$B$18))</f>
        <v>2.97</v>
      </c>
      <c r="E154" s="46" t="n">
        <f aca="false">IF(A154="","",INDEX(Assumptions!$B$23:$B$26,MOD(VALUE(LEFT(A154,5)),4)+1))</f>
        <v>6</v>
      </c>
      <c r="F154" s="47" t="n">
        <v>49</v>
      </c>
      <c r="G154" s="48" t="n">
        <v>20</v>
      </c>
      <c r="H154" s="48" t="n">
        <v>18</v>
      </c>
      <c r="I154" s="48" t="n">
        <v>6</v>
      </c>
      <c r="J154" s="48" t="n">
        <v>0</v>
      </c>
      <c r="K154" s="48" t="n">
        <v>117</v>
      </c>
      <c r="L154" s="48" t="n">
        <v>58</v>
      </c>
      <c r="M154" s="48" t="n">
        <v>30</v>
      </c>
      <c r="N154" s="48" t="n">
        <v>116</v>
      </c>
      <c r="O154" s="48" t="n">
        <v>41</v>
      </c>
      <c r="P154" s="48" t="n">
        <v>128</v>
      </c>
      <c r="Q154" s="48" t="n">
        <v>33</v>
      </c>
      <c r="R154" s="48" t="n">
        <v>43</v>
      </c>
      <c r="S154" s="48" t="n">
        <v>64</v>
      </c>
      <c r="T154" s="48" t="n">
        <v>17</v>
      </c>
      <c r="U154" s="48" t="n">
        <v>67</v>
      </c>
      <c r="V154" s="48" t="n">
        <v>14</v>
      </c>
      <c r="W154" s="48" t="n">
        <v>65</v>
      </c>
      <c r="X154" s="48" t="n">
        <v>80</v>
      </c>
      <c r="Y154" s="48" t="n">
        <v>126</v>
      </c>
      <c r="Z154" s="48" t="n">
        <v>125</v>
      </c>
      <c r="AA154" s="48" t="n">
        <v>48</v>
      </c>
      <c r="AB154" s="48" t="n">
        <v>130</v>
      </c>
      <c r="AC154" s="48" t="n">
        <v>67</v>
      </c>
      <c r="AD154" s="48" t="n">
        <v>152</v>
      </c>
      <c r="AE154" s="48" t="n">
        <v>127</v>
      </c>
      <c r="AF154" s="48" t="n">
        <v>34</v>
      </c>
      <c r="AG154" s="48" t="n">
        <v>89</v>
      </c>
      <c r="AH154" s="48" t="n">
        <v>57</v>
      </c>
      <c r="AI154" s="48" t="n">
        <v>120</v>
      </c>
      <c r="AJ154" s="48" t="n">
        <v>84</v>
      </c>
      <c r="AK154" s="48" t="n">
        <v>46</v>
      </c>
      <c r="AL154" s="48" t="n">
        <v>80</v>
      </c>
      <c r="AM154" s="48" t="n">
        <v>61</v>
      </c>
      <c r="AN154" s="48" t="n">
        <v>67</v>
      </c>
      <c r="AO154" s="48" t="n">
        <v>68</v>
      </c>
      <c r="AP154" s="48" t="n">
        <v>5</v>
      </c>
      <c r="AQ154" s="48" t="n">
        <v>20</v>
      </c>
      <c r="AR154" s="48" t="n">
        <v>10</v>
      </c>
      <c r="AS154" s="48" t="n">
        <v>12</v>
      </c>
      <c r="AT154" s="48" t="n">
        <v>16</v>
      </c>
      <c r="AU154" s="48" t="n">
        <v>17</v>
      </c>
      <c r="AV154" s="48" t="n">
        <v>12</v>
      </c>
      <c r="AW154" s="48" t="n">
        <v>7</v>
      </c>
      <c r="AX154" s="48" t="n">
        <v>0</v>
      </c>
      <c r="AY154" s="48" t="n">
        <v>7</v>
      </c>
      <c r="AZ154" s="48" t="n">
        <v>19</v>
      </c>
      <c r="BA154" s="48" t="n">
        <v>11</v>
      </c>
      <c r="BB154" s="48" t="n">
        <v>10</v>
      </c>
      <c r="BC154" s="48" t="n">
        <v>11</v>
      </c>
      <c r="BD154" s="48" t="n">
        <v>3</v>
      </c>
      <c r="BE154" s="48" t="n">
        <v>0</v>
      </c>
      <c r="BF154" s="48" t="n">
        <v>2</v>
      </c>
      <c r="BG154" s="49" t="n">
        <v>4.95</v>
      </c>
    </row>
    <row r="155" customFormat="false" ht="15" hidden="false" customHeight="false" outlineLevel="0" collapsed="false">
      <c r="A155" s="43" t="s">
        <v>546</v>
      </c>
      <c r="B155" s="43" t="s">
        <v>547</v>
      </c>
      <c r="C155" s="44" t="str">
        <f aca="false">IF(A155="","",IFERROR(INDEX(Assumptions!$B$41:$B$55,MATCH(TRUE(),INDEX(ISNUMBER(SEARCH(" "&amp;Assumptions!$A$41:$A$55&amp;" "," "&amp;SUBSTITUTE(SUBSTITUTE(SUBSTITUTE(SUBSTITUTE(B155,"-"," "),","," "),"/"," "),"."," ")&amp;" ")),0),0)),"Other"))</f>
        <v>Bags</v>
      </c>
      <c r="D155" s="45" t="n">
        <f aca="false">IF(A155="","",BG155*(1-Assumptions!$B$18))</f>
        <v>1.248</v>
      </c>
      <c r="E155" s="46" t="n">
        <f aca="false">IF(A155="","",INDEX(Assumptions!$B$23:$B$26,MOD(VALUE(LEFT(A155,5)),4)+1))</f>
        <v>8</v>
      </c>
      <c r="F155" s="47" t="n">
        <v>850</v>
      </c>
      <c r="G155" s="48" t="n">
        <v>0</v>
      </c>
      <c r="H155" s="48" t="n">
        <v>0</v>
      </c>
      <c r="I155" s="48" t="n">
        <v>0</v>
      </c>
      <c r="J155" s="48" t="n">
        <v>0</v>
      </c>
      <c r="K155" s="48" t="n">
        <v>0</v>
      </c>
      <c r="L155" s="48" t="n">
        <v>0</v>
      </c>
      <c r="M155" s="48" t="n">
        <v>0</v>
      </c>
      <c r="N155" s="48" t="n">
        <v>0</v>
      </c>
      <c r="O155" s="48" t="n">
        <v>0</v>
      </c>
      <c r="P155" s="48" t="n">
        <v>0</v>
      </c>
      <c r="Q155" s="48" t="n">
        <v>0</v>
      </c>
      <c r="R155" s="48" t="n">
        <v>0</v>
      </c>
      <c r="S155" s="48" t="n">
        <v>0</v>
      </c>
      <c r="T155" s="48" t="n">
        <v>0</v>
      </c>
      <c r="U155" s="48" t="n">
        <v>0</v>
      </c>
      <c r="V155" s="48" t="n">
        <v>0</v>
      </c>
      <c r="W155" s="48" t="n">
        <v>0</v>
      </c>
      <c r="X155" s="48" t="n">
        <v>0</v>
      </c>
      <c r="Y155" s="48" t="n">
        <v>0</v>
      </c>
      <c r="Z155" s="48" t="n">
        <v>0</v>
      </c>
      <c r="AA155" s="48" t="n">
        <v>0</v>
      </c>
      <c r="AB155" s="48" t="n">
        <v>0</v>
      </c>
      <c r="AC155" s="48" t="n">
        <v>0</v>
      </c>
      <c r="AD155" s="48" t="n">
        <v>0</v>
      </c>
      <c r="AE155" s="48" t="n">
        <v>0</v>
      </c>
      <c r="AF155" s="48" t="n">
        <v>0</v>
      </c>
      <c r="AG155" s="48" t="n">
        <v>0</v>
      </c>
      <c r="AH155" s="48" t="n">
        <v>7</v>
      </c>
      <c r="AI155" s="48" t="n">
        <v>112</v>
      </c>
      <c r="AJ155" s="48" t="n">
        <v>5</v>
      </c>
      <c r="AK155" s="48" t="n">
        <v>20</v>
      </c>
      <c r="AL155" s="48" t="n">
        <v>22</v>
      </c>
      <c r="AM155" s="48" t="n">
        <v>13</v>
      </c>
      <c r="AN155" s="48" t="n">
        <v>22</v>
      </c>
      <c r="AO155" s="48" t="n">
        <v>8</v>
      </c>
      <c r="AP155" s="48" t="n">
        <v>52</v>
      </c>
      <c r="AQ155" s="48" t="n">
        <v>307</v>
      </c>
      <c r="AR155" s="48" t="n">
        <v>108</v>
      </c>
      <c r="AS155" s="48" t="n">
        <v>44</v>
      </c>
      <c r="AT155" s="48" t="n">
        <v>95</v>
      </c>
      <c r="AU155" s="48" t="n">
        <v>368</v>
      </c>
      <c r="AV155" s="48" t="n">
        <v>286</v>
      </c>
      <c r="AW155" s="48" t="n">
        <v>532</v>
      </c>
      <c r="AX155" s="48" t="n">
        <v>286</v>
      </c>
      <c r="AY155" s="48" t="n">
        <v>122</v>
      </c>
      <c r="AZ155" s="48" t="n">
        <v>215</v>
      </c>
      <c r="BA155" s="48" t="n">
        <v>423</v>
      </c>
      <c r="BB155" s="48" t="n">
        <v>276</v>
      </c>
      <c r="BC155" s="48" t="n">
        <v>733</v>
      </c>
      <c r="BD155" s="48" t="n">
        <v>546</v>
      </c>
      <c r="BE155" s="48" t="n">
        <v>258</v>
      </c>
      <c r="BF155" s="48" t="n">
        <v>666</v>
      </c>
      <c r="BG155" s="49" t="n">
        <v>2.08</v>
      </c>
    </row>
    <row r="156" customFormat="false" ht="15" hidden="false" customHeight="false" outlineLevel="0" collapsed="false">
      <c r="A156" s="43" t="s">
        <v>548</v>
      </c>
      <c r="B156" s="43" t="s">
        <v>549</v>
      </c>
      <c r="C156" s="44" t="str">
        <f aca="false">IF(A156="","",IFERROR(INDEX(Assumptions!$B$41:$B$55,MATCH(TRUE(),INDEX(ISNUMBER(SEARCH(" "&amp;Assumptions!$A$41:$A$55&amp;" "," "&amp;SUBSTITUTE(SUBSTITUTE(SUBSTITUTE(SUBSTITUTE(B156,"-"," "),","," "),"/"," "),"."," ")&amp;" ")),0),0)),"Other"))</f>
        <v>Kitchen</v>
      </c>
      <c r="D156" s="45" t="n">
        <f aca="false">IF(A156="","",BG156*(1-Assumptions!$B$18))</f>
        <v>5.97</v>
      </c>
      <c r="E156" s="46" t="n">
        <f aca="false">IF(A156="","",INDEX(Assumptions!$B$23:$B$26,MOD(VALUE(LEFT(A156,5)),4)+1))</f>
        <v>2</v>
      </c>
      <c r="F156" s="47" t="n">
        <v>164</v>
      </c>
      <c r="G156" s="48" t="n">
        <v>43</v>
      </c>
      <c r="H156" s="48" t="n">
        <v>24</v>
      </c>
      <c r="I156" s="48" t="n">
        <v>5</v>
      </c>
      <c r="J156" s="48" t="n">
        <v>0</v>
      </c>
      <c r="K156" s="48" t="n">
        <v>28</v>
      </c>
      <c r="L156" s="48" t="n">
        <v>13</v>
      </c>
      <c r="M156" s="48" t="n">
        <v>29</v>
      </c>
      <c r="N156" s="48" t="n">
        <v>57</v>
      </c>
      <c r="O156" s="48" t="n">
        <v>22</v>
      </c>
      <c r="P156" s="48" t="n">
        <v>23</v>
      </c>
      <c r="Q156" s="48" t="n">
        <v>29</v>
      </c>
      <c r="R156" s="48" t="n">
        <v>37</v>
      </c>
      <c r="S156" s="48" t="n">
        <v>19</v>
      </c>
      <c r="T156" s="48" t="n">
        <v>40</v>
      </c>
      <c r="U156" s="48" t="n">
        <v>47</v>
      </c>
      <c r="V156" s="48" t="n">
        <v>33</v>
      </c>
      <c r="W156" s="48" t="n">
        <v>48</v>
      </c>
      <c r="X156" s="48" t="n">
        <v>28</v>
      </c>
      <c r="Y156" s="48" t="n">
        <v>24</v>
      </c>
      <c r="Z156" s="48" t="n">
        <v>15</v>
      </c>
      <c r="AA156" s="48" t="n">
        <v>14</v>
      </c>
      <c r="AB156" s="48" t="n">
        <v>36</v>
      </c>
      <c r="AC156" s="48" t="n">
        <v>13</v>
      </c>
      <c r="AD156" s="48" t="n">
        <v>49</v>
      </c>
      <c r="AE156" s="48" t="n">
        <v>24</v>
      </c>
      <c r="AF156" s="48" t="n">
        <v>52</v>
      </c>
      <c r="AG156" s="48" t="n">
        <v>16</v>
      </c>
      <c r="AH156" s="48" t="n">
        <v>15</v>
      </c>
      <c r="AI156" s="48" t="n">
        <v>20</v>
      </c>
      <c r="AJ156" s="48" t="n">
        <v>14</v>
      </c>
      <c r="AK156" s="48" t="n">
        <v>14</v>
      </c>
      <c r="AL156" s="48" t="n">
        <v>23</v>
      </c>
      <c r="AM156" s="48" t="n">
        <v>11</v>
      </c>
      <c r="AN156" s="48" t="n">
        <v>30</v>
      </c>
      <c r="AO156" s="48" t="n">
        <v>9</v>
      </c>
      <c r="AP156" s="48" t="n">
        <v>30</v>
      </c>
      <c r="AQ156" s="48" t="n">
        <v>2</v>
      </c>
      <c r="AR156" s="48" t="n">
        <v>7</v>
      </c>
      <c r="AS156" s="48" t="n">
        <v>7</v>
      </c>
      <c r="AT156" s="48" t="n">
        <v>13</v>
      </c>
      <c r="AU156" s="48" t="n">
        <v>28</v>
      </c>
      <c r="AV156" s="48" t="n">
        <v>24</v>
      </c>
      <c r="AW156" s="48" t="n">
        <v>22</v>
      </c>
      <c r="AX156" s="48" t="n">
        <v>14</v>
      </c>
      <c r="AY156" s="48" t="n">
        <v>17</v>
      </c>
      <c r="AZ156" s="48" t="n">
        <v>13</v>
      </c>
      <c r="BA156" s="48" t="n">
        <v>41</v>
      </c>
      <c r="BB156" s="48" t="n">
        <v>11</v>
      </c>
      <c r="BC156" s="48" t="n">
        <v>23</v>
      </c>
      <c r="BD156" s="48" t="n">
        <v>26</v>
      </c>
      <c r="BE156" s="48" t="n">
        <v>20</v>
      </c>
      <c r="BF156" s="48" t="n">
        <v>14</v>
      </c>
      <c r="BG156" s="49" t="n">
        <v>9.95</v>
      </c>
    </row>
    <row r="157" customFormat="false" ht="15" hidden="false" customHeight="false" outlineLevel="0" collapsed="false">
      <c r="A157" s="43" t="s">
        <v>550</v>
      </c>
      <c r="B157" s="43" t="s">
        <v>551</v>
      </c>
      <c r="C157" s="44" t="str">
        <f aca="false">IF(A157="","",IFERROR(INDEX(Assumptions!$B$41:$B$55,MATCH(TRUE(),INDEX(ISNUMBER(SEARCH(" "&amp;Assumptions!$A$41:$A$55&amp;" "," "&amp;SUBSTITUTE(SUBSTITUTE(SUBSTITUTE(SUBSTITUTE(B157,"-"," "),","," "),"/"," "),"."," ")&amp;" ")),0),0)),"Other"))</f>
        <v>Other</v>
      </c>
      <c r="D157" s="45" t="n">
        <f aca="false">IF(A157="","",BG157*(1-Assumptions!$B$18))</f>
        <v>3.57</v>
      </c>
      <c r="E157" s="46" t="n">
        <f aca="false">IF(A157="","",INDEX(Assumptions!$B$23:$B$26,MOD(VALUE(LEFT(A157,5)),4)+1))</f>
        <v>8</v>
      </c>
      <c r="F157" s="47" t="n">
        <v>120</v>
      </c>
      <c r="G157" s="48" t="n">
        <v>12</v>
      </c>
      <c r="H157" s="48" t="n">
        <v>3</v>
      </c>
      <c r="I157" s="48" t="n">
        <v>13</v>
      </c>
      <c r="J157" s="48" t="n">
        <v>0</v>
      </c>
      <c r="K157" s="48" t="n">
        <v>66</v>
      </c>
      <c r="L157" s="48" t="n">
        <v>10</v>
      </c>
      <c r="M157" s="48" t="n">
        <v>13</v>
      </c>
      <c r="N157" s="48" t="n">
        <v>50</v>
      </c>
      <c r="O157" s="48" t="n">
        <v>9</v>
      </c>
      <c r="P157" s="48" t="n">
        <v>41</v>
      </c>
      <c r="Q157" s="48" t="n">
        <v>50</v>
      </c>
      <c r="R157" s="48" t="n">
        <v>26</v>
      </c>
      <c r="S157" s="48" t="n">
        <v>43</v>
      </c>
      <c r="T157" s="48" t="n">
        <v>112</v>
      </c>
      <c r="U157" s="48" t="n">
        <v>130</v>
      </c>
      <c r="V157" s="48" t="n">
        <v>175</v>
      </c>
      <c r="W157" s="48" t="n">
        <v>183</v>
      </c>
      <c r="X157" s="48" t="n">
        <v>134</v>
      </c>
      <c r="Y157" s="48" t="n">
        <v>137</v>
      </c>
      <c r="Z157" s="48" t="n">
        <v>205</v>
      </c>
      <c r="AA157" s="48" t="n">
        <v>158</v>
      </c>
      <c r="AB157" s="48" t="n">
        <v>97</v>
      </c>
      <c r="AC157" s="48" t="n">
        <v>7</v>
      </c>
      <c r="AD157" s="48" t="n">
        <v>1</v>
      </c>
      <c r="AE157" s="48" t="n">
        <v>2</v>
      </c>
      <c r="AF157" s="48" t="n">
        <v>12</v>
      </c>
      <c r="AG157" s="48" t="n">
        <v>7</v>
      </c>
      <c r="AH157" s="48" t="n">
        <v>6</v>
      </c>
      <c r="AI157" s="48" t="n">
        <v>1</v>
      </c>
      <c r="AJ157" s="48" t="n">
        <v>46</v>
      </c>
      <c r="AK157" s="48" t="n">
        <v>57</v>
      </c>
      <c r="AL157" s="48" t="n">
        <v>96</v>
      </c>
      <c r="AM157" s="48" t="n">
        <v>23</v>
      </c>
      <c r="AN157" s="48" t="n">
        <v>6</v>
      </c>
      <c r="AO157" s="48" t="n">
        <v>5</v>
      </c>
      <c r="AP157" s="48" t="n">
        <v>6</v>
      </c>
      <c r="AQ157" s="48" t="n">
        <v>18</v>
      </c>
      <c r="AR157" s="48" t="n">
        <v>6</v>
      </c>
      <c r="AS157" s="48" t="n">
        <v>1</v>
      </c>
      <c r="AT157" s="48" t="n">
        <v>7</v>
      </c>
      <c r="AU157" s="48" t="n">
        <v>4</v>
      </c>
      <c r="AV157" s="48" t="n">
        <v>10</v>
      </c>
      <c r="AW157" s="48" t="n">
        <v>6</v>
      </c>
      <c r="AX157" s="48" t="n">
        <v>1</v>
      </c>
      <c r="AY157" s="48" t="n">
        <v>4</v>
      </c>
      <c r="AZ157" s="48" t="n">
        <v>11</v>
      </c>
      <c r="BA157" s="48" t="n">
        <v>1</v>
      </c>
      <c r="BB157" s="48" t="n">
        <v>6</v>
      </c>
      <c r="BC157" s="48" t="n">
        <v>8</v>
      </c>
      <c r="BD157" s="48" t="n">
        <v>13</v>
      </c>
      <c r="BE157" s="48" t="n">
        <v>14</v>
      </c>
      <c r="BF157" s="48" t="n">
        <v>21</v>
      </c>
      <c r="BG157" s="49" t="n">
        <v>5.95</v>
      </c>
    </row>
    <row r="158" customFormat="false" ht="15" hidden="false" customHeight="false" outlineLevel="0" collapsed="false">
      <c r="A158" s="43" t="s">
        <v>552</v>
      </c>
      <c r="B158" s="43" t="s">
        <v>553</v>
      </c>
      <c r="C158" s="44" t="str">
        <f aca="false">IF(A158="","",IFERROR(INDEX(Assumptions!$B$41:$B$55,MATCH(TRUE(),INDEX(ISNUMBER(SEARCH(" "&amp;Assumptions!$A$41:$A$55&amp;" "," "&amp;SUBSTITUTE(SUBSTITUTE(SUBSTITUTE(SUBSTITUTE(B158,"-"," "),","," "),"/"," "),"."," ")&amp;" ")),0),0)),"Other"))</f>
        <v>Other</v>
      </c>
      <c r="D158" s="45" t="n">
        <f aca="false">IF(A158="","",BG158*(1-Assumptions!$B$18))</f>
        <v>0.99</v>
      </c>
      <c r="E158" s="46" t="n">
        <f aca="false">IF(A158="","",INDEX(Assumptions!$B$23:$B$26,MOD(VALUE(LEFT(A158,5)),4)+1))</f>
        <v>6</v>
      </c>
      <c r="F158" s="47" t="n">
        <v>316</v>
      </c>
      <c r="G158" s="48" t="n">
        <v>430</v>
      </c>
      <c r="H158" s="48" t="n">
        <v>266</v>
      </c>
      <c r="I158" s="48" t="n">
        <v>254</v>
      </c>
      <c r="J158" s="48" t="n">
        <v>0</v>
      </c>
      <c r="K158" s="48" t="n">
        <v>125</v>
      </c>
      <c r="L158" s="48" t="n">
        <v>382</v>
      </c>
      <c r="M158" s="48" t="n">
        <v>68</v>
      </c>
      <c r="N158" s="48" t="n">
        <v>125</v>
      </c>
      <c r="O158" s="48" t="n">
        <v>139</v>
      </c>
      <c r="P158" s="48" t="n">
        <v>61</v>
      </c>
      <c r="Q158" s="48" t="n">
        <v>94</v>
      </c>
      <c r="R158" s="48" t="n">
        <v>118</v>
      </c>
      <c r="S158" s="48" t="n">
        <v>153</v>
      </c>
      <c r="T158" s="48" t="n">
        <v>106</v>
      </c>
      <c r="U158" s="48" t="n">
        <v>151</v>
      </c>
      <c r="V158" s="48" t="n">
        <v>204</v>
      </c>
      <c r="W158" s="48" t="n">
        <v>352</v>
      </c>
      <c r="X158" s="48" t="n">
        <v>230</v>
      </c>
      <c r="Y158" s="48" t="n">
        <v>165</v>
      </c>
      <c r="Z158" s="48" t="n">
        <v>97</v>
      </c>
      <c r="AA158" s="48" t="n">
        <v>56</v>
      </c>
      <c r="AB158" s="48" t="n">
        <v>141</v>
      </c>
      <c r="AC158" s="48" t="n">
        <v>396</v>
      </c>
      <c r="AD158" s="48" t="n">
        <v>170</v>
      </c>
      <c r="AE158" s="48" t="n">
        <v>81</v>
      </c>
      <c r="AF158" s="48" t="n">
        <v>66</v>
      </c>
      <c r="AG158" s="48" t="n">
        <v>141</v>
      </c>
      <c r="AH158" s="48" t="n">
        <v>296</v>
      </c>
      <c r="AI158" s="48" t="n">
        <v>76</v>
      </c>
      <c r="AJ158" s="48" t="n">
        <v>68</v>
      </c>
      <c r="AK158" s="48" t="n">
        <v>90</v>
      </c>
      <c r="AL158" s="48" t="n">
        <v>98</v>
      </c>
      <c r="AM158" s="48" t="n">
        <v>287</v>
      </c>
      <c r="AN158" s="48" t="n">
        <v>128</v>
      </c>
      <c r="AO158" s="48" t="n">
        <v>136</v>
      </c>
      <c r="AP158" s="48" t="n">
        <v>28</v>
      </c>
      <c r="AQ158" s="48" t="n">
        <v>143</v>
      </c>
      <c r="AR158" s="48" t="n">
        <v>89</v>
      </c>
      <c r="AS158" s="48" t="n">
        <v>82</v>
      </c>
      <c r="AT158" s="48" t="n">
        <v>289</v>
      </c>
      <c r="AU158" s="48" t="n">
        <v>211</v>
      </c>
      <c r="AV158" s="48" t="n">
        <v>258</v>
      </c>
      <c r="AW158" s="48" t="n">
        <v>187</v>
      </c>
      <c r="AX158" s="48" t="n">
        <v>75</v>
      </c>
      <c r="AY158" s="48" t="n">
        <v>26</v>
      </c>
      <c r="AZ158" s="48" t="n">
        <v>248</v>
      </c>
      <c r="BA158" s="48" t="n">
        <v>146</v>
      </c>
      <c r="BB158" s="48" t="n">
        <v>196</v>
      </c>
      <c r="BC158" s="48" t="n">
        <v>131</v>
      </c>
      <c r="BD158" s="48" t="n">
        <v>38</v>
      </c>
      <c r="BE158" s="48" t="n">
        <v>151</v>
      </c>
      <c r="BF158" s="48" t="n">
        <v>178</v>
      </c>
      <c r="BG158" s="49" t="n">
        <v>1.65</v>
      </c>
    </row>
    <row r="159" customFormat="false" ht="15" hidden="false" customHeight="false" outlineLevel="0" collapsed="false">
      <c r="A159" s="43" t="s">
        <v>554</v>
      </c>
      <c r="B159" s="43" t="s">
        <v>555</v>
      </c>
      <c r="C159" s="44" t="str">
        <f aca="false">IF(A159="","",IFERROR(INDEX(Assumptions!$B$41:$B$55,MATCH(TRUE(),INDEX(ISNUMBER(SEARCH(" "&amp;Assumptions!$A$41:$A$55&amp;" "," "&amp;SUBSTITUTE(SUBSTITUTE(SUBSTITUTE(SUBSTITUTE(B159,"-"," "),","," "),"/"," "),"."," ")&amp;" ")),0),0)),"Other"))</f>
        <v>Other</v>
      </c>
      <c r="D159" s="45" t="n">
        <f aca="false">IF(A159="","",BG159*(1-Assumptions!$B$18))</f>
        <v>3.57</v>
      </c>
      <c r="E159" s="46" t="n">
        <f aca="false">IF(A159="","",INDEX(Assumptions!$B$23:$B$26,MOD(VALUE(LEFT(A159,5)),4)+1))</f>
        <v>8</v>
      </c>
      <c r="F159" s="47" t="n">
        <v>645</v>
      </c>
      <c r="G159" s="48" t="n">
        <v>16</v>
      </c>
      <c r="H159" s="48" t="n">
        <v>18</v>
      </c>
      <c r="I159" s="48" t="n">
        <v>6</v>
      </c>
      <c r="J159" s="48" t="n">
        <v>0</v>
      </c>
      <c r="K159" s="48" t="n">
        <v>23</v>
      </c>
      <c r="L159" s="48" t="n">
        <v>4</v>
      </c>
      <c r="M159" s="48" t="n">
        <v>55</v>
      </c>
      <c r="N159" s="48" t="n">
        <v>18</v>
      </c>
      <c r="O159" s="48" t="n">
        <v>30</v>
      </c>
      <c r="P159" s="48" t="n">
        <v>17</v>
      </c>
      <c r="Q159" s="48" t="n">
        <v>11</v>
      </c>
      <c r="R159" s="48" t="n">
        <v>38</v>
      </c>
      <c r="S159" s="48" t="n">
        <v>33</v>
      </c>
      <c r="T159" s="48" t="n">
        <v>30</v>
      </c>
      <c r="U159" s="48" t="n">
        <v>23</v>
      </c>
      <c r="V159" s="48" t="n">
        <v>56</v>
      </c>
      <c r="W159" s="48" t="n">
        <v>45</v>
      </c>
      <c r="X159" s="48" t="n">
        <v>83</v>
      </c>
      <c r="Y159" s="48" t="n">
        <v>70</v>
      </c>
      <c r="Z159" s="48" t="n">
        <v>80</v>
      </c>
      <c r="AA159" s="48" t="n">
        <v>34</v>
      </c>
      <c r="AB159" s="48" t="n">
        <v>57</v>
      </c>
      <c r="AC159" s="48" t="n">
        <v>53</v>
      </c>
      <c r="AD159" s="48" t="n">
        <v>80</v>
      </c>
      <c r="AE159" s="48" t="n">
        <v>39</v>
      </c>
      <c r="AF159" s="48" t="n">
        <v>89</v>
      </c>
      <c r="AG159" s="48" t="n">
        <v>123</v>
      </c>
      <c r="AH159" s="48" t="n">
        <v>44</v>
      </c>
      <c r="AI159" s="48" t="n">
        <v>74</v>
      </c>
      <c r="AJ159" s="48" t="n">
        <v>56</v>
      </c>
      <c r="AK159" s="48" t="n">
        <v>81</v>
      </c>
      <c r="AL159" s="48" t="n">
        <v>29</v>
      </c>
      <c r="AM159" s="48" t="n">
        <v>64</v>
      </c>
      <c r="AN159" s="48" t="n">
        <v>35</v>
      </c>
      <c r="AO159" s="48" t="n">
        <v>53</v>
      </c>
      <c r="AP159" s="48" t="n">
        <v>39</v>
      </c>
      <c r="AQ159" s="48" t="n">
        <v>29</v>
      </c>
      <c r="AR159" s="48" t="n">
        <v>116</v>
      </c>
      <c r="AS159" s="48" t="n">
        <v>14</v>
      </c>
      <c r="AT159" s="48" t="n">
        <v>36</v>
      </c>
      <c r="AU159" s="48" t="n">
        <v>26</v>
      </c>
      <c r="AV159" s="48" t="n">
        <v>26</v>
      </c>
      <c r="AW159" s="48" t="n">
        <v>57</v>
      </c>
      <c r="AX159" s="48" t="n">
        <v>66</v>
      </c>
      <c r="AY159" s="48" t="n">
        <v>87</v>
      </c>
      <c r="AZ159" s="48" t="n">
        <v>22</v>
      </c>
      <c r="BA159" s="48" t="n">
        <v>0</v>
      </c>
      <c r="BB159" s="48" t="n">
        <v>0</v>
      </c>
      <c r="BC159" s="48" t="n">
        <v>0</v>
      </c>
      <c r="BD159" s="48" t="n">
        <v>0</v>
      </c>
      <c r="BE159" s="48" t="n">
        <v>0</v>
      </c>
      <c r="BF159" s="48" t="n">
        <v>12</v>
      </c>
      <c r="BG159" s="49" t="n">
        <v>5.95</v>
      </c>
    </row>
    <row r="160" customFormat="false" ht="15" hidden="false" customHeight="false" outlineLevel="0" collapsed="false">
      <c r="A160" s="43" t="s">
        <v>556</v>
      </c>
      <c r="B160" s="43" t="s">
        <v>557</v>
      </c>
      <c r="C160" s="44" t="str">
        <f aca="false">IF(A160="","",IFERROR(INDEX(Assumptions!$B$41:$B$55,MATCH(TRUE(),INDEX(ISNUMBER(SEARCH(" "&amp;Assumptions!$A$41:$A$55&amp;" "," "&amp;SUBSTITUTE(SUBSTITUTE(SUBSTITUTE(SUBSTITUTE(B160,"-"," "),","," "),"/"," "),"."," ")&amp;" ")),0),0)),"Other"))</f>
        <v>Other</v>
      </c>
      <c r="D160" s="45" t="n">
        <f aca="false">IF(A160="","",BG160*(1-Assumptions!$B$18))</f>
        <v>1.26</v>
      </c>
      <c r="E160" s="46" t="n">
        <f aca="false">IF(A160="","",INDEX(Assumptions!$B$23:$B$26,MOD(VALUE(LEFT(A160,5)),4)+1))</f>
        <v>2</v>
      </c>
      <c r="F160" s="47" t="n">
        <v>667</v>
      </c>
      <c r="G160" s="48" t="n">
        <v>188</v>
      </c>
      <c r="H160" s="48" t="n">
        <v>89</v>
      </c>
      <c r="I160" s="48" t="n">
        <v>90</v>
      </c>
      <c r="J160" s="48" t="n">
        <v>0</v>
      </c>
      <c r="K160" s="48" t="n">
        <v>85</v>
      </c>
      <c r="L160" s="48" t="n">
        <v>100</v>
      </c>
      <c r="M160" s="48" t="n">
        <v>23</v>
      </c>
      <c r="N160" s="48" t="n">
        <v>71</v>
      </c>
      <c r="O160" s="48" t="n">
        <v>76</v>
      </c>
      <c r="P160" s="48" t="n">
        <v>60</v>
      </c>
      <c r="Q160" s="48" t="n">
        <v>73</v>
      </c>
      <c r="R160" s="48" t="n">
        <v>59</v>
      </c>
      <c r="S160" s="48" t="n">
        <v>56</v>
      </c>
      <c r="T160" s="48" t="n">
        <v>95</v>
      </c>
      <c r="U160" s="48" t="n">
        <v>189</v>
      </c>
      <c r="V160" s="48" t="n">
        <v>80</v>
      </c>
      <c r="W160" s="48" t="n">
        <v>168</v>
      </c>
      <c r="X160" s="48" t="n">
        <v>6</v>
      </c>
      <c r="Y160" s="48" t="n">
        <v>170</v>
      </c>
      <c r="Z160" s="48" t="n">
        <v>52</v>
      </c>
      <c r="AA160" s="48" t="n">
        <v>15</v>
      </c>
      <c r="AB160" s="48" t="n">
        <v>118</v>
      </c>
      <c r="AC160" s="48" t="n">
        <v>84</v>
      </c>
      <c r="AD160" s="48" t="n">
        <v>119</v>
      </c>
      <c r="AE160" s="48" t="n">
        <v>98</v>
      </c>
      <c r="AF160" s="48" t="n">
        <v>97</v>
      </c>
      <c r="AG160" s="48" t="n">
        <v>27</v>
      </c>
      <c r="AH160" s="48" t="n">
        <v>46</v>
      </c>
      <c r="AI160" s="48" t="n">
        <v>108</v>
      </c>
      <c r="AJ160" s="48" t="n">
        <v>102</v>
      </c>
      <c r="AK160" s="48" t="n">
        <v>72</v>
      </c>
      <c r="AL160" s="48" t="n">
        <v>275</v>
      </c>
      <c r="AM160" s="48" t="n">
        <v>131</v>
      </c>
      <c r="AN160" s="48" t="n">
        <v>163</v>
      </c>
      <c r="AO160" s="48" t="n">
        <v>112</v>
      </c>
      <c r="AP160" s="48" t="n">
        <v>90</v>
      </c>
      <c r="AQ160" s="48" t="n">
        <v>140</v>
      </c>
      <c r="AR160" s="48" t="n">
        <v>185</v>
      </c>
      <c r="AS160" s="48" t="n">
        <v>45</v>
      </c>
      <c r="AT160" s="48" t="n">
        <v>213</v>
      </c>
      <c r="AU160" s="48" t="n">
        <v>85</v>
      </c>
      <c r="AV160" s="48" t="n">
        <v>609</v>
      </c>
      <c r="AW160" s="48" t="n">
        <v>82</v>
      </c>
      <c r="AX160" s="48" t="n">
        <v>4</v>
      </c>
      <c r="AY160" s="48" t="n">
        <v>0</v>
      </c>
      <c r="AZ160" s="48" t="n">
        <v>0</v>
      </c>
      <c r="BA160" s="48" t="n">
        <v>0</v>
      </c>
      <c r="BB160" s="48" t="n">
        <v>0</v>
      </c>
      <c r="BC160" s="48" t="n">
        <v>0</v>
      </c>
      <c r="BD160" s="48" t="n">
        <v>0</v>
      </c>
      <c r="BE160" s="48" t="n">
        <v>9</v>
      </c>
      <c r="BF160" s="48" t="n">
        <v>1022</v>
      </c>
      <c r="BG160" s="49" t="n">
        <v>2.1</v>
      </c>
    </row>
    <row r="161" customFormat="false" ht="15" hidden="false" customHeight="false" outlineLevel="0" collapsed="false">
      <c r="A161" s="43" t="s">
        <v>558</v>
      </c>
      <c r="B161" s="43" t="s">
        <v>559</v>
      </c>
      <c r="C161" s="44" t="str">
        <f aca="false">IF(A161="","",IFERROR(INDEX(Assumptions!$B$41:$B$55,MATCH(TRUE(),INDEX(ISNUMBER(SEARCH(" "&amp;Assumptions!$A$41:$A$55&amp;" "," "&amp;SUBSTITUTE(SUBSTITUTE(SUBSTITUTE(SUBSTITUTE(B161,"-"," "),","," "),"/"," "),"."," ")&amp;" ")),0),0)),"Other"))</f>
        <v>Other</v>
      </c>
      <c r="D161" s="45" t="n">
        <f aca="false">IF(A161="","",BG161*(1-Assumptions!$B$18))</f>
        <v>5.97</v>
      </c>
      <c r="E161" s="46" t="n">
        <f aca="false">IF(A161="","",INDEX(Assumptions!$B$23:$B$26,MOD(VALUE(LEFT(A161,5)),4)+1))</f>
        <v>8</v>
      </c>
      <c r="F161" s="47" t="n">
        <v>75</v>
      </c>
      <c r="G161" s="48" t="n">
        <v>14</v>
      </c>
      <c r="H161" s="48" t="n">
        <v>15</v>
      </c>
      <c r="I161" s="48" t="n">
        <v>3</v>
      </c>
      <c r="J161" s="48" t="n">
        <v>0</v>
      </c>
      <c r="K161" s="48" t="n">
        <v>3</v>
      </c>
      <c r="L161" s="48" t="n">
        <v>2</v>
      </c>
      <c r="M161" s="48" t="n">
        <v>2</v>
      </c>
      <c r="N161" s="48" t="n">
        <v>26</v>
      </c>
      <c r="O161" s="48" t="n">
        <v>12</v>
      </c>
      <c r="P161" s="48" t="n">
        <v>17</v>
      </c>
      <c r="Q161" s="48" t="n">
        <v>33</v>
      </c>
      <c r="R161" s="48" t="n">
        <v>48</v>
      </c>
      <c r="S161" s="48" t="n">
        <v>25</v>
      </c>
      <c r="T161" s="48" t="n">
        <v>15</v>
      </c>
      <c r="U161" s="48" t="n">
        <v>8</v>
      </c>
      <c r="V161" s="48" t="n">
        <v>21</v>
      </c>
      <c r="W161" s="48" t="n">
        <v>20</v>
      </c>
      <c r="X161" s="48" t="n">
        <v>23</v>
      </c>
      <c r="Y161" s="48" t="n">
        <v>116</v>
      </c>
      <c r="Z161" s="48" t="n">
        <v>39</v>
      </c>
      <c r="AA161" s="48" t="n">
        <v>8</v>
      </c>
      <c r="AB161" s="48" t="n">
        <v>52</v>
      </c>
      <c r="AC161" s="48" t="n">
        <v>167</v>
      </c>
      <c r="AD161" s="48" t="n">
        <v>26</v>
      </c>
      <c r="AE161" s="48" t="n">
        <v>22</v>
      </c>
      <c r="AF161" s="48" t="n">
        <v>127</v>
      </c>
      <c r="AG161" s="48" t="n">
        <v>23</v>
      </c>
      <c r="AH161" s="48" t="n">
        <v>21</v>
      </c>
      <c r="AI161" s="48" t="n">
        <v>43</v>
      </c>
      <c r="AJ161" s="48" t="n">
        <v>36</v>
      </c>
      <c r="AK161" s="48" t="n">
        <v>20</v>
      </c>
      <c r="AL161" s="48" t="n">
        <v>32</v>
      </c>
      <c r="AM161" s="48" t="n">
        <v>33</v>
      </c>
      <c r="AN161" s="48" t="n">
        <v>33</v>
      </c>
      <c r="AO161" s="48" t="n">
        <v>6</v>
      </c>
      <c r="AP161" s="48" t="n">
        <v>43</v>
      </c>
      <c r="AQ161" s="48" t="n">
        <v>17</v>
      </c>
      <c r="AR161" s="48" t="n">
        <v>17</v>
      </c>
      <c r="AS161" s="48" t="n">
        <v>5</v>
      </c>
      <c r="AT161" s="48" t="n">
        <v>17</v>
      </c>
      <c r="AU161" s="48" t="n">
        <v>2</v>
      </c>
      <c r="AV161" s="48" t="n">
        <v>7</v>
      </c>
      <c r="AW161" s="48" t="n">
        <v>2</v>
      </c>
      <c r="AX161" s="48" t="n">
        <v>1</v>
      </c>
      <c r="AY161" s="48" t="n">
        <v>6</v>
      </c>
      <c r="AZ161" s="48" t="n">
        <v>0</v>
      </c>
      <c r="BA161" s="48" t="n">
        <v>7</v>
      </c>
      <c r="BB161" s="48" t="n">
        <v>11</v>
      </c>
      <c r="BC161" s="48" t="n">
        <v>13</v>
      </c>
      <c r="BD161" s="48" t="n">
        <v>14</v>
      </c>
      <c r="BE161" s="48" t="n">
        <v>13</v>
      </c>
      <c r="BF161" s="48" t="n">
        <v>37</v>
      </c>
      <c r="BG161" s="49" t="n">
        <v>9.95</v>
      </c>
    </row>
    <row r="162" customFormat="false" ht="15" hidden="false" customHeight="false" outlineLevel="0" collapsed="false">
      <c r="A162" s="43" t="s">
        <v>560</v>
      </c>
      <c r="B162" s="43" t="s">
        <v>561</v>
      </c>
      <c r="C162" s="44" t="str">
        <f aca="false">IF(A162="","",IFERROR(INDEX(Assumptions!$B$41:$B$55,MATCH(TRUE(),INDEX(ISNUMBER(SEARCH(" "&amp;Assumptions!$A$41:$A$55&amp;" "," "&amp;SUBSTITUTE(SUBSTITUTE(SUBSTITUTE(SUBSTITUTE(B162,"-"," "),","," "),"/"," "),"."," ")&amp;" ")),0),0)),"Other"))</f>
        <v>Other</v>
      </c>
      <c r="D162" s="45" t="n">
        <f aca="false">IF(A162="","",BG162*(1-Assumptions!$B$18))</f>
        <v>2.25</v>
      </c>
      <c r="E162" s="46" t="n">
        <f aca="false">IF(A162="","",INDEX(Assumptions!$B$23:$B$26,MOD(VALUE(LEFT(A162,5)),4)+1))</f>
        <v>2</v>
      </c>
      <c r="F162" s="47" t="n">
        <v>1831</v>
      </c>
      <c r="G162" s="48" t="n">
        <v>0</v>
      </c>
      <c r="H162" s="48" t="n">
        <v>0</v>
      </c>
      <c r="I162" s="48" t="n">
        <v>0</v>
      </c>
      <c r="J162" s="48" t="n">
        <v>0</v>
      </c>
      <c r="K162" s="48" t="n">
        <v>0</v>
      </c>
      <c r="L162" s="48" t="n">
        <v>0</v>
      </c>
      <c r="M162" s="48" t="n">
        <v>0</v>
      </c>
      <c r="N162" s="48" t="n">
        <v>0</v>
      </c>
      <c r="O162" s="48" t="n">
        <v>0</v>
      </c>
      <c r="P162" s="48" t="n">
        <v>0</v>
      </c>
      <c r="Q162" s="48" t="n">
        <v>0</v>
      </c>
      <c r="R162" s="48" t="n">
        <v>0</v>
      </c>
      <c r="S162" s="48" t="n">
        <v>0</v>
      </c>
      <c r="T162" s="48" t="n">
        <v>0</v>
      </c>
      <c r="U162" s="48" t="n">
        <v>0</v>
      </c>
      <c r="V162" s="48" t="n">
        <v>0</v>
      </c>
      <c r="W162" s="48" t="n">
        <v>0</v>
      </c>
      <c r="X162" s="48" t="n">
        <v>0</v>
      </c>
      <c r="Y162" s="48" t="n">
        <v>0</v>
      </c>
      <c r="Z162" s="48" t="n">
        <v>0</v>
      </c>
      <c r="AA162" s="48" t="n">
        <v>0</v>
      </c>
      <c r="AB162" s="48" t="n">
        <v>0</v>
      </c>
      <c r="AC162" s="48" t="n">
        <v>0</v>
      </c>
      <c r="AD162" s="48" t="n">
        <v>0</v>
      </c>
      <c r="AE162" s="48" t="n">
        <v>0</v>
      </c>
      <c r="AF162" s="48" t="n">
        <v>0</v>
      </c>
      <c r="AG162" s="48" t="n">
        <v>0</v>
      </c>
      <c r="AH162" s="48" t="n">
        <v>0</v>
      </c>
      <c r="AI162" s="48" t="n">
        <v>0</v>
      </c>
      <c r="AJ162" s="48" t="n">
        <v>0</v>
      </c>
      <c r="AK162" s="48" t="n">
        <v>0</v>
      </c>
      <c r="AL162" s="48" t="n">
        <v>0</v>
      </c>
      <c r="AM162" s="48" t="n">
        <v>0</v>
      </c>
      <c r="AN162" s="48" t="n">
        <v>0</v>
      </c>
      <c r="AO162" s="48" t="n">
        <v>0</v>
      </c>
      <c r="AP162" s="48" t="n">
        <v>57</v>
      </c>
      <c r="AQ162" s="48" t="n">
        <v>336</v>
      </c>
      <c r="AR162" s="48" t="n">
        <v>71</v>
      </c>
      <c r="AS162" s="48" t="n">
        <v>114</v>
      </c>
      <c r="AT162" s="48" t="n">
        <v>82</v>
      </c>
      <c r="AU162" s="48" t="n">
        <v>101</v>
      </c>
      <c r="AV162" s="48" t="n">
        <v>189</v>
      </c>
      <c r="AW162" s="48" t="n">
        <v>148</v>
      </c>
      <c r="AX162" s="48" t="n">
        <v>146</v>
      </c>
      <c r="AY162" s="48" t="n">
        <v>101</v>
      </c>
      <c r="AZ162" s="48" t="n">
        <v>72</v>
      </c>
      <c r="BA162" s="48" t="n">
        <v>183</v>
      </c>
      <c r="BB162" s="48" t="n">
        <v>90</v>
      </c>
      <c r="BC162" s="48" t="n">
        <v>168</v>
      </c>
      <c r="BD162" s="48" t="n">
        <v>278</v>
      </c>
      <c r="BE162" s="48" t="n">
        <v>266</v>
      </c>
      <c r="BF162" s="48" t="n">
        <v>243</v>
      </c>
      <c r="BG162" s="49" t="n">
        <v>3.75</v>
      </c>
    </row>
    <row r="163" customFormat="false" ht="15" hidden="false" customHeight="false" outlineLevel="0" collapsed="false">
      <c r="A163" s="43" t="s">
        <v>562</v>
      </c>
      <c r="B163" s="43" t="s">
        <v>563</v>
      </c>
      <c r="C163" s="44" t="str">
        <f aca="false">IF(A163="","",IFERROR(INDEX(Assumptions!$B$41:$B$55,MATCH(TRUE(),INDEX(ISNUMBER(SEARCH(" "&amp;Assumptions!$A$41:$A$55&amp;" "," "&amp;SUBSTITUTE(SUBSTITUTE(SUBSTITUTE(SUBSTITUTE(B163,"-"," "),","," "),"/"," "),"."," ")&amp;" ")),0),0)),"Other"))</f>
        <v>Other</v>
      </c>
      <c r="D163" s="45" t="n">
        <f aca="false">IF(A163="","",BG163*(1-Assumptions!$B$18))</f>
        <v>2.49</v>
      </c>
      <c r="E163" s="46" t="n">
        <f aca="false">IF(A163="","",INDEX(Assumptions!$B$23:$B$26,MOD(VALUE(LEFT(A163,5)),4)+1))</f>
        <v>6</v>
      </c>
      <c r="F163" s="47" t="n">
        <v>2219</v>
      </c>
      <c r="G163" s="48" t="n">
        <v>0</v>
      </c>
      <c r="H163" s="48" t="n">
        <v>0</v>
      </c>
      <c r="I163" s="48" t="n">
        <v>0</v>
      </c>
      <c r="J163" s="48" t="n">
        <v>0</v>
      </c>
      <c r="K163" s="48" t="n">
        <v>0</v>
      </c>
      <c r="L163" s="48" t="n">
        <v>0</v>
      </c>
      <c r="M163" s="48" t="n">
        <v>0</v>
      </c>
      <c r="N163" s="48" t="n">
        <v>0</v>
      </c>
      <c r="O163" s="48" t="n">
        <v>0</v>
      </c>
      <c r="P163" s="48" t="n">
        <v>0</v>
      </c>
      <c r="Q163" s="48" t="n">
        <v>0</v>
      </c>
      <c r="R163" s="48" t="n">
        <v>0</v>
      </c>
      <c r="S163" s="48" t="n">
        <v>0</v>
      </c>
      <c r="T163" s="48" t="n">
        <v>0</v>
      </c>
      <c r="U163" s="48" t="n">
        <v>0</v>
      </c>
      <c r="V163" s="48" t="n">
        <v>0</v>
      </c>
      <c r="W163" s="48" t="n">
        <v>0</v>
      </c>
      <c r="X163" s="48" t="n">
        <v>0</v>
      </c>
      <c r="Y163" s="48" t="n">
        <v>0</v>
      </c>
      <c r="Z163" s="48" t="n">
        <v>0</v>
      </c>
      <c r="AA163" s="48" t="n">
        <v>0</v>
      </c>
      <c r="AB163" s="48" t="n">
        <v>0</v>
      </c>
      <c r="AC163" s="48" t="n">
        <v>121</v>
      </c>
      <c r="AD163" s="48" t="n">
        <v>205</v>
      </c>
      <c r="AE163" s="48" t="n">
        <v>145</v>
      </c>
      <c r="AF163" s="48" t="n">
        <v>140</v>
      </c>
      <c r="AG163" s="48" t="n">
        <v>43</v>
      </c>
      <c r="AH163" s="48" t="n">
        <v>164</v>
      </c>
      <c r="AI163" s="48" t="n">
        <v>41</v>
      </c>
      <c r="AJ163" s="48" t="n">
        <v>710</v>
      </c>
      <c r="AK163" s="48" t="n">
        <v>57</v>
      </c>
      <c r="AL163" s="48" t="n">
        <v>34</v>
      </c>
      <c r="AM163" s="48" t="n">
        <v>84</v>
      </c>
      <c r="AN163" s="48" t="n">
        <v>464</v>
      </c>
      <c r="AO163" s="48" t="n">
        <v>100</v>
      </c>
      <c r="AP163" s="48" t="n">
        <v>16</v>
      </c>
      <c r="AQ163" s="48" t="n">
        <v>47</v>
      </c>
      <c r="AR163" s="48" t="n">
        <v>18</v>
      </c>
      <c r="AS163" s="48" t="n">
        <v>45</v>
      </c>
      <c r="AT163" s="48" t="n">
        <v>69</v>
      </c>
      <c r="AU163" s="48" t="n">
        <v>116</v>
      </c>
      <c r="AV163" s="48" t="n">
        <v>36</v>
      </c>
      <c r="AW163" s="48" t="n">
        <v>106</v>
      </c>
      <c r="AX163" s="48" t="n">
        <v>13</v>
      </c>
      <c r="AY163" s="48" t="n">
        <v>43</v>
      </c>
      <c r="AZ163" s="48" t="n">
        <v>71</v>
      </c>
      <c r="BA163" s="48" t="n">
        <v>8</v>
      </c>
      <c r="BB163" s="48" t="n">
        <v>33</v>
      </c>
      <c r="BC163" s="48" t="n">
        <v>15</v>
      </c>
      <c r="BD163" s="48" t="n">
        <v>45</v>
      </c>
      <c r="BE163" s="48" t="n">
        <v>16</v>
      </c>
      <c r="BF163" s="48" t="n">
        <v>32</v>
      </c>
      <c r="BG163" s="49" t="n">
        <v>4.15</v>
      </c>
    </row>
    <row r="164" customFormat="false" ht="15" hidden="false" customHeight="false" outlineLevel="0" collapsed="false">
      <c r="A164" s="43" t="s">
        <v>564</v>
      </c>
      <c r="B164" s="43" t="s">
        <v>565</v>
      </c>
      <c r="C164" s="44" t="str">
        <f aca="false">IF(A164="","",IFERROR(INDEX(Assumptions!$B$41:$B$55,MATCH(TRUE(),INDEX(ISNUMBER(SEARCH(" "&amp;Assumptions!$A$41:$A$55&amp;" "," "&amp;SUBSTITUTE(SUBSTITUTE(SUBSTITUTE(SUBSTITUTE(B164,"-"," "),","," "),"/"," "),"."," ")&amp;" ")),0),0)),"Other"))</f>
        <v>Other</v>
      </c>
      <c r="D164" s="45" t="n">
        <f aca="false">IF(A164="","",BG164*(1-Assumptions!$B$18))</f>
        <v>3.57</v>
      </c>
      <c r="E164" s="46" t="n">
        <f aca="false">IF(A164="","",INDEX(Assumptions!$B$23:$B$26,MOD(VALUE(LEFT(A164,5)),4)+1))</f>
        <v>8</v>
      </c>
      <c r="F164" s="47" t="n">
        <v>1333</v>
      </c>
      <c r="G164" s="48" t="n">
        <v>64</v>
      </c>
      <c r="H164" s="48" t="n">
        <v>29</v>
      </c>
      <c r="I164" s="48" t="n">
        <v>12</v>
      </c>
      <c r="J164" s="48" t="n">
        <v>0</v>
      </c>
      <c r="K164" s="48" t="n">
        <v>97</v>
      </c>
      <c r="L164" s="48" t="n">
        <v>87</v>
      </c>
      <c r="M164" s="48" t="n">
        <v>68</v>
      </c>
      <c r="N164" s="48" t="n">
        <v>73</v>
      </c>
      <c r="O164" s="48" t="n">
        <v>95</v>
      </c>
      <c r="P164" s="48" t="n">
        <v>55</v>
      </c>
      <c r="Q164" s="48" t="n">
        <v>25</v>
      </c>
      <c r="R164" s="48" t="n">
        <v>28</v>
      </c>
      <c r="S164" s="48" t="n">
        <v>40</v>
      </c>
      <c r="T164" s="48" t="n">
        <v>25</v>
      </c>
      <c r="U164" s="48" t="n">
        <v>18</v>
      </c>
      <c r="V164" s="48" t="n">
        <v>9</v>
      </c>
      <c r="W164" s="48" t="n">
        <v>52</v>
      </c>
      <c r="X164" s="48" t="n">
        <v>33</v>
      </c>
      <c r="Y164" s="48" t="n">
        <v>39</v>
      </c>
      <c r="Z164" s="48" t="n">
        <v>11</v>
      </c>
      <c r="AA164" s="48" t="n">
        <v>43</v>
      </c>
      <c r="AB164" s="48" t="n">
        <v>45</v>
      </c>
      <c r="AC164" s="48" t="n">
        <v>62</v>
      </c>
      <c r="AD164" s="48" t="n">
        <v>76</v>
      </c>
      <c r="AE164" s="48" t="n">
        <v>16</v>
      </c>
      <c r="AF164" s="48" t="n">
        <v>42</v>
      </c>
      <c r="AG164" s="48" t="n">
        <v>58</v>
      </c>
      <c r="AH164" s="48" t="n">
        <v>21</v>
      </c>
      <c r="AI164" s="48" t="n">
        <v>54</v>
      </c>
      <c r="AJ164" s="48" t="n">
        <v>25</v>
      </c>
      <c r="AK164" s="48" t="n">
        <v>6</v>
      </c>
      <c r="AL164" s="48" t="n">
        <v>24</v>
      </c>
      <c r="AM164" s="48" t="n">
        <v>23</v>
      </c>
      <c r="AN164" s="48" t="n">
        <v>18</v>
      </c>
      <c r="AO164" s="48" t="n">
        <v>23</v>
      </c>
      <c r="AP164" s="48" t="n">
        <v>14</v>
      </c>
      <c r="AQ164" s="48" t="n">
        <v>52</v>
      </c>
      <c r="AR164" s="48" t="n">
        <v>22</v>
      </c>
      <c r="AS164" s="48" t="n">
        <v>57</v>
      </c>
      <c r="AT164" s="48" t="n">
        <v>48</v>
      </c>
      <c r="AU164" s="48" t="n">
        <v>23</v>
      </c>
      <c r="AV164" s="48" t="n">
        <v>30</v>
      </c>
      <c r="AW164" s="48" t="n">
        <v>35</v>
      </c>
      <c r="AX164" s="48" t="n">
        <v>36</v>
      </c>
      <c r="AY164" s="48" t="n">
        <v>13</v>
      </c>
      <c r="AZ164" s="48" t="n">
        <v>44</v>
      </c>
      <c r="BA164" s="48" t="n">
        <v>5</v>
      </c>
      <c r="BB164" s="48" t="n">
        <v>93</v>
      </c>
      <c r="BC164" s="48" t="n">
        <v>14</v>
      </c>
      <c r="BD164" s="48" t="n">
        <v>33</v>
      </c>
      <c r="BE164" s="48" t="n">
        <v>31</v>
      </c>
      <c r="BF164" s="48" t="n">
        <v>34</v>
      </c>
      <c r="BG164" s="49" t="n">
        <v>5.95</v>
      </c>
    </row>
    <row r="165" customFormat="false" ht="15" hidden="false" customHeight="false" outlineLevel="0" collapsed="false">
      <c r="A165" s="43" t="s">
        <v>566</v>
      </c>
      <c r="B165" s="43" t="s">
        <v>567</v>
      </c>
      <c r="C165" s="44" t="str">
        <f aca="false">IF(A165="","",IFERROR(INDEX(Assumptions!$B$41:$B$55,MATCH(TRUE(),INDEX(ISNUMBER(SEARCH(" "&amp;Assumptions!$A$41:$A$55&amp;" "," "&amp;SUBSTITUTE(SUBSTITUTE(SUBSTITUTE(SUBSTITUTE(B165,"-"," "),","," "),"/"," "),"."," ")&amp;" ")),0),0)),"Other"))</f>
        <v>Other</v>
      </c>
      <c r="D165" s="45" t="n">
        <f aca="false">IF(A165="","",BG165*(1-Assumptions!$B$18))</f>
        <v>1.26</v>
      </c>
      <c r="E165" s="46" t="n">
        <f aca="false">IF(A165="","",INDEX(Assumptions!$B$23:$B$26,MOD(VALUE(LEFT(A165,5)),4)+1))</f>
        <v>4</v>
      </c>
      <c r="F165" s="47" t="n">
        <v>925</v>
      </c>
      <c r="G165" s="48" t="n">
        <v>182</v>
      </c>
      <c r="H165" s="48" t="n">
        <v>76</v>
      </c>
      <c r="I165" s="48" t="n">
        <v>11</v>
      </c>
      <c r="J165" s="48" t="n">
        <v>0</v>
      </c>
      <c r="K165" s="48" t="n">
        <v>23</v>
      </c>
      <c r="L165" s="48" t="n">
        <v>49</v>
      </c>
      <c r="M165" s="48" t="n">
        <v>32</v>
      </c>
      <c r="N165" s="48" t="n">
        <v>51</v>
      </c>
      <c r="O165" s="48" t="n">
        <v>74</v>
      </c>
      <c r="P165" s="48" t="n">
        <v>39</v>
      </c>
      <c r="Q165" s="48" t="n">
        <v>331</v>
      </c>
      <c r="R165" s="48" t="n">
        <v>92</v>
      </c>
      <c r="S165" s="48" t="n">
        <v>52</v>
      </c>
      <c r="T165" s="48" t="n">
        <v>73</v>
      </c>
      <c r="U165" s="48" t="n">
        <v>110</v>
      </c>
      <c r="V165" s="48" t="n">
        <v>94</v>
      </c>
      <c r="W165" s="48" t="n">
        <v>84</v>
      </c>
      <c r="X165" s="48" t="n">
        <v>49</v>
      </c>
      <c r="Y165" s="48" t="n">
        <v>342</v>
      </c>
      <c r="Z165" s="48" t="n">
        <v>49</v>
      </c>
      <c r="AA165" s="48" t="n">
        <v>21</v>
      </c>
      <c r="AB165" s="48" t="n">
        <v>50</v>
      </c>
      <c r="AC165" s="48" t="n">
        <v>76</v>
      </c>
      <c r="AD165" s="48" t="n">
        <v>164</v>
      </c>
      <c r="AE165" s="48" t="n">
        <v>71</v>
      </c>
      <c r="AF165" s="48" t="n">
        <v>70</v>
      </c>
      <c r="AG165" s="48" t="n">
        <v>60</v>
      </c>
      <c r="AH165" s="48" t="n">
        <v>44</v>
      </c>
      <c r="AI165" s="48" t="n">
        <v>31</v>
      </c>
      <c r="AJ165" s="48" t="n">
        <v>143</v>
      </c>
      <c r="AK165" s="48" t="n">
        <v>100</v>
      </c>
      <c r="AL165" s="48" t="n">
        <v>64</v>
      </c>
      <c r="AM165" s="48" t="n">
        <v>45</v>
      </c>
      <c r="AN165" s="48" t="n">
        <v>139</v>
      </c>
      <c r="AO165" s="48" t="n">
        <v>81</v>
      </c>
      <c r="AP165" s="48" t="n">
        <v>130</v>
      </c>
      <c r="AQ165" s="48" t="n">
        <v>438</v>
      </c>
      <c r="AR165" s="48" t="n">
        <v>103</v>
      </c>
      <c r="AS165" s="48" t="n">
        <v>9</v>
      </c>
      <c r="AT165" s="48" t="n">
        <v>39</v>
      </c>
      <c r="AU165" s="48" t="n">
        <v>106</v>
      </c>
      <c r="AV165" s="48" t="n">
        <v>308</v>
      </c>
      <c r="AW165" s="48" t="n">
        <v>113</v>
      </c>
      <c r="AX165" s="48" t="n">
        <v>1081</v>
      </c>
      <c r="AY165" s="48" t="n">
        <v>665</v>
      </c>
      <c r="AZ165" s="48" t="n">
        <v>6</v>
      </c>
      <c r="BA165" s="48" t="n">
        <v>0</v>
      </c>
      <c r="BB165" s="48" t="n">
        <v>0</v>
      </c>
      <c r="BC165" s="48" t="n">
        <v>40</v>
      </c>
      <c r="BD165" s="48" t="n">
        <v>0</v>
      </c>
      <c r="BE165" s="48" t="n">
        <v>0</v>
      </c>
      <c r="BF165" s="48" t="n">
        <v>0</v>
      </c>
      <c r="BG165" s="49" t="n">
        <v>2.1</v>
      </c>
    </row>
    <row r="166" customFormat="false" ht="15" hidden="false" customHeight="false" outlineLevel="0" collapsed="false">
      <c r="A166" s="43" t="s">
        <v>568</v>
      </c>
      <c r="B166" s="43" t="s">
        <v>569</v>
      </c>
      <c r="C166" s="44" t="str">
        <f aca="false">IF(A166="","",IFERROR(INDEX(Assumptions!$B$41:$B$55,MATCH(TRUE(),INDEX(ISNUMBER(SEARCH(" "&amp;Assumptions!$A$41:$A$55&amp;" "," "&amp;SUBSTITUTE(SUBSTITUTE(SUBSTITUTE(SUBSTITUTE(B166,"-"," "),","," "),"/"," "),"."," ")&amp;" ")),0),0)),"Other"))</f>
        <v>Lighting</v>
      </c>
      <c r="D166" s="45" t="n">
        <f aca="false">IF(A166="","",BG166*(1-Assumptions!$B$18))</f>
        <v>5.1</v>
      </c>
      <c r="E166" s="46" t="n">
        <f aca="false">IF(A166="","",INDEX(Assumptions!$B$23:$B$26,MOD(VALUE(LEFT(A166,5)),4)+1))</f>
        <v>4</v>
      </c>
      <c r="F166" s="47" t="n">
        <v>344</v>
      </c>
      <c r="G166" s="48" t="n">
        <v>44</v>
      </c>
      <c r="H166" s="48" t="n">
        <v>34</v>
      </c>
      <c r="I166" s="48" t="n">
        <v>5</v>
      </c>
      <c r="J166" s="48" t="n">
        <v>0</v>
      </c>
      <c r="K166" s="48" t="n">
        <v>0</v>
      </c>
      <c r="L166" s="48" t="n">
        <v>1</v>
      </c>
      <c r="M166" s="48" t="n">
        <v>1</v>
      </c>
      <c r="N166" s="48" t="n">
        <v>0</v>
      </c>
      <c r="O166" s="48" t="n">
        <v>0</v>
      </c>
      <c r="P166" s="48" t="n">
        <v>0</v>
      </c>
      <c r="Q166" s="48" t="n">
        <v>0</v>
      </c>
      <c r="R166" s="48" t="n">
        <v>0</v>
      </c>
      <c r="S166" s="48" t="n">
        <v>0</v>
      </c>
      <c r="T166" s="48" t="n">
        <v>0</v>
      </c>
      <c r="U166" s="48" t="n">
        <v>0</v>
      </c>
      <c r="V166" s="48" t="n">
        <v>0</v>
      </c>
      <c r="W166" s="48" t="n">
        <v>1</v>
      </c>
      <c r="X166" s="48" t="n">
        <v>2</v>
      </c>
      <c r="Y166" s="48" t="n">
        <v>0</v>
      </c>
      <c r="Z166" s="48" t="n">
        <v>0</v>
      </c>
      <c r="AA166" s="48" t="n">
        <v>12</v>
      </c>
      <c r="AB166" s="48" t="n">
        <v>0</v>
      </c>
      <c r="AC166" s="48" t="n">
        <v>0</v>
      </c>
      <c r="AD166" s="48" t="n">
        <v>0</v>
      </c>
      <c r="AE166" s="48" t="n">
        <v>0</v>
      </c>
      <c r="AF166" s="48" t="n">
        <v>0</v>
      </c>
      <c r="AG166" s="48" t="n">
        <v>0</v>
      </c>
      <c r="AH166" s="48" t="n">
        <v>0</v>
      </c>
      <c r="AI166" s="48" t="n">
        <v>0</v>
      </c>
      <c r="AJ166" s="48" t="n">
        <v>0</v>
      </c>
      <c r="AK166" s="48" t="n">
        <v>0</v>
      </c>
      <c r="AL166" s="48" t="n">
        <v>0</v>
      </c>
      <c r="AM166" s="48" t="n">
        <v>0</v>
      </c>
      <c r="AN166" s="48" t="n">
        <v>0</v>
      </c>
      <c r="AO166" s="48" t="n">
        <v>0</v>
      </c>
      <c r="AP166" s="48" t="n">
        <v>4</v>
      </c>
      <c r="AQ166" s="48" t="n">
        <v>0</v>
      </c>
      <c r="AR166" s="48" t="n">
        <v>1</v>
      </c>
      <c r="AS166" s="48" t="n">
        <v>122</v>
      </c>
      <c r="AT166" s="48" t="n">
        <v>30</v>
      </c>
      <c r="AU166" s="48" t="n">
        <v>51</v>
      </c>
      <c r="AV166" s="48" t="n">
        <v>47</v>
      </c>
      <c r="AW166" s="48" t="n">
        <v>411</v>
      </c>
      <c r="AX166" s="48" t="n">
        <v>58</v>
      </c>
      <c r="AY166" s="48" t="n">
        <v>52</v>
      </c>
      <c r="AZ166" s="48" t="n">
        <v>62</v>
      </c>
      <c r="BA166" s="48" t="n">
        <v>44</v>
      </c>
      <c r="BB166" s="48" t="n">
        <v>104</v>
      </c>
      <c r="BC166" s="48" t="n">
        <v>68</v>
      </c>
      <c r="BD166" s="48" t="n">
        <v>160</v>
      </c>
      <c r="BE166" s="48" t="n">
        <v>61</v>
      </c>
      <c r="BF166" s="48" t="n">
        <v>117</v>
      </c>
      <c r="BG166" s="49" t="n">
        <v>8.5</v>
      </c>
    </row>
    <row r="167" customFormat="false" ht="15" hidden="false" customHeight="false" outlineLevel="0" collapsed="false">
      <c r="A167" s="43" t="s">
        <v>570</v>
      </c>
      <c r="B167" s="43" t="s">
        <v>571</v>
      </c>
      <c r="C167" s="44" t="str">
        <f aca="false">IF(A167="","",IFERROR(INDEX(Assumptions!$B$41:$B$55,MATCH(TRUE(),INDEX(ISNUMBER(SEARCH(" "&amp;Assumptions!$A$41:$A$55&amp;" "," "&amp;SUBSTITUTE(SUBSTITUTE(SUBSTITUTE(SUBSTITUTE(B167,"-"," "),","," "),"/"," "),"."," ")&amp;" ")),0),0)),"Other"))</f>
        <v>Other</v>
      </c>
      <c r="D167" s="45" t="n">
        <f aca="false">IF(A167="","",BG167*(1-Assumptions!$B$18))</f>
        <v>4.77</v>
      </c>
      <c r="E167" s="46" t="n">
        <f aca="false">IF(A167="","",INDEX(Assumptions!$B$23:$B$26,MOD(VALUE(LEFT(A167,5)),4)+1))</f>
        <v>2</v>
      </c>
      <c r="F167" s="47" t="n">
        <v>159</v>
      </c>
      <c r="G167" s="48" t="n">
        <v>17</v>
      </c>
      <c r="H167" s="48" t="n">
        <v>6</v>
      </c>
      <c r="I167" s="48" t="n">
        <v>5</v>
      </c>
      <c r="J167" s="48" t="n">
        <v>0</v>
      </c>
      <c r="K167" s="48" t="n">
        <v>10</v>
      </c>
      <c r="L167" s="48" t="n">
        <v>12</v>
      </c>
      <c r="M167" s="48" t="n">
        <v>18</v>
      </c>
      <c r="N167" s="48" t="n">
        <v>31</v>
      </c>
      <c r="O167" s="48" t="n">
        <v>28</v>
      </c>
      <c r="P167" s="48" t="n">
        <v>4</v>
      </c>
      <c r="Q167" s="48" t="n">
        <v>37</v>
      </c>
      <c r="R167" s="48" t="n">
        <v>31</v>
      </c>
      <c r="S167" s="48" t="n">
        <v>11</v>
      </c>
      <c r="T167" s="48" t="n">
        <v>14</v>
      </c>
      <c r="U167" s="48" t="n">
        <v>6</v>
      </c>
      <c r="V167" s="48" t="n">
        <v>6</v>
      </c>
      <c r="W167" s="48" t="n">
        <v>16</v>
      </c>
      <c r="X167" s="48" t="n">
        <v>8</v>
      </c>
      <c r="Y167" s="48" t="n">
        <v>20</v>
      </c>
      <c r="Z167" s="48" t="n">
        <v>7</v>
      </c>
      <c r="AA167" s="48" t="n">
        <v>5</v>
      </c>
      <c r="AB167" s="48" t="n">
        <v>28</v>
      </c>
      <c r="AC167" s="48" t="n">
        <v>20</v>
      </c>
      <c r="AD167" s="48" t="n">
        <v>144</v>
      </c>
      <c r="AE167" s="48" t="n">
        <v>14</v>
      </c>
      <c r="AF167" s="48" t="n">
        <v>14</v>
      </c>
      <c r="AG167" s="48" t="n">
        <v>517</v>
      </c>
      <c r="AH167" s="48" t="n">
        <v>9</v>
      </c>
      <c r="AI167" s="48" t="n">
        <v>24</v>
      </c>
      <c r="AJ167" s="48" t="n">
        <v>2</v>
      </c>
      <c r="AK167" s="48" t="n">
        <v>517</v>
      </c>
      <c r="AL167" s="48" t="n">
        <v>6</v>
      </c>
      <c r="AM167" s="48" t="n">
        <v>41</v>
      </c>
      <c r="AN167" s="48" t="n">
        <v>19</v>
      </c>
      <c r="AO167" s="48" t="n">
        <v>10</v>
      </c>
      <c r="AP167" s="48" t="n">
        <v>20</v>
      </c>
      <c r="AQ167" s="48" t="n">
        <v>26</v>
      </c>
      <c r="AR167" s="48" t="n">
        <v>13</v>
      </c>
      <c r="AS167" s="48" t="n">
        <v>7</v>
      </c>
      <c r="AT167" s="48" t="n">
        <v>8</v>
      </c>
      <c r="AU167" s="48" t="n">
        <v>173</v>
      </c>
      <c r="AV167" s="48" t="n">
        <v>0</v>
      </c>
      <c r="AW167" s="48" t="n">
        <v>9</v>
      </c>
      <c r="AX167" s="48" t="n">
        <v>27</v>
      </c>
      <c r="AY167" s="48" t="n">
        <v>10</v>
      </c>
      <c r="AZ167" s="48" t="n">
        <v>14</v>
      </c>
      <c r="BA167" s="48" t="n">
        <v>45</v>
      </c>
      <c r="BB167" s="48" t="n">
        <v>27</v>
      </c>
      <c r="BC167" s="48" t="n">
        <v>12</v>
      </c>
      <c r="BD167" s="48" t="n">
        <v>10</v>
      </c>
      <c r="BE167" s="48" t="n">
        <v>3</v>
      </c>
      <c r="BF167" s="48" t="n">
        <v>1</v>
      </c>
      <c r="BG167" s="49" t="n">
        <v>7.95</v>
      </c>
    </row>
    <row r="168" customFormat="false" ht="15" hidden="false" customHeight="false" outlineLevel="0" collapsed="false">
      <c r="A168" s="43" t="s">
        <v>572</v>
      </c>
      <c r="B168" s="43" t="s">
        <v>573</v>
      </c>
      <c r="C168" s="44" t="str">
        <f aca="false">IF(A168="","",IFERROR(INDEX(Assumptions!$B$41:$B$55,MATCH(TRUE(),INDEX(ISNUMBER(SEARCH(" "&amp;Assumptions!$A$41:$A$55&amp;" "," "&amp;SUBSTITUTE(SUBSTITUTE(SUBSTITUTE(SUBSTITUTE(B168,"-"," "),","," "),"/"," "),"."," ")&amp;" ")),0),0)),"Other"))</f>
        <v>Other</v>
      </c>
      <c r="D168" s="45" t="n">
        <f aca="false">IF(A168="","",BG168*(1-Assumptions!$B$18))</f>
        <v>3.27</v>
      </c>
      <c r="E168" s="46" t="n">
        <f aca="false">IF(A168="","",INDEX(Assumptions!$B$23:$B$26,MOD(VALUE(LEFT(A168,5)),4)+1))</f>
        <v>6</v>
      </c>
      <c r="F168" s="47" t="n">
        <v>1825</v>
      </c>
      <c r="G168" s="48" t="n">
        <v>11</v>
      </c>
      <c r="H168" s="48" t="n">
        <v>3</v>
      </c>
      <c r="I168" s="48" t="n">
        <v>0</v>
      </c>
      <c r="J168" s="48" t="n">
        <v>0</v>
      </c>
      <c r="K168" s="48" t="n">
        <v>67</v>
      </c>
      <c r="L168" s="48" t="n">
        <v>8</v>
      </c>
      <c r="M168" s="48" t="n">
        <v>14</v>
      </c>
      <c r="N168" s="48" t="n">
        <v>4</v>
      </c>
      <c r="O168" s="48" t="n">
        <v>57</v>
      </c>
      <c r="P168" s="48" t="n">
        <v>40</v>
      </c>
      <c r="Q168" s="48" t="n">
        <v>78</v>
      </c>
      <c r="R168" s="48" t="n">
        <v>16</v>
      </c>
      <c r="S168" s="48" t="n">
        <v>21</v>
      </c>
      <c r="T168" s="48" t="n">
        <v>73</v>
      </c>
      <c r="U168" s="48" t="n">
        <v>86</v>
      </c>
      <c r="V168" s="48" t="n">
        <v>45</v>
      </c>
      <c r="W168" s="48" t="n">
        <v>7</v>
      </c>
      <c r="X168" s="48" t="n">
        <v>16</v>
      </c>
      <c r="Y168" s="48" t="n">
        <v>30</v>
      </c>
      <c r="Z168" s="48" t="n">
        <v>49</v>
      </c>
      <c r="AA168" s="48" t="n">
        <v>15</v>
      </c>
      <c r="AB168" s="48" t="n">
        <v>88</v>
      </c>
      <c r="AC168" s="48" t="n">
        <v>33</v>
      </c>
      <c r="AD168" s="48" t="n">
        <v>133</v>
      </c>
      <c r="AE168" s="48" t="n">
        <v>237</v>
      </c>
      <c r="AF168" s="48" t="n">
        <v>132</v>
      </c>
      <c r="AG168" s="48" t="n">
        <v>41</v>
      </c>
      <c r="AH168" s="48" t="n">
        <v>18</v>
      </c>
      <c r="AI168" s="48" t="n">
        <v>62</v>
      </c>
      <c r="AJ168" s="48" t="n">
        <v>13</v>
      </c>
      <c r="AK168" s="48" t="n">
        <v>26</v>
      </c>
      <c r="AL168" s="48" t="n">
        <v>78</v>
      </c>
      <c r="AM168" s="48" t="n">
        <v>34</v>
      </c>
      <c r="AN168" s="48" t="n">
        <v>31</v>
      </c>
      <c r="AO168" s="48" t="n">
        <v>116</v>
      </c>
      <c r="AP168" s="48" t="n">
        <v>1</v>
      </c>
      <c r="AQ168" s="48" t="n">
        <v>72</v>
      </c>
      <c r="AR168" s="48" t="n">
        <v>29</v>
      </c>
      <c r="AS168" s="48" t="n">
        <v>104</v>
      </c>
      <c r="AT168" s="48" t="n">
        <v>28</v>
      </c>
      <c r="AU168" s="48" t="n">
        <v>28</v>
      </c>
      <c r="AV168" s="48" t="n">
        <v>35</v>
      </c>
      <c r="AW168" s="48" t="n">
        <v>49</v>
      </c>
      <c r="AX168" s="48" t="n">
        <v>38</v>
      </c>
      <c r="AY168" s="48" t="n">
        <v>24</v>
      </c>
      <c r="AZ168" s="48" t="n">
        <v>64</v>
      </c>
      <c r="BA168" s="48" t="n">
        <v>17</v>
      </c>
      <c r="BB168" s="48" t="n">
        <v>28</v>
      </c>
      <c r="BC168" s="48" t="n">
        <v>32</v>
      </c>
      <c r="BD168" s="48" t="n">
        <v>59</v>
      </c>
      <c r="BE168" s="48" t="n">
        <v>8</v>
      </c>
      <c r="BF168" s="48" t="n">
        <v>17</v>
      </c>
      <c r="BG168" s="49" t="n">
        <v>5.45</v>
      </c>
    </row>
    <row r="169" customFormat="false" ht="15" hidden="false" customHeight="false" outlineLevel="0" collapsed="false">
      <c r="A169" s="43" t="s">
        <v>574</v>
      </c>
      <c r="B169" s="43" t="s">
        <v>575</v>
      </c>
      <c r="C169" s="44" t="str">
        <f aca="false">IF(A169="","",IFERROR(INDEX(Assumptions!$B$41:$B$55,MATCH(TRUE(),INDEX(ISNUMBER(SEARCH(" "&amp;Assumptions!$A$41:$A$55&amp;" "," "&amp;SUBSTITUTE(SUBSTITUTE(SUBSTITUTE(SUBSTITUTE(B169,"-"," "),","," "),"/"," "),"."," ")&amp;" ")),0),0)),"Other"))</f>
        <v>Other</v>
      </c>
      <c r="D169" s="45" t="n">
        <f aca="false">IF(A169="","",BG169*(1-Assumptions!$B$18))</f>
        <v>4.77</v>
      </c>
      <c r="E169" s="46" t="n">
        <f aca="false">IF(A169="","",INDEX(Assumptions!$B$23:$B$26,MOD(VALUE(LEFT(A169,5)),4)+1))</f>
        <v>6</v>
      </c>
      <c r="F169" s="47" t="n">
        <v>64</v>
      </c>
      <c r="G169" s="48" t="n">
        <v>42</v>
      </c>
      <c r="H169" s="48" t="n">
        <v>37</v>
      </c>
      <c r="I169" s="48" t="n">
        <v>54</v>
      </c>
      <c r="J169" s="48" t="n">
        <v>0</v>
      </c>
      <c r="K169" s="48" t="n">
        <v>25</v>
      </c>
      <c r="L169" s="48" t="n">
        <v>89</v>
      </c>
      <c r="M169" s="48" t="n">
        <v>21</v>
      </c>
      <c r="N169" s="48" t="n">
        <v>37</v>
      </c>
      <c r="O169" s="48" t="n">
        <v>17</v>
      </c>
      <c r="P169" s="48" t="n">
        <v>28</v>
      </c>
      <c r="Q169" s="48" t="n">
        <v>42</v>
      </c>
      <c r="R169" s="48" t="n">
        <v>14</v>
      </c>
      <c r="S169" s="48" t="n">
        <v>40</v>
      </c>
      <c r="T169" s="48" t="n">
        <v>24</v>
      </c>
      <c r="U169" s="48" t="n">
        <v>20</v>
      </c>
      <c r="V169" s="48" t="n">
        <v>40</v>
      </c>
      <c r="W169" s="48" t="n">
        <v>5</v>
      </c>
      <c r="X169" s="48" t="n">
        <v>76</v>
      </c>
      <c r="Y169" s="48" t="n">
        <v>37</v>
      </c>
      <c r="Z169" s="48" t="n">
        <v>49</v>
      </c>
      <c r="AA169" s="48" t="n">
        <v>28</v>
      </c>
      <c r="AB169" s="48" t="n">
        <v>16</v>
      </c>
      <c r="AC169" s="48" t="n">
        <v>70</v>
      </c>
      <c r="AD169" s="48" t="n">
        <v>7</v>
      </c>
      <c r="AE169" s="48" t="n">
        <v>44</v>
      </c>
      <c r="AF169" s="48" t="n">
        <v>10</v>
      </c>
      <c r="AG169" s="48" t="n">
        <v>23</v>
      </c>
      <c r="AH169" s="48" t="n">
        <v>21</v>
      </c>
      <c r="AI169" s="48" t="n">
        <v>37</v>
      </c>
      <c r="AJ169" s="48" t="n">
        <v>0</v>
      </c>
      <c r="AK169" s="48" t="n">
        <v>10</v>
      </c>
      <c r="AL169" s="48" t="n">
        <v>27</v>
      </c>
      <c r="AM169" s="48" t="n">
        <v>16</v>
      </c>
      <c r="AN169" s="48" t="n">
        <v>6</v>
      </c>
      <c r="AO169" s="48" t="n">
        <v>23</v>
      </c>
      <c r="AP169" s="48" t="n">
        <v>28</v>
      </c>
      <c r="AQ169" s="48" t="n">
        <v>10</v>
      </c>
      <c r="AR169" s="48" t="n">
        <v>67</v>
      </c>
      <c r="AS169" s="48" t="n">
        <v>35</v>
      </c>
      <c r="AT169" s="48" t="n">
        <v>35</v>
      </c>
      <c r="AU169" s="48" t="n">
        <v>4</v>
      </c>
      <c r="AV169" s="48" t="n">
        <v>74</v>
      </c>
      <c r="AW169" s="48" t="n">
        <v>30</v>
      </c>
      <c r="AX169" s="48" t="n">
        <v>17</v>
      </c>
      <c r="AY169" s="48" t="n">
        <v>55</v>
      </c>
      <c r="AZ169" s="48" t="n">
        <v>26</v>
      </c>
      <c r="BA169" s="48" t="n">
        <v>23</v>
      </c>
      <c r="BB169" s="48" t="n">
        <v>44</v>
      </c>
      <c r="BC169" s="48" t="n">
        <v>46</v>
      </c>
      <c r="BD169" s="48" t="n">
        <v>77</v>
      </c>
      <c r="BE169" s="48" t="n">
        <v>38</v>
      </c>
      <c r="BF169" s="48" t="n">
        <v>32</v>
      </c>
      <c r="BG169" s="49" t="n">
        <v>7.95</v>
      </c>
    </row>
    <row r="170" customFormat="false" ht="15" hidden="false" customHeight="false" outlineLevel="0" collapsed="false">
      <c r="A170" s="43" t="s">
        <v>576</v>
      </c>
      <c r="B170" s="43" t="s">
        <v>577</v>
      </c>
      <c r="C170" s="44" t="str">
        <f aca="false">IF(A170="","",IFERROR(INDEX(Assumptions!$B$41:$B$55,MATCH(TRUE(),INDEX(ISNUMBER(SEARCH(" "&amp;Assumptions!$A$41:$A$55&amp;" "," "&amp;SUBSTITUTE(SUBSTITUTE(SUBSTITUTE(SUBSTITUTE(B170,"-"," "),","," "),"/"," "),"."," ")&amp;" ")),0),0)),"Other"))</f>
        <v>Other</v>
      </c>
      <c r="D170" s="45" t="n">
        <f aca="false">IF(A170="","",BG170*(1-Assumptions!$B$18))</f>
        <v>2.25</v>
      </c>
      <c r="E170" s="46" t="n">
        <f aca="false">IF(A170="","",INDEX(Assumptions!$B$23:$B$26,MOD(VALUE(LEFT(A170,5)),4)+1))</f>
        <v>2</v>
      </c>
      <c r="F170" s="47" t="n">
        <v>692</v>
      </c>
      <c r="G170" s="48" t="n">
        <v>136</v>
      </c>
      <c r="H170" s="48" t="n">
        <v>40</v>
      </c>
      <c r="I170" s="48" t="n">
        <v>27</v>
      </c>
      <c r="J170" s="48" t="n">
        <v>0</v>
      </c>
      <c r="K170" s="48" t="n">
        <v>52</v>
      </c>
      <c r="L170" s="48" t="n">
        <v>25</v>
      </c>
      <c r="M170" s="48" t="n">
        <v>13</v>
      </c>
      <c r="N170" s="48" t="n">
        <v>12</v>
      </c>
      <c r="O170" s="48" t="n">
        <v>11</v>
      </c>
      <c r="P170" s="48" t="n">
        <v>8</v>
      </c>
      <c r="Q170" s="48" t="n">
        <v>166</v>
      </c>
      <c r="R170" s="48" t="n">
        <v>52</v>
      </c>
      <c r="S170" s="48" t="n">
        <v>40</v>
      </c>
      <c r="T170" s="48" t="n">
        <v>78</v>
      </c>
      <c r="U170" s="48" t="n">
        <v>18</v>
      </c>
      <c r="V170" s="48" t="n">
        <v>30</v>
      </c>
      <c r="W170" s="48" t="n">
        <v>86</v>
      </c>
      <c r="X170" s="48" t="n">
        <v>25</v>
      </c>
      <c r="Y170" s="48" t="n">
        <v>49</v>
      </c>
      <c r="Z170" s="48" t="n">
        <v>17</v>
      </c>
      <c r="AA170" s="48" t="n">
        <v>14</v>
      </c>
      <c r="AB170" s="48" t="n">
        <v>13</v>
      </c>
      <c r="AC170" s="48" t="n">
        <v>29</v>
      </c>
      <c r="AD170" s="48" t="n">
        <v>43</v>
      </c>
      <c r="AE170" s="48" t="n">
        <v>50</v>
      </c>
      <c r="AF170" s="48" t="n">
        <v>8</v>
      </c>
      <c r="AG170" s="48" t="n">
        <v>40</v>
      </c>
      <c r="AH170" s="48" t="n">
        <v>11</v>
      </c>
      <c r="AI170" s="48" t="n">
        <v>5</v>
      </c>
      <c r="AJ170" s="48" t="n">
        <v>22</v>
      </c>
      <c r="AK170" s="48" t="n">
        <v>31</v>
      </c>
      <c r="AL170" s="48" t="n">
        <v>12</v>
      </c>
      <c r="AM170" s="48" t="n">
        <v>101</v>
      </c>
      <c r="AN170" s="48" t="n">
        <v>46</v>
      </c>
      <c r="AO170" s="48" t="n">
        <v>46</v>
      </c>
      <c r="AP170" s="48" t="n">
        <v>54</v>
      </c>
      <c r="AQ170" s="48" t="n">
        <v>252</v>
      </c>
      <c r="AR170" s="48" t="n">
        <v>20</v>
      </c>
      <c r="AS170" s="48" t="n">
        <v>44</v>
      </c>
      <c r="AT170" s="48" t="n">
        <v>36</v>
      </c>
      <c r="AU170" s="48" t="n">
        <v>44</v>
      </c>
      <c r="AV170" s="48" t="n">
        <v>108</v>
      </c>
      <c r="AW170" s="48" t="n">
        <v>36</v>
      </c>
      <c r="AX170" s="48" t="n">
        <v>436</v>
      </c>
      <c r="AY170" s="48" t="n">
        <v>264</v>
      </c>
      <c r="AZ170" s="48" t="n">
        <v>88</v>
      </c>
      <c r="BA170" s="48" t="n">
        <v>65</v>
      </c>
      <c r="BB170" s="48" t="n">
        <v>107</v>
      </c>
      <c r="BC170" s="48" t="n">
        <v>126</v>
      </c>
      <c r="BD170" s="48" t="n">
        <v>133</v>
      </c>
      <c r="BE170" s="48" t="n">
        <v>103</v>
      </c>
      <c r="BF170" s="48" t="n">
        <v>1</v>
      </c>
      <c r="BG170" s="49" t="n">
        <v>3.75</v>
      </c>
    </row>
    <row r="171" customFormat="false" ht="15" hidden="false" customHeight="false" outlineLevel="0" collapsed="false">
      <c r="A171" s="43" t="s">
        <v>578</v>
      </c>
      <c r="B171" s="43" t="s">
        <v>579</v>
      </c>
      <c r="C171" s="44" t="str">
        <f aca="false">IF(A171="","",IFERROR(INDEX(Assumptions!$B$41:$B$55,MATCH(TRUE(),INDEX(ISNUMBER(SEARCH(" "&amp;Assumptions!$A$41:$A$55&amp;" "," "&amp;SUBSTITUTE(SUBSTITUTE(SUBSTITUTE(SUBSTITUTE(B171,"-"," "),","," "),"/"," "),"."," ")&amp;" ")),0),0)),"Other"))</f>
        <v>Other</v>
      </c>
      <c r="D171" s="45" t="n">
        <f aca="false">IF(A171="","",BG171*(1-Assumptions!$B$18))</f>
        <v>1.26</v>
      </c>
      <c r="E171" s="46" t="n">
        <f aca="false">IF(A171="","",INDEX(Assumptions!$B$23:$B$26,MOD(VALUE(LEFT(A171,5)),4)+1))</f>
        <v>6</v>
      </c>
      <c r="F171" s="47" t="n">
        <v>4444</v>
      </c>
      <c r="G171" s="48" t="n">
        <v>297</v>
      </c>
      <c r="H171" s="48" t="n">
        <v>0</v>
      </c>
      <c r="I171" s="48" t="n">
        <v>0</v>
      </c>
      <c r="J171" s="48" t="n">
        <v>0</v>
      </c>
      <c r="K171" s="48" t="n">
        <v>1</v>
      </c>
      <c r="L171" s="48" t="n">
        <v>0</v>
      </c>
      <c r="M171" s="48" t="n">
        <v>1</v>
      </c>
      <c r="N171" s="48" t="n">
        <v>0</v>
      </c>
      <c r="O171" s="48" t="n">
        <v>0</v>
      </c>
      <c r="P171" s="48" t="n">
        <v>0</v>
      </c>
      <c r="Q171" s="48" t="n">
        <v>0</v>
      </c>
      <c r="R171" s="48" t="n">
        <v>0</v>
      </c>
      <c r="S171" s="48" t="n">
        <v>0</v>
      </c>
      <c r="T171" s="48" t="n">
        <v>2</v>
      </c>
      <c r="U171" s="48" t="n">
        <v>0</v>
      </c>
      <c r="V171" s="48" t="n">
        <v>1</v>
      </c>
      <c r="W171" s="48" t="n">
        <v>0</v>
      </c>
      <c r="X171" s="48" t="n">
        <v>0</v>
      </c>
      <c r="Y171" s="48" t="n">
        <v>1</v>
      </c>
      <c r="Z171" s="48" t="n">
        <v>0</v>
      </c>
      <c r="AA171" s="48" t="n">
        <v>0</v>
      </c>
      <c r="AB171" s="48" t="n">
        <v>0</v>
      </c>
      <c r="AC171" s="48" t="n">
        <v>0</v>
      </c>
      <c r="AD171" s="48" t="n">
        <v>3</v>
      </c>
      <c r="AE171" s="48" t="n">
        <v>0</v>
      </c>
      <c r="AF171" s="48" t="n">
        <v>0</v>
      </c>
      <c r="AG171" s="48" t="n">
        <v>0</v>
      </c>
      <c r="AH171" s="48" t="n">
        <v>0</v>
      </c>
      <c r="AI171" s="48" t="n">
        <v>0</v>
      </c>
      <c r="AJ171" s="48" t="n">
        <v>0</v>
      </c>
      <c r="AK171" s="48" t="n">
        <v>0</v>
      </c>
      <c r="AL171" s="48" t="n">
        <v>0</v>
      </c>
      <c r="AM171" s="48" t="n">
        <v>0</v>
      </c>
      <c r="AN171" s="48" t="n">
        <v>0</v>
      </c>
      <c r="AO171" s="48" t="n">
        <v>0</v>
      </c>
      <c r="AP171" s="48" t="n">
        <v>0</v>
      </c>
      <c r="AQ171" s="48" t="n">
        <v>0</v>
      </c>
      <c r="AR171" s="48" t="n">
        <v>146</v>
      </c>
      <c r="AS171" s="48" t="n">
        <v>144</v>
      </c>
      <c r="AT171" s="48" t="n">
        <v>302</v>
      </c>
      <c r="AU171" s="48" t="n">
        <v>128</v>
      </c>
      <c r="AV171" s="48" t="n">
        <v>695</v>
      </c>
      <c r="AW171" s="48" t="n">
        <v>217</v>
      </c>
      <c r="AX171" s="48" t="n">
        <v>493</v>
      </c>
      <c r="AY171" s="48" t="n">
        <v>147</v>
      </c>
      <c r="AZ171" s="48" t="n">
        <v>318</v>
      </c>
      <c r="BA171" s="48" t="n">
        <v>124</v>
      </c>
      <c r="BB171" s="48" t="n">
        <v>409</v>
      </c>
      <c r="BC171" s="48" t="n">
        <v>962</v>
      </c>
      <c r="BD171" s="48" t="n">
        <v>445</v>
      </c>
      <c r="BE171" s="48" t="n">
        <v>220</v>
      </c>
      <c r="BF171" s="48" t="n">
        <v>446</v>
      </c>
      <c r="BG171" s="49" t="n">
        <v>2.1</v>
      </c>
    </row>
    <row r="172" customFormat="false" ht="15" hidden="false" customHeight="false" outlineLevel="0" collapsed="false">
      <c r="A172" s="43" t="s">
        <v>580</v>
      </c>
      <c r="B172" s="43" t="s">
        <v>581</v>
      </c>
      <c r="C172" s="44" t="str">
        <f aca="false">IF(A172="","",IFERROR(INDEX(Assumptions!$B$41:$B$55,MATCH(TRUE(),INDEX(ISNUMBER(SEARCH(" "&amp;Assumptions!$A$41:$A$55&amp;" "," "&amp;SUBSTITUTE(SUBSTITUTE(SUBSTITUTE(SUBSTITUTE(B172,"-"," "),","," "),"/"," "),"."," ")&amp;" ")),0),0)),"Other"))</f>
        <v>Bags</v>
      </c>
      <c r="D172" s="45" t="n">
        <f aca="false">IF(A172="","",BG172*(1-Assumptions!$B$18))</f>
        <v>0.51</v>
      </c>
      <c r="E172" s="46" t="n">
        <f aca="false">IF(A172="","",INDEX(Assumptions!$B$23:$B$26,MOD(VALUE(LEFT(A172,5)),4)+1))</f>
        <v>8</v>
      </c>
      <c r="F172" s="47" t="n">
        <v>551</v>
      </c>
      <c r="G172" s="48" t="n">
        <v>172</v>
      </c>
      <c r="H172" s="48" t="n">
        <v>129</v>
      </c>
      <c r="I172" s="48" t="n">
        <v>105</v>
      </c>
      <c r="J172" s="48" t="n">
        <v>0</v>
      </c>
      <c r="K172" s="48" t="n">
        <v>155</v>
      </c>
      <c r="L172" s="48" t="n">
        <v>108</v>
      </c>
      <c r="M172" s="48" t="n">
        <v>45</v>
      </c>
      <c r="N172" s="48" t="n">
        <v>139</v>
      </c>
      <c r="O172" s="48" t="n">
        <v>24</v>
      </c>
      <c r="P172" s="48" t="n">
        <v>117</v>
      </c>
      <c r="Q172" s="48" t="n">
        <v>71</v>
      </c>
      <c r="R172" s="48" t="n">
        <v>272</v>
      </c>
      <c r="S172" s="48" t="n">
        <v>123</v>
      </c>
      <c r="T172" s="48" t="n">
        <v>265</v>
      </c>
      <c r="U172" s="48" t="n">
        <v>140</v>
      </c>
      <c r="V172" s="48" t="n">
        <v>138</v>
      </c>
      <c r="W172" s="48" t="n">
        <v>353</v>
      </c>
      <c r="X172" s="48" t="n">
        <v>173</v>
      </c>
      <c r="Y172" s="48" t="n">
        <v>229</v>
      </c>
      <c r="Z172" s="48" t="n">
        <v>131</v>
      </c>
      <c r="AA172" s="48" t="n">
        <v>125</v>
      </c>
      <c r="AB172" s="48" t="n">
        <v>121</v>
      </c>
      <c r="AC172" s="48" t="n">
        <v>379</v>
      </c>
      <c r="AD172" s="48" t="n">
        <v>120</v>
      </c>
      <c r="AE172" s="48" t="n">
        <v>147</v>
      </c>
      <c r="AF172" s="48" t="n">
        <v>80</v>
      </c>
      <c r="AG172" s="48" t="n">
        <v>278</v>
      </c>
      <c r="AH172" s="48" t="n">
        <v>108</v>
      </c>
      <c r="AI172" s="48" t="n">
        <v>247</v>
      </c>
      <c r="AJ172" s="48" t="n">
        <v>355</v>
      </c>
      <c r="AK172" s="48" t="n">
        <v>194</v>
      </c>
      <c r="AL172" s="48" t="n">
        <v>102</v>
      </c>
      <c r="AM172" s="48" t="n">
        <v>272</v>
      </c>
      <c r="AN172" s="48" t="n">
        <v>119</v>
      </c>
      <c r="AO172" s="48" t="n">
        <v>307</v>
      </c>
      <c r="AP172" s="48" t="n">
        <v>472</v>
      </c>
      <c r="AQ172" s="48" t="n">
        <v>142</v>
      </c>
      <c r="AR172" s="48" t="n">
        <v>192</v>
      </c>
      <c r="AS172" s="48" t="n">
        <v>172</v>
      </c>
      <c r="AT172" s="48" t="n">
        <v>334</v>
      </c>
      <c r="AU172" s="48" t="n">
        <v>355</v>
      </c>
      <c r="AV172" s="48" t="n">
        <v>216</v>
      </c>
      <c r="AW172" s="48" t="n">
        <v>94</v>
      </c>
      <c r="AX172" s="48" t="n">
        <v>160</v>
      </c>
      <c r="AY172" s="48" t="n">
        <v>167</v>
      </c>
      <c r="AZ172" s="48" t="n">
        <v>137</v>
      </c>
      <c r="BA172" s="48" t="n">
        <v>155</v>
      </c>
      <c r="BB172" s="48" t="n">
        <v>180</v>
      </c>
      <c r="BC172" s="48" t="n">
        <v>143</v>
      </c>
      <c r="BD172" s="48" t="n">
        <v>169</v>
      </c>
      <c r="BE172" s="48" t="n">
        <v>343</v>
      </c>
      <c r="BF172" s="48" t="n">
        <v>270</v>
      </c>
      <c r="BG172" s="49" t="n">
        <v>0.85</v>
      </c>
    </row>
    <row r="173" customFormat="false" ht="15" hidden="false" customHeight="false" outlineLevel="0" collapsed="false">
      <c r="A173" s="43" t="s">
        <v>582</v>
      </c>
      <c r="B173" s="43" t="s">
        <v>583</v>
      </c>
      <c r="C173" s="44" t="str">
        <f aca="false">IF(A173="","",IFERROR(INDEX(Assumptions!$B$41:$B$55,MATCH(TRUE(),INDEX(ISNUMBER(SEARCH(" "&amp;Assumptions!$A$41:$A$55&amp;" "," "&amp;SUBSTITUTE(SUBSTITUTE(SUBSTITUTE(SUBSTITUTE(B173,"-"," "),","," "),"/"," "),"."," ")&amp;" ")),0),0)),"Other"))</f>
        <v>Cards/Gifts</v>
      </c>
      <c r="D173" s="45" t="n">
        <f aca="false">IF(A173="","",BG173*(1-Assumptions!$B$18))</f>
        <v>0.51</v>
      </c>
      <c r="E173" s="46" t="n">
        <f aca="false">IF(A173="","",INDEX(Assumptions!$B$23:$B$26,MOD(VALUE(LEFT(A173,5)),4)+1))</f>
        <v>6</v>
      </c>
      <c r="F173" s="47" t="n">
        <v>8060</v>
      </c>
      <c r="G173" s="48" t="n">
        <v>486</v>
      </c>
      <c r="H173" s="48" t="n">
        <v>114</v>
      </c>
      <c r="I173" s="48" t="n">
        <v>32</v>
      </c>
      <c r="J173" s="48" t="n">
        <v>0</v>
      </c>
      <c r="K173" s="48" t="n">
        <v>236</v>
      </c>
      <c r="L173" s="48" t="n">
        <v>24</v>
      </c>
      <c r="M173" s="48" t="n">
        <v>41</v>
      </c>
      <c r="N173" s="48" t="n">
        <v>110</v>
      </c>
      <c r="O173" s="48" t="n">
        <v>49</v>
      </c>
      <c r="P173" s="48" t="n">
        <v>45</v>
      </c>
      <c r="Q173" s="48" t="n">
        <v>73</v>
      </c>
      <c r="R173" s="48" t="n">
        <v>216</v>
      </c>
      <c r="S173" s="48" t="n">
        <v>95</v>
      </c>
      <c r="T173" s="48" t="n">
        <v>143</v>
      </c>
      <c r="U173" s="48" t="n">
        <v>197</v>
      </c>
      <c r="V173" s="48" t="n">
        <v>108</v>
      </c>
      <c r="W173" s="48" t="n">
        <v>321</v>
      </c>
      <c r="X173" s="48" t="n">
        <v>180</v>
      </c>
      <c r="Y173" s="48" t="n">
        <v>341</v>
      </c>
      <c r="Z173" s="48" t="n">
        <v>373</v>
      </c>
      <c r="AA173" s="48" t="n">
        <v>68</v>
      </c>
      <c r="AB173" s="48" t="n">
        <v>161</v>
      </c>
      <c r="AC173" s="48" t="n">
        <v>269</v>
      </c>
      <c r="AD173" s="48" t="n">
        <v>133</v>
      </c>
      <c r="AE173" s="48" t="n">
        <v>87</v>
      </c>
      <c r="AF173" s="48" t="n">
        <v>179</v>
      </c>
      <c r="AG173" s="48" t="n">
        <v>114</v>
      </c>
      <c r="AH173" s="48" t="n">
        <v>190</v>
      </c>
      <c r="AI173" s="48" t="n">
        <v>374</v>
      </c>
      <c r="AJ173" s="48" t="n">
        <v>149</v>
      </c>
      <c r="AK173" s="48" t="n">
        <v>141</v>
      </c>
      <c r="AL173" s="48" t="n">
        <v>353</v>
      </c>
      <c r="AM173" s="48" t="n">
        <v>190</v>
      </c>
      <c r="AN173" s="48" t="n">
        <v>431</v>
      </c>
      <c r="AO173" s="48" t="n">
        <v>103</v>
      </c>
      <c r="AP173" s="48" t="n">
        <v>342</v>
      </c>
      <c r="AQ173" s="48" t="n">
        <v>177</v>
      </c>
      <c r="AR173" s="48" t="n">
        <v>139</v>
      </c>
      <c r="AS173" s="48" t="n">
        <v>311</v>
      </c>
      <c r="AT173" s="48" t="n">
        <v>968</v>
      </c>
      <c r="AU173" s="48" t="n">
        <v>222</v>
      </c>
      <c r="AV173" s="48" t="n">
        <v>597</v>
      </c>
      <c r="AW173" s="48" t="n">
        <v>343</v>
      </c>
      <c r="AX173" s="48" t="n">
        <v>571</v>
      </c>
      <c r="AY173" s="48" t="n">
        <v>301</v>
      </c>
      <c r="AZ173" s="48" t="n">
        <v>300</v>
      </c>
      <c r="BA173" s="48" t="n">
        <v>381</v>
      </c>
      <c r="BB173" s="48" t="n">
        <v>544</v>
      </c>
      <c r="BC173" s="48" t="n">
        <v>792</v>
      </c>
      <c r="BD173" s="48" t="n">
        <v>758</v>
      </c>
      <c r="BE173" s="48" t="n">
        <v>432</v>
      </c>
      <c r="BF173" s="48" t="n">
        <v>667</v>
      </c>
      <c r="BG173" s="49" t="n">
        <v>0.85</v>
      </c>
    </row>
    <row r="174" customFormat="false" ht="15" hidden="false" customHeight="false" outlineLevel="0" collapsed="false">
      <c r="A174" s="43" t="s">
        <v>584</v>
      </c>
      <c r="B174" s="43" t="s">
        <v>585</v>
      </c>
      <c r="C174" s="44" t="str">
        <f aca="false">IF(A174="","",IFERROR(INDEX(Assumptions!$B$41:$B$55,MATCH(TRUE(),INDEX(ISNUMBER(SEARCH(" "&amp;Assumptions!$A$41:$A$55&amp;" "," "&amp;SUBSTITUTE(SUBSTITUTE(SUBSTITUTE(SUBSTITUTE(B174,"-"," "),","," "),"/"," "),"."," ")&amp;" ")),0),0)),"Other"))</f>
        <v>Other</v>
      </c>
      <c r="D174" s="45" t="n">
        <f aca="false">IF(A174="","",BG174*(1-Assumptions!$B$18))</f>
        <v>2.55</v>
      </c>
      <c r="E174" s="46" t="n">
        <f aca="false">IF(A174="","",INDEX(Assumptions!$B$23:$B$26,MOD(VALUE(LEFT(A174,5)),4)+1))</f>
        <v>4</v>
      </c>
      <c r="F174" s="47" t="n">
        <v>525</v>
      </c>
      <c r="G174" s="48" t="n">
        <v>191</v>
      </c>
      <c r="H174" s="48" t="n">
        <v>267</v>
      </c>
      <c r="I174" s="48" t="n">
        <v>61</v>
      </c>
      <c r="J174" s="48" t="n">
        <v>0</v>
      </c>
      <c r="K174" s="48" t="n">
        <v>54</v>
      </c>
      <c r="L174" s="48" t="n">
        <v>134</v>
      </c>
      <c r="M174" s="48" t="n">
        <v>123</v>
      </c>
      <c r="N174" s="48" t="n">
        <v>31</v>
      </c>
      <c r="O174" s="48" t="n">
        <v>56</v>
      </c>
      <c r="P174" s="48" t="n">
        <v>18</v>
      </c>
      <c r="Q174" s="48" t="n">
        <v>14</v>
      </c>
      <c r="R174" s="48" t="n">
        <v>13</v>
      </c>
      <c r="S174" s="48" t="n">
        <v>1</v>
      </c>
      <c r="T174" s="48" t="n">
        <v>2</v>
      </c>
      <c r="U174" s="48" t="n">
        <v>2</v>
      </c>
      <c r="V174" s="48" t="n">
        <v>2</v>
      </c>
      <c r="W174" s="48" t="n">
        <v>4</v>
      </c>
      <c r="X174" s="48" t="n">
        <v>5</v>
      </c>
      <c r="Y174" s="48" t="n">
        <v>6</v>
      </c>
      <c r="Z174" s="48" t="n">
        <v>28</v>
      </c>
      <c r="AA174" s="48" t="n">
        <v>0</v>
      </c>
      <c r="AB174" s="48" t="n">
        <v>6</v>
      </c>
      <c r="AC174" s="48" t="n">
        <v>6</v>
      </c>
      <c r="AD174" s="48" t="n">
        <v>25</v>
      </c>
      <c r="AE174" s="48" t="n">
        <v>0</v>
      </c>
      <c r="AF174" s="48" t="n">
        <v>1</v>
      </c>
      <c r="AG174" s="48" t="n">
        <v>8</v>
      </c>
      <c r="AH174" s="48" t="n">
        <v>23</v>
      </c>
      <c r="AI174" s="48" t="n">
        <v>6</v>
      </c>
      <c r="AJ174" s="48" t="n">
        <v>0</v>
      </c>
      <c r="AK174" s="48" t="n">
        <v>1</v>
      </c>
      <c r="AL174" s="48" t="n">
        <v>2</v>
      </c>
      <c r="AM174" s="48" t="n">
        <v>1</v>
      </c>
      <c r="AN174" s="48" t="n">
        <v>59</v>
      </c>
      <c r="AO174" s="48" t="n">
        <v>13</v>
      </c>
      <c r="AP174" s="48" t="n">
        <v>10</v>
      </c>
      <c r="AQ174" s="48" t="n">
        <v>24</v>
      </c>
      <c r="AR174" s="48" t="n">
        <v>40</v>
      </c>
      <c r="AS174" s="48" t="n">
        <v>70</v>
      </c>
      <c r="AT174" s="48" t="n">
        <v>36</v>
      </c>
      <c r="AU174" s="48" t="n">
        <v>201</v>
      </c>
      <c r="AV174" s="48" t="n">
        <v>148</v>
      </c>
      <c r="AW174" s="48" t="n">
        <v>70</v>
      </c>
      <c r="AX174" s="48" t="n">
        <v>310</v>
      </c>
      <c r="AY174" s="48" t="n">
        <v>52</v>
      </c>
      <c r="AZ174" s="48" t="n">
        <v>94</v>
      </c>
      <c r="BA174" s="48" t="n">
        <v>85</v>
      </c>
      <c r="BB174" s="48" t="n">
        <v>141</v>
      </c>
      <c r="BC174" s="48" t="n">
        <v>175</v>
      </c>
      <c r="BD174" s="48" t="n">
        <v>193</v>
      </c>
      <c r="BE174" s="48" t="n">
        <v>109</v>
      </c>
      <c r="BF174" s="48" t="n">
        <v>110</v>
      </c>
      <c r="BG174" s="49" t="n">
        <v>4.25</v>
      </c>
    </row>
    <row r="175" customFormat="false" ht="15" hidden="false" customHeight="false" outlineLevel="0" collapsed="false">
      <c r="A175" s="43" t="s">
        <v>586</v>
      </c>
      <c r="B175" s="43" t="s">
        <v>587</v>
      </c>
      <c r="C175" s="44" t="str">
        <f aca="false">IF(A175="","",IFERROR(INDEX(Assumptions!$B$41:$B$55,MATCH(TRUE(),INDEX(ISNUMBER(SEARCH(" "&amp;Assumptions!$A$41:$A$55&amp;" "," "&amp;SUBSTITUTE(SUBSTITUTE(SUBSTITUTE(SUBSTITUTE(B175,"-"," "),","," "),"/"," "),"."," ")&amp;" ")),0),0)),"Other"))</f>
        <v>Kitchen</v>
      </c>
      <c r="D175" s="45" t="n">
        <f aca="false">IF(A175="","",BG175*(1-Assumptions!$B$18))</f>
        <v>0.33</v>
      </c>
      <c r="E175" s="46" t="n">
        <f aca="false">IF(A175="","",INDEX(Assumptions!$B$23:$B$26,MOD(VALUE(LEFT(A175,5)),4)+1))</f>
        <v>4</v>
      </c>
      <c r="F175" s="47" t="n">
        <v>466</v>
      </c>
      <c r="G175" s="48" t="n">
        <v>232</v>
      </c>
      <c r="H175" s="48" t="n">
        <v>549</v>
      </c>
      <c r="I175" s="48" t="n">
        <v>534</v>
      </c>
      <c r="J175" s="48" t="n">
        <v>0</v>
      </c>
      <c r="K175" s="48" t="n">
        <v>179</v>
      </c>
      <c r="L175" s="48" t="n">
        <v>107</v>
      </c>
      <c r="M175" s="48" t="n">
        <v>154</v>
      </c>
      <c r="N175" s="48" t="n">
        <v>144</v>
      </c>
      <c r="O175" s="48" t="n">
        <v>811</v>
      </c>
      <c r="P175" s="48" t="n">
        <v>75</v>
      </c>
      <c r="Q175" s="48" t="n">
        <v>464</v>
      </c>
      <c r="R175" s="48" t="n">
        <v>239</v>
      </c>
      <c r="S175" s="48" t="n">
        <v>276</v>
      </c>
      <c r="T175" s="48" t="n">
        <v>684</v>
      </c>
      <c r="U175" s="48" t="n">
        <v>1127</v>
      </c>
      <c r="V175" s="48" t="n">
        <v>408</v>
      </c>
      <c r="W175" s="48" t="n">
        <v>386</v>
      </c>
      <c r="X175" s="48" t="n">
        <v>159</v>
      </c>
      <c r="Y175" s="48" t="n">
        <v>751</v>
      </c>
      <c r="Z175" s="48" t="n">
        <v>1321</v>
      </c>
      <c r="AA175" s="48" t="n">
        <v>255</v>
      </c>
      <c r="AB175" s="48" t="n">
        <v>555</v>
      </c>
      <c r="AC175" s="48" t="n">
        <v>498</v>
      </c>
      <c r="AD175" s="48" t="n">
        <v>173</v>
      </c>
      <c r="AE175" s="48" t="n">
        <v>2825</v>
      </c>
      <c r="AF175" s="48" t="n">
        <v>20</v>
      </c>
      <c r="AG175" s="48" t="n">
        <v>337</v>
      </c>
      <c r="AH175" s="48" t="n">
        <v>471</v>
      </c>
      <c r="AI175" s="48" t="n">
        <v>545</v>
      </c>
      <c r="AJ175" s="48" t="n">
        <v>160</v>
      </c>
      <c r="AK175" s="48" t="n">
        <v>117</v>
      </c>
      <c r="AL175" s="48" t="n">
        <v>191</v>
      </c>
      <c r="AM175" s="48" t="n">
        <v>1331</v>
      </c>
      <c r="AN175" s="48" t="n">
        <v>742</v>
      </c>
      <c r="AO175" s="48" t="n">
        <v>271</v>
      </c>
      <c r="AP175" s="48" t="n">
        <v>248</v>
      </c>
      <c r="AQ175" s="48" t="n">
        <v>879</v>
      </c>
      <c r="AR175" s="48" t="n">
        <v>876</v>
      </c>
      <c r="AS175" s="48" t="n">
        <v>205</v>
      </c>
      <c r="AT175" s="48" t="n">
        <v>664</v>
      </c>
      <c r="AU175" s="48" t="n">
        <v>790</v>
      </c>
      <c r="AV175" s="48" t="n">
        <v>402</v>
      </c>
      <c r="AW175" s="48" t="n">
        <v>213</v>
      </c>
      <c r="AX175" s="48" t="n">
        <v>877</v>
      </c>
      <c r="AY175" s="48" t="n">
        <v>270</v>
      </c>
      <c r="AZ175" s="48" t="n">
        <v>118</v>
      </c>
      <c r="BA175" s="48" t="n">
        <v>98</v>
      </c>
      <c r="BB175" s="48" t="n">
        <v>158</v>
      </c>
      <c r="BC175" s="48" t="n">
        <v>303</v>
      </c>
      <c r="BD175" s="48" t="n">
        <v>415</v>
      </c>
      <c r="BE175" s="48" t="n">
        <v>392</v>
      </c>
      <c r="BF175" s="48" t="n">
        <v>239</v>
      </c>
      <c r="BG175" s="49" t="n">
        <v>0.55</v>
      </c>
    </row>
    <row r="176" customFormat="false" ht="15" hidden="false" customHeight="false" outlineLevel="0" collapsed="false">
      <c r="A176" s="43" t="s">
        <v>588</v>
      </c>
      <c r="B176" s="43" t="s">
        <v>589</v>
      </c>
      <c r="C176" s="44" t="str">
        <f aca="false">IF(A176="","",IFERROR(INDEX(Assumptions!$B$41:$B$55,MATCH(TRUE(),INDEX(ISNUMBER(SEARCH(" "&amp;Assumptions!$A$41:$A$55&amp;" "," "&amp;SUBSTITUTE(SUBSTITUTE(SUBSTITUTE(SUBSTITUTE(B176,"-"," "),","," "),"/"," "),"."," ")&amp;" ")),0),0)),"Other"))</f>
        <v>Other</v>
      </c>
      <c r="D176" s="45" t="n">
        <f aca="false">IF(A176="","",BG176*(1-Assumptions!$B$18))</f>
        <v>7.65</v>
      </c>
      <c r="E176" s="46" t="n">
        <f aca="false">IF(A176="","",INDEX(Assumptions!$B$23:$B$26,MOD(VALUE(LEFT(A176,5)),4)+1))</f>
        <v>2</v>
      </c>
      <c r="F176" s="47" t="n">
        <v>259</v>
      </c>
      <c r="G176" s="48" t="n">
        <v>11</v>
      </c>
      <c r="H176" s="48" t="n">
        <v>11</v>
      </c>
      <c r="I176" s="48" t="n">
        <v>5</v>
      </c>
      <c r="J176" s="48" t="n">
        <v>0</v>
      </c>
      <c r="K176" s="48" t="n">
        <v>10</v>
      </c>
      <c r="L176" s="48" t="n">
        <v>7</v>
      </c>
      <c r="M176" s="48" t="n">
        <v>11</v>
      </c>
      <c r="N176" s="48" t="n">
        <v>23</v>
      </c>
      <c r="O176" s="48" t="n">
        <v>11</v>
      </c>
      <c r="P176" s="48" t="n">
        <v>17</v>
      </c>
      <c r="Q176" s="48" t="n">
        <v>14</v>
      </c>
      <c r="R176" s="48" t="n">
        <v>24</v>
      </c>
      <c r="S176" s="48" t="n">
        <v>9</v>
      </c>
      <c r="T176" s="48" t="n">
        <v>16</v>
      </c>
      <c r="U176" s="48" t="n">
        <v>9</v>
      </c>
      <c r="V176" s="48" t="n">
        <v>24</v>
      </c>
      <c r="W176" s="48" t="n">
        <v>13</v>
      </c>
      <c r="X176" s="48" t="n">
        <v>19</v>
      </c>
      <c r="Y176" s="48" t="n">
        <v>25</v>
      </c>
      <c r="Z176" s="48" t="n">
        <v>11</v>
      </c>
      <c r="AA176" s="48" t="n">
        <v>11</v>
      </c>
      <c r="AB176" s="48" t="n">
        <v>13</v>
      </c>
      <c r="AC176" s="48" t="n">
        <v>32</v>
      </c>
      <c r="AD176" s="48" t="n">
        <v>44</v>
      </c>
      <c r="AE176" s="48" t="n">
        <v>24</v>
      </c>
      <c r="AF176" s="48" t="n">
        <v>16</v>
      </c>
      <c r="AG176" s="48" t="n">
        <v>29</v>
      </c>
      <c r="AH176" s="48" t="n">
        <v>10</v>
      </c>
      <c r="AI176" s="48" t="n">
        <v>4</v>
      </c>
      <c r="AJ176" s="48" t="n">
        <v>10</v>
      </c>
      <c r="AK176" s="48" t="n">
        <v>18</v>
      </c>
      <c r="AL176" s="48" t="n">
        <v>4</v>
      </c>
      <c r="AM176" s="48" t="n">
        <v>24</v>
      </c>
      <c r="AN176" s="48" t="n">
        <v>21</v>
      </c>
      <c r="AO176" s="48" t="n">
        <v>16</v>
      </c>
      <c r="AP176" s="48" t="n">
        <v>8</v>
      </c>
      <c r="AQ176" s="48" t="n">
        <v>14</v>
      </c>
      <c r="AR176" s="48" t="n">
        <v>10</v>
      </c>
      <c r="AS176" s="48" t="n">
        <v>12</v>
      </c>
      <c r="AT176" s="48" t="n">
        <v>20</v>
      </c>
      <c r="AU176" s="48" t="n">
        <v>13</v>
      </c>
      <c r="AV176" s="48" t="n">
        <v>52</v>
      </c>
      <c r="AW176" s="48" t="n">
        <v>6</v>
      </c>
      <c r="AX176" s="48" t="n">
        <v>13</v>
      </c>
      <c r="AY176" s="48" t="n">
        <v>21</v>
      </c>
      <c r="AZ176" s="48" t="n">
        <v>30</v>
      </c>
      <c r="BA176" s="48" t="n">
        <v>11</v>
      </c>
      <c r="BB176" s="48" t="n">
        <v>13</v>
      </c>
      <c r="BC176" s="48" t="n">
        <v>21</v>
      </c>
      <c r="BD176" s="48" t="n">
        <v>21</v>
      </c>
      <c r="BE176" s="48" t="n">
        <v>11</v>
      </c>
      <c r="BF176" s="48" t="n">
        <v>20</v>
      </c>
      <c r="BG176" s="49" t="n">
        <v>12.75</v>
      </c>
    </row>
    <row r="177" customFormat="false" ht="15" hidden="false" customHeight="false" outlineLevel="0" collapsed="false">
      <c r="A177" s="43" t="s">
        <v>590</v>
      </c>
      <c r="B177" s="43" t="s">
        <v>591</v>
      </c>
      <c r="C177" s="44" t="str">
        <f aca="false">IF(A177="","",IFERROR(INDEX(Assumptions!$B$41:$B$55,MATCH(TRUE(),INDEX(ISNUMBER(SEARCH(" "&amp;Assumptions!$A$41:$A$55&amp;" "," "&amp;SUBSTITUTE(SUBSTITUTE(SUBSTITUTE(SUBSTITUTE(B177,"-"," "),","," "),"/"," "),"."," ")&amp;" ")),0),0)),"Other"))</f>
        <v>Other</v>
      </c>
      <c r="D177" s="45" t="n">
        <f aca="false">IF(A177="","",BG177*(1-Assumptions!$B$18))</f>
        <v>1.77</v>
      </c>
      <c r="E177" s="46" t="n">
        <f aca="false">IF(A177="","",INDEX(Assumptions!$B$23:$B$26,MOD(VALUE(LEFT(A177,5)),4)+1))</f>
        <v>4</v>
      </c>
      <c r="F177" s="47" t="n">
        <v>600</v>
      </c>
      <c r="G177" s="48" t="n">
        <v>23</v>
      </c>
      <c r="H177" s="48" t="n">
        <v>51</v>
      </c>
      <c r="I177" s="48" t="n">
        <v>48</v>
      </c>
      <c r="J177" s="48" t="n">
        <v>0</v>
      </c>
      <c r="K177" s="48" t="n">
        <v>6</v>
      </c>
      <c r="L177" s="48" t="n">
        <v>12</v>
      </c>
      <c r="M177" s="48" t="n">
        <v>1</v>
      </c>
      <c r="N177" s="48" t="n">
        <v>4</v>
      </c>
      <c r="O177" s="48" t="n">
        <v>2</v>
      </c>
      <c r="P177" s="48" t="n">
        <v>5</v>
      </c>
      <c r="Q177" s="48" t="n">
        <v>21</v>
      </c>
      <c r="R177" s="48" t="n">
        <v>45</v>
      </c>
      <c r="S177" s="48" t="n">
        <v>111</v>
      </c>
      <c r="T177" s="48" t="n">
        <v>18</v>
      </c>
      <c r="U177" s="48" t="n">
        <v>13</v>
      </c>
      <c r="V177" s="48" t="n">
        <v>29</v>
      </c>
      <c r="W177" s="48" t="n">
        <v>72</v>
      </c>
      <c r="X177" s="48" t="n">
        <v>13</v>
      </c>
      <c r="Y177" s="48" t="n">
        <v>21</v>
      </c>
      <c r="Z177" s="48" t="n">
        <v>48</v>
      </c>
      <c r="AA177" s="48" t="n">
        <v>13</v>
      </c>
      <c r="AB177" s="48" t="n">
        <v>9</v>
      </c>
      <c r="AC177" s="48" t="n">
        <v>50</v>
      </c>
      <c r="AD177" s="48" t="n">
        <v>13</v>
      </c>
      <c r="AE177" s="48" t="n">
        <v>35</v>
      </c>
      <c r="AF177" s="48" t="n">
        <v>27</v>
      </c>
      <c r="AG177" s="48" t="n">
        <v>17</v>
      </c>
      <c r="AH177" s="48" t="n">
        <v>58</v>
      </c>
      <c r="AI177" s="48" t="n">
        <v>22</v>
      </c>
      <c r="AJ177" s="48" t="n">
        <v>21</v>
      </c>
      <c r="AK177" s="48" t="n">
        <v>22</v>
      </c>
      <c r="AL177" s="48" t="n">
        <v>6</v>
      </c>
      <c r="AM177" s="48" t="n">
        <v>15</v>
      </c>
      <c r="AN177" s="48" t="n">
        <v>14</v>
      </c>
      <c r="AO177" s="48" t="n">
        <v>40</v>
      </c>
      <c r="AP177" s="48" t="n">
        <v>8</v>
      </c>
      <c r="AQ177" s="48" t="n">
        <v>529</v>
      </c>
      <c r="AR177" s="48" t="n">
        <v>12</v>
      </c>
      <c r="AS177" s="48" t="n">
        <v>27</v>
      </c>
      <c r="AT177" s="48" t="n">
        <v>24</v>
      </c>
      <c r="AU177" s="48" t="n">
        <v>43</v>
      </c>
      <c r="AV177" s="48" t="n">
        <v>36</v>
      </c>
      <c r="AW177" s="48" t="n">
        <v>80</v>
      </c>
      <c r="AX177" s="48" t="n">
        <v>1500</v>
      </c>
      <c r="AY177" s="48" t="n">
        <v>888</v>
      </c>
      <c r="AZ177" s="48" t="n">
        <v>25</v>
      </c>
      <c r="BA177" s="48" t="n">
        <v>32</v>
      </c>
      <c r="BB177" s="48" t="n">
        <v>41</v>
      </c>
      <c r="BC177" s="48" t="n">
        <v>59</v>
      </c>
      <c r="BD177" s="48" t="n">
        <v>86</v>
      </c>
      <c r="BE177" s="48" t="n">
        <v>63</v>
      </c>
      <c r="BF177" s="48" t="n">
        <v>100</v>
      </c>
      <c r="BG177" s="49" t="n">
        <v>2.95</v>
      </c>
    </row>
    <row r="178" customFormat="false" ht="15" hidden="false" customHeight="false" outlineLevel="0" collapsed="false">
      <c r="A178" s="43" t="s">
        <v>592</v>
      </c>
      <c r="B178" s="43" t="s">
        <v>593</v>
      </c>
      <c r="C178" s="44" t="str">
        <f aca="false">IF(A178="","",IFERROR(INDEX(Assumptions!$B$41:$B$55,MATCH(TRUE(),INDEX(ISNUMBER(SEARCH(" "&amp;Assumptions!$A$41:$A$55&amp;" "," "&amp;SUBSTITUTE(SUBSTITUTE(SUBSTITUTE(SUBSTITUTE(B178,"-"," "),","," "),"/"," "),"."," ")&amp;" ")),0),0)),"Other"))</f>
        <v>Other</v>
      </c>
      <c r="D178" s="45" t="n">
        <f aca="false">IF(A178="","",BG178*(1-Assumptions!$B$18))</f>
        <v>1.77</v>
      </c>
      <c r="E178" s="46" t="n">
        <f aca="false">IF(A178="","",INDEX(Assumptions!$B$23:$B$26,MOD(VALUE(LEFT(A178,5)),4)+1))</f>
        <v>8</v>
      </c>
      <c r="F178" s="47" t="n">
        <v>1084</v>
      </c>
      <c r="G178" s="48" t="n">
        <v>22</v>
      </c>
      <c r="H178" s="48" t="n">
        <v>8</v>
      </c>
      <c r="I178" s="48" t="n">
        <v>7</v>
      </c>
      <c r="J178" s="48" t="n">
        <v>0</v>
      </c>
      <c r="K178" s="48" t="n">
        <v>69</v>
      </c>
      <c r="L178" s="48" t="n">
        <v>41</v>
      </c>
      <c r="M178" s="48" t="n">
        <v>95</v>
      </c>
      <c r="N178" s="48" t="n">
        <v>130</v>
      </c>
      <c r="O178" s="48" t="n">
        <v>88</v>
      </c>
      <c r="P178" s="48" t="n">
        <v>131</v>
      </c>
      <c r="Q178" s="48" t="n">
        <v>172</v>
      </c>
      <c r="R178" s="48" t="n">
        <v>173</v>
      </c>
      <c r="S178" s="48" t="n">
        <v>102</v>
      </c>
      <c r="T178" s="48" t="n">
        <v>87</v>
      </c>
      <c r="U178" s="48" t="n">
        <v>151</v>
      </c>
      <c r="V178" s="48" t="n">
        <v>112</v>
      </c>
      <c r="W178" s="48" t="n">
        <v>235</v>
      </c>
      <c r="X178" s="48" t="n">
        <v>292</v>
      </c>
      <c r="Y178" s="48" t="n">
        <v>442</v>
      </c>
      <c r="Z178" s="48" t="n">
        <v>250</v>
      </c>
      <c r="AA178" s="48" t="n">
        <v>301</v>
      </c>
      <c r="AB178" s="48" t="n">
        <v>477</v>
      </c>
      <c r="AC178" s="48" t="n">
        <v>57</v>
      </c>
      <c r="AD178" s="48" t="n">
        <v>0</v>
      </c>
      <c r="AE178" s="48" t="n">
        <v>0</v>
      </c>
      <c r="AF178" s="48" t="n">
        <v>0</v>
      </c>
      <c r="AG178" s="48" t="n">
        <v>0</v>
      </c>
      <c r="AH178" s="48" t="n">
        <v>0</v>
      </c>
      <c r="AI178" s="48" t="n">
        <v>0</v>
      </c>
      <c r="AJ178" s="48" t="n">
        <v>0</v>
      </c>
      <c r="AK178" s="48" t="n">
        <v>0</v>
      </c>
      <c r="AL178" s="48" t="n">
        <v>0</v>
      </c>
      <c r="AM178" s="48" t="n">
        <v>0</v>
      </c>
      <c r="AN178" s="48" t="n">
        <v>0</v>
      </c>
      <c r="AO178" s="48" t="n">
        <v>0</v>
      </c>
      <c r="AP178" s="48" t="n">
        <v>0</v>
      </c>
      <c r="AQ178" s="48" t="n">
        <v>0</v>
      </c>
      <c r="AR178" s="48" t="n">
        <v>0</v>
      </c>
      <c r="AS178" s="48" t="n">
        <v>0</v>
      </c>
      <c r="AT178" s="48" t="n">
        <v>0</v>
      </c>
      <c r="AU178" s="48" t="n">
        <v>0</v>
      </c>
      <c r="AV178" s="48" t="n">
        <v>0</v>
      </c>
      <c r="AW178" s="48" t="n">
        <v>0</v>
      </c>
      <c r="AX178" s="48" t="n">
        <v>0</v>
      </c>
      <c r="AY178" s="48" t="n">
        <v>0</v>
      </c>
      <c r="AZ178" s="48" t="n">
        <v>0</v>
      </c>
      <c r="BA178" s="48" t="n">
        <v>0</v>
      </c>
      <c r="BB178" s="48" t="n">
        <v>0</v>
      </c>
      <c r="BC178" s="48" t="n">
        <v>10</v>
      </c>
      <c r="BD178" s="48" t="n">
        <v>256</v>
      </c>
      <c r="BE178" s="48" t="n">
        <v>317</v>
      </c>
      <c r="BF178" s="48" t="n">
        <v>0</v>
      </c>
      <c r="BG178" s="49" t="n">
        <v>2.95</v>
      </c>
    </row>
    <row r="179" customFormat="false" ht="15" hidden="false" customHeight="false" outlineLevel="0" collapsed="false">
      <c r="A179" s="43" t="s">
        <v>594</v>
      </c>
      <c r="B179" s="43" t="s">
        <v>595</v>
      </c>
      <c r="C179" s="44" t="str">
        <f aca="false">IF(A179="","",IFERROR(INDEX(Assumptions!$B$41:$B$55,MATCH(TRUE(),INDEX(ISNUMBER(SEARCH(" "&amp;Assumptions!$A$41:$A$55&amp;" "," "&amp;SUBSTITUTE(SUBSTITUTE(SUBSTITUTE(SUBSTITUTE(B179,"-"," "),","," "),"/"," "),"."," ")&amp;" ")),0),0)),"Other"))</f>
        <v>Other</v>
      </c>
      <c r="D179" s="45" t="n">
        <f aca="false">IF(A179="","",BG179*(1-Assumptions!$B$18))</f>
        <v>5.1</v>
      </c>
      <c r="E179" s="46" t="n">
        <f aca="false">IF(A179="","",INDEX(Assumptions!$B$23:$B$26,MOD(VALUE(LEFT(A179,5)),4)+1))</f>
        <v>8</v>
      </c>
      <c r="F179" s="47" t="n">
        <v>164</v>
      </c>
      <c r="G179" s="48" t="n">
        <v>14</v>
      </c>
      <c r="H179" s="48" t="n">
        <v>6</v>
      </c>
      <c r="I179" s="48" t="n">
        <v>1</v>
      </c>
      <c r="J179" s="48" t="n">
        <v>0</v>
      </c>
      <c r="K179" s="48" t="n">
        <v>16</v>
      </c>
      <c r="L179" s="48" t="n">
        <v>6</v>
      </c>
      <c r="M179" s="48" t="n">
        <v>11</v>
      </c>
      <c r="N179" s="48" t="n">
        <v>25</v>
      </c>
      <c r="O179" s="48" t="n">
        <v>9</v>
      </c>
      <c r="P179" s="48" t="n">
        <v>10</v>
      </c>
      <c r="Q179" s="48" t="n">
        <v>25</v>
      </c>
      <c r="R179" s="48" t="n">
        <v>21</v>
      </c>
      <c r="S179" s="48" t="n">
        <v>12</v>
      </c>
      <c r="T179" s="48" t="n">
        <v>21</v>
      </c>
      <c r="U179" s="48" t="n">
        <v>36</v>
      </c>
      <c r="V179" s="48" t="n">
        <v>25</v>
      </c>
      <c r="W179" s="48" t="n">
        <v>19</v>
      </c>
      <c r="X179" s="48" t="n">
        <v>20</v>
      </c>
      <c r="Y179" s="48" t="n">
        <v>30</v>
      </c>
      <c r="Z179" s="48" t="n">
        <v>14</v>
      </c>
      <c r="AA179" s="48" t="n">
        <v>9</v>
      </c>
      <c r="AB179" s="48" t="n">
        <v>20</v>
      </c>
      <c r="AC179" s="48" t="n">
        <v>13</v>
      </c>
      <c r="AD179" s="48" t="n">
        <v>23</v>
      </c>
      <c r="AE179" s="48" t="n">
        <v>20</v>
      </c>
      <c r="AF179" s="48" t="n">
        <v>22</v>
      </c>
      <c r="AG179" s="48" t="n">
        <v>11</v>
      </c>
      <c r="AH179" s="48" t="n">
        <v>16</v>
      </c>
      <c r="AI179" s="48" t="n">
        <v>4</v>
      </c>
      <c r="AJ179" s="48" t="n">
        <v>13</v>
      </c>
      <c r="AK179" s="48" t="n">
        <v>11</v>
      </c>
      <c r="AL179" s="48" t="n">
        <v>42</v>
      </c>
      <c r="AM179" s="48" t="n">
        <v>37</v>
      </c>
      <c r="AN179" s="48" t="n">
        <v>17</v>
      </c>
      <c r="AO179" s="48" t="n">
        <v>356</v>
      </c>
      <c r="AP179" s="48" t="n">
        <v>102</v>
      </c>
      <c r="AQ179" s="48" t="n">
        <v>14</v>
      </c>
      <c r="AR179" s="48" t="n">
        <v>8</v>
      </c>
      <c r="AS179" s="48" t="n">
        <v>20</v>
      </c>
      <c r="AT179" s="48" t="n">
        <v>29</v>
      </c>
      <c r="AU179" s="48" t="n">
        <v>37</v>
      </c>
      <c r="AV179" s="48" t="n">
        <v>25</v>
      </c>
      <c r="AW179" s="48" t="n">
        <v>22</v>
      </c>
      <c r="AX179" s="48" t="n">
        <v>38</v>
      </c>
      <c r="AY179" s="48" t="n">
        <v>16</v>
      </c>
      <c r="AZ179" s="48" t="n">
        <v>29</v>
      </c>
      <c r="BA179" s="48" t="n">
        <v>31</v>
      </c>
      <c r="BB179" s="48" t="n">
        <v>14</v>
      </c>
      <c r="BC179" s="48" t="n">
        <v>15</v>
      </c>
      <c r="BD179" s="48" t="n">
        <v>38</v>
      </c>
      <c r="BE179" s="48" t="n">
        <v>15</v>
      </c>
      <c r="BF179" s="48" t="n">
        <v>32</v>
      </c>
      <c r="BG179" s="49" t="n">
        <v>8.5</v>
      </c>
    </row>
    <row r="180" customFormat="false" ht="15" hidden="false" customHeight="false" outlineLevel="0" collapsed="false">
      <c r="A180" s="43" t="s">
        <v>596</v>
      </c>
      <c r="B180" s="43" t="s">
        <v>597</v>
      </c>
      <c r="C180" s="44" t="str">
        <f aca="false">IF(A180="","",IFERROR(INDEX(Assumptions!$B$41:$B$55,MATCH(TRUE(),INDEX(ISNUMBER(SEARCH(" "&amp;Assumptions!$A$41:$A$55&amp;" "," "&amp;SUBSTITUTE(SUBSTITUTE(SUBSTITUTE(SUBSTITUTE(B180,"-"," "),","," "),"/"," "),"."," ")&amp;" ")),0),0)),"Other"))</f>
        <v>Other</v>
      </c>
      <c r="D180" s="45" t="n">
        <f aca="false">IF(A180="","",BG180*(1-Assumptions!$B$18))</f>
        <v>5.1</v>
      </c>
      <c r="E180" s="46" t="n">
        <f aca="false">IF(A180="","",INDEX(Assumptions!$B$23:$B$26,MOD(VALUE(LEFT(A180,5)),4)+1))</f>
        <v>2</v>
      </c>
      <c r="F180" s="47" t="n">
        <v>1328</v>
      </c>
      <c r="G180" s="48" t="n">
        <v>170</v>
      </c>
      <c r="H180" s="48" t="n">
        <v>90</v>
      </c>
      <c r="I180" s="48" t="n">
        <v>10</v>
      </c>
      <c r="J180" s="48" t="n">
        <v>0</v>
      </c>
      <c r="K180" s="48" t="n">
        <v>17</v>
      </c>
      <c r="L180" s="48" t="n">
        <v>6</v>
      </c>
      <c r="M180" s="48" t="n">
        <v>64</v>
      </c>
      <c r="N180" s="48" t="n">
        <v>3</v>
      </c>
      <c r="O180" s="48" t="n">
        <v>16</v>
      </c>
      <c r="P180" s="48" t="n">
        <v>4</v>
      </c>
      <c r="Q180" s="48" t="n">
        <v>19</v>
      </c>
      <c r="R180" s="48" t="n">
        <v>0</v>
      </c>
      <c r="S180" s="48" t="n">
        <v>8</v>
      </c>
      <c r="T180" s="48" t="n">
        <v>7</v>
      </c>
      <c r="U180" s="48" t="n">
        <v>43</v>
      </c>
      <c r="V180" s="48" t="n">
        <v>3</v>
      </c>
      <c r="W180" s="48" t="n">
        <v>10</v>
      </c>
      <c r="X180" s="48" t="n">
        <v>16</v>
      </c>
      <c r="Y180" s="48" t="n">
        <v>7</v>
      </c>
      <c r="Z180" s="48" t="n">
        <v>8</v>
      </c>
      <c r="AA180" s="48" t="n">
        <v>4</v>
      </c>
      <c r="AB180" s="48" t="n">
        <v>40</v>
      </c>
      <c r="AC180" s="48" t="n">
        <v>40</v>
      </c>
      <c r="AD180" s="48" t="n">
        <v>18</v>
      </c>
      <c r="AE180" s="48" t="n">
        <v>37</v>
      </c>
      <c r="AF180" s="48" t="n">
        <v>14</v>
      </c>
      <c r="AG180" s="48" t="n">
        <v>9</v>
      </c>
      <c r="AH180" s="48" t="n">
        <v>14</v>
      </c>
      <c r="AI180" s="48" t="n">
        <v>6</v>
      </c>
      <c r="AJ180" s="48" t="n">
        <v>21</v>
      </c>
      <c r="AK180" s="48" t="n">
        <v>24</v>
      </c>
      <c r="AL180" s="48" t="n">
        <v>20</v>
      </c>
      <c r="AM180" s="48" t="n">
        <v>47</v>
      </c>
      <c r="AN180" s="48" t="n">
        <v>19</v>
      </c>
      <c r="AO180" s="48" t="n">
        <v>19</v>
      </c>
      <c r="AP180" s="48" t="n">
        <v>3</v>
      </c>
      <c r="AQ180" s="48" t="n">
        <v>6</v>
      </c>
      <c r="AR180" s="48" t="n">
        <v>13</v>
      </c>
      <c r="AS180" s="48" t="n">
        <v>17</v>
      </c>
      <c r="AT180" s="48" t="n">
        <v>8</v>
      </c>
      <c r="AU180" s="48" t="n">
        <v>39</v>
      </c>
      <c r="AV180" s="48" t="n">
        <v>14</v>
      </c>
      <c r="AW180" s="48" t="n">
        <v>74</v>
      </c>
      <c r="AX180" s="48" t="n">
        <v>44</v>
      </c>
      <c r="AY180" s="48" t="n">
        <v>7</v>
      </c>
      <c r="AZ180" s="48" t="n">
        <v>15</v>
      </c>
      <c r="BA180" s="48" t="n">
        <v>11</v>
      </c>
      <c r="BB180" s="48" t="n">
        <v>34</v>
      </c>
      <c r="BC180" s="48" t="n">
        <v>14</v>
      </c>
      <c r="BD180" s="48" t="n">
        <v>80</v>
      </c>
      <c r="BE180" s="48" t="n">
        <v>75</v>
      </c>
      <c r="BF180" s="48" t="n">
        <v>67</v>
      </c>
      <c r="BG180" s="49" t="n">
        <v>8.5</v>
      </c>
    </row>
    <row r="181" customFormat="false" ht="15" hidden="false" customHeight="false" outlineLevel="0" collapsed="false">
      <c r="A181" s="43" t="s">
        <v>598</v>
      </c>
      <c r="B181" s="43" t="s">
        <v>599</v>
      </c>
      <c r="C181" s="44" t="str">
        <f aca="false">IF(A181="","",IFERROR(INDEX(Assumptions!$B$41:$B$55,MATCH(TRUE(),INDEX(ISNUMBER(SEARCH(" "&amp;Assumptions!$A$41:$A$55&amp;" "," "&amp;SUBSTITUTE(SUBSTITUTE(SUBSTITUTE(SUBSTITUTE(B181,"-"," "),","," "),"/"," "),"."," ")&amp;" ")),0),0)),"Other"))</f>
        <v>Bags</v>
      </c>
      <c r="D181" s="45" t="n">
        <f aca="false">IF(A181="","",BG181*(1-Assumptions!$B$18))</f>
        <v>1.77</v>
      </c>
      <c r="E181" s="46" t="n">
        <f aca="false">IF(A181="","",INDEX(Assumptions!$B$23:$B$26,MOD(VALUE(LEFT(A181,5)),4)+1))</f>
        <v>2</v>
      </c>
      <c r="F181" s="47" t="n">
        <v>2434</v>
      </c>
      <c r="G181" s="48" t="n">
        <v>16</v>
      </c>
      <c r="H181" s="48" t="n">
        <v>4</v>
      </c>
      <c r="I181" s="48" t="n">
        <v>1</v>
      </c>
      <c r="J181" s="48" t="n">
        <v>0</v>
      </c>
      <c r="K181" s="48" t="n">
        <v>25</v>
      </c>
      <c r="L181" s="48" t="n">
        <v>18</v>
      </c>
      <c r="M181" s="48" t="n">
        <v>61</v>
      </c>
      <c r="N181" s="48" t="n">
        <v>40</v>
      </c>
      <c r="O181" s="48" t="n">
        <v>32</v>
      </c>
      <c r="P181" s="48" t="n">
        <v>57</v>
      </c>
      <c r="Q181" s="48" t="n">
        <v>8</v>
      </c>
      <c r="R181" s="48" t="n">
        <v>81</v>
      </c>
      <c r="S181" s="48" t="n">
        <v>50</v>
      </c>
      <c r="T181" s="48" t="n">
        <v>96</v>
      </c>
      <c r="U181" s="48" t="n">
        <v>8</v>
      </c>
      <c r="V181" s="48" t="n">
        <v>172</v>
      </c>
      <c r="W181" s="48" t="n">
        <v>72</v>
      </c>
      <c r="X181" s="48" t="n">
        <v>159</v>
      </c>
      <c r="Y181" s="48" t="n">
        <v>91</v>
      </c>
      <c r="Z181" s="48" t="n">
        <v>144</v>
      </c>
      <c r="AA181" s="48" t="n">
        <v>110</v>
      </c>
      <c r="AB181" s="48" t="n">
        <v>300</v>
      </c>
      <c r="AC181" s="48" t="n">
        <v>251</v>
      </c>
      <c r="AD181" s="48" t="n">
        <v>181</v>
      </c>
      <c r="AE181" s="48" t="n">
        <v>472</v>
      </c>
      <c r="AF181" s="48" t="n">
        <v>24</v>
      </c>
      <c r="AG181" s="48" t="n">
        <v>131</v>
      </c>
      <c r="AH181" s="48" t="n">
        <v>205</v>
      </c>
      <c r="AI181" s="48" t="n">
        <v>66</v>
      </c>
      <c r="AJ181" s="48" t="n">
        <v>40</v>
      </c>
      <c r="AK181" s="48" t="n">
        <v>216</v>
      </c>
      <c r="AL181" s="48" t="n">
        <v>34</v>
      </c>
      <c r="AM181" s="48" t="n">
        <v>125</v>
      </c>
      <c r="AN181" s="48" t="n">
        <v>45</v>
      </c>
      <c r="AO181" s="48" t="n">
        <v>149</v>
      </c>
      <c r="AP181" s="48" t="n">
        <v>73</v>
      </c>
      <c r="AQ181" s="48" t="n">
        <v>66</v>
      </c>
      <c r="AR181" s="48" t="n">
        <v>40</v>
      </c>
      <c r="AS181" s="48" t="n">
        <v>12</v>
      </c>
      <c r="AT181" s="48" t="n">
        <v>94</v>
      </c>
      <c r="AU181" s="48" t="n">
        <v>24</v>
      </c>
      <c r="AV181" s="48" t="n">
        <v>0</v>
      </c>
      <c r="AW181" s="48" t="n">
        <v>15</v>
      </c>
      <c r="AX181" s="48" t="n">
        <v>7</v>
      </c>
      <c r="AY181" s="48" t="n">
        <v>16</v>
      </c>
      <c r="AZ181" s="48" t="n">
        <v>12</v>
      </c>
      <c r="BA181" s="48" t="n">
        <v>54</v>
      </c>
      <c r="BB181" s="48" t="n">
        <v>6</v>
      </c>
      <c r="BC181" s="48" t="n">
        <v>17</v>
      </c>
      <c r="BD181" s="48" t="n">
        <v>9</v>
      </c>
      <c r="BE181" s="48" t="n">
        <v>10</v>
      </c>
      <c r="BF181" s="48" t="n">
        <v>17</v>
      </c>
      <c r="BG181" s="49" t="n">
        <v>2.95</v>
      </c>
    </row>
    <row r="182" customFormat="false" ht="15" hidden="false" customHeight="false" outlineLevel="0" collapsed="false">
      <c r="A182" s="43" t="s">
        <v>600</v>
      </c>
      <c r="B182" s="43" t="s">
        <v>601</v>
      </c>
      <c r="C182" s="44" t="str">
        <f aca="false">IF(A182="","",IFERROR(INDEX(Assumptions!$B$41:$B$55,MATCH(TRUE(),INDEX(ISNUMBER(SEARCH(" "&amp;Assumptions!$A$41:$A$55&amp;" "," "&amp;SUBSTITUTE(SUBSTITUTE(SUBSTITUTE(SUBSTITUTE(B182,"-"," "),","," "),"/"," "),"."," ")&amp;" ")),0),0)),"Other"))</f>
        <v>Other</v>
      </c>
      <c r="D182" s="45" t="n">
        <f aca="false">IF(A182="","",BG182*(1-Assumptions!$B$18))</f>
        <v>1.77</v>
      </c>
      <c r="E182" s="46" t="n">
        <f aca="false">IF(A182="","",INDEX(Assumptions!$B$23:$B$26,MOD(VALUE(LEFT(A182,5)),4)+1))</f>
        <v>6</v>
      </c>
      <c r="F182" s="47" t="n">
        <v>127</v>
      </c>
      <c r="G182" s="48" t="n">
        <v>331</v>
      </c>
      <c r="H182" s="48" t="n">
        <v>95</v>
      </c>
      <c r="I182" s="48" t="n">
        <v>11</v>
      </c>
      <c r="J182" s="48" t="n">
        <v>0</v>
      </c>
      <c r="K182" s="48" t="n">
        <v>9</v>
      </c>
      <c r="L182" s="48" t="n">
        <v>0</v>
      </c>
      <c r="M182" s="48" t="n">
        <v>1</v>
      </c>
      <c r="N182" s="48" t="n">
        <v>0</v>
      </c>
      <c r="O182" s="48" t="n">
        <v>1</v>
      </c>
      <c r="P182" s="48" t="n">
        <v>0</v>
      </c>
      <c r="Q182" s="48" t="n">
        <v>0</v>
      </c>
      <c r="R182" s="48" t="n">
        <v>3</v>
      </c>
      <c r="S182" s="48" t="n">
        <v>0</v>
      </c>
      <c r="T182" s="48" t="n">
        <v>3</v>
      </c>
      <c r="U182" s="48" t="n">
        <v>1</v>
      </c>
      <c r="V182" s="48" t="n">
        <v>0</v>
      </c>
      <c r="W182" s="48" t="n">
        <v>8</v>
      </c>
      <c r="X182" s="48" t="n">
        <v>2</v>
      </c>
      <c r="Y182" s="48" t="n">
        <v>0</v>
      </c>
      <c r="Z182" s="48" t="n">
        <v>1</v>
      </c>
      <c r="AA182" s="48" t="n">
        <v>3</v>
      </c>
      <c r="AB182" s="48" t="n">
        <v>0</v>
      </c>
      <c r="AC182" s="48" t="n">
        <v>8</v>
      </c>
      <c r="AD182" s="48" t="n">
        <v>8</v>
      </c>
      <c r="AE182" s="48" t="n">
        <v>0</v>
      </c>
      <c r="AF182" s="48" t="n">
        <v>0</v>
      </c>
      <c r="AG182" s="48" t="n">
        <v>9</v>
      </c>
      <c r="AH182" s="48" t="n">
        <v>8</v>
      </c>
      <c r="AI182" s="48" t="n">
        <v>1</v>
      </c>
      <c r="AJ182" s="48" t="n">
        <v>2</v>
      </c>
      <c r="AK182" s="48" t="n">
        <v>5</v>
      </c>
      <c r="AL182" s="48" t="n">
        <v>0</v>
      </c>
      <c r="AM182" s="48" t="n">
        <v>1</v>
      </c>
      <c r="AN182" s="48" t="n">
        <v>20</v>
      </c>
      <c r="AO182" s="48" t="n">
        <v>40</v>
      </c>
      <c r="AP182" s="48" t="n">
        <v>331</v>
      </c>
      <c r="AQ182" s="48" t="n">
        <v>18</v>
      </c>
      <c r="AR182" s="48" t="n">
        <v>4</v>
      </c>
      <c r="AS182" s="48" t="n">
        <v>35</v>
      </c>
      <c r="AT182" s="48" t="n">
        <v>83</v>
      </c>
      <c r="AU182" s="48" t="n">
        <v>80</v>
      </c>
      <c r="AV182" s="48" t="n">
        <v>85</v>
      </c>
      <c r="AW182" s="48" t="n">
        <v>52</v>
      </c>
      <c r="AX182" s="48" t="n">
        <v>138</v>
      </c>
      <c r="AY182" s="48" t="n">
        <v>170</v>
      </c>
      <c r="AZ182" s="48" t="n">
        <v>260</v>
      </c>
      <c r="BA182" s="48" t="n">
        <v>111</v>
      </c>
      <c r="BB182" s="48" t="n">
        <v>160</v>
      </c>
      <c r="BC182" s="48" t="n">
        <v>239</v>
      </c>
      <c r="BD182" s="48" t="n">
        <v>580</v>
      </c>
      <c r="BE182" s="48" t="n">
        <v>271</v>
      </c>
      <c r="BF182" s="48" t="n">
        <v>117</v>
      </c>
      <c r="BG182" s="49" t="n">
        <v>2.95</v>
      </c>
    </row>
    <row r="183" customFormat="false" ht="15" hidden="false" customHeight="false" outlineLevel="0" collapsed="false">
      <c r="A183" s="43" t="s">
        <v>602</v>
      </c>
      <c r="B183" s="43" t="s">
        <v>603</v>
      </c>
      <c r="C183" s="44" t="str">
        <f aca="false">IF(A183="","",IFERROR(INDEX(Assumptions!$B$41:$B$55,MATCH(TRUE(),INDEX(ISNUMBER(SEARCH(" "&amp;Assumptions!$A$41:$A$55&amp;" "," "&amp;SUBSTITUTE(SUBSTITUTE(SUBSTITUTE(SUBSTITUTE(B183,"-"," "),","," "),"/"," "),"."," ")&amp;" ")),0),0)),"Other"))</f>
        <v>Other</v>
      </c>
      <c r="D183" s="45" t="n">
        <f aca="false">IF(A183="","",BG183*(1-Assumptions!$B$18))</f>
        <v>5.1</v>
      </c>
      <c r="E183" s="46" t="n">
        <f aca="false">IF(A183="","",INDEX(Assumptions!$B$23:$B$26,MOD(VALUE(LEFT(A183,5)),4)+1))</f>
        <v>4</v>
      </c>
      <c r="F183" s="47" t="n">
        <v>1073</v>
      </c>
      <c r="G183" s="48" t="n">
        <v>10</v>
      </c>
      <c r="H183" s="48" t="n">
        <v>21</v>
      </c>
      <c r="I183" s="48" t="n">
        <v>2</v>
      </c>
      <c r="J183" s="48" t="n">
        <v>0</v>
      </c>
      <c r="K183" s="48" t="n">
        <v>16</v>
      </c>
      <c r="L183" s="48" t="n">
        <v>7</v>
      </c>
      <c r="M183" s="48" t="n">
        <v>6</v>
      </c>
      <c r="N183" s="48" t="n">
        <v>16</v>
      </c>
      <c r="O183" s="48" t="n">
        <v>9</v>
      </c>
      <c r="P183" s="48" t="n">
        <v>19</v>
      </c>
      <c r="Q183" s="48" t="n">
        <v>29</v>
      </c>
      <c r="R183" s="48" t="n">
        <v>20</v>
      </c>
      <c r="S183" s="48" t="n">
        <v>16</v>
      </c>
      <c r="T183" s="48" t="n">
        <v>16</v>
      </c>
      <c r="U183" s="48" t="n">
        <v>36</v>
      </c>
      <c r="V183" s="48" t="n">
        <v>9</v>
      </c>
      <c r="W183" s="48" t="n">
        <v>20</v>
      </c>
      <c r="X183" s="48" t="n">
        <v>32</v>
      </c>
      <c r="Y183" s="48" t="n">
        <v>11</v>
      </c>
      <c r="Z183" s="48" t="n">
        <v>14</v>
      </c>
      <c r="AA183" s="48" t="n">
        <v>18</v>
      </c>
      <c r="AB183" s="48" t="n">
        <v>24</v>
      </c>
      <c r="AC183" s="48" t="n">
        <v>16</v>
      </c>
      <c r="AD183" s="48" t="n">
        <v>25</v>
      </c>
      <c r="AE183" s="48" t="n">
        <v>17</v>
      </c>
      <c r="AF183" s="48" t="n">
        <v>16</v>
      </c>
      <c r="AG183" s="48" t="n">
        <v>20</v>
      </c>
      <c r="AH183" s="48" t="n">
        <v>12</v>
      </c>
      <c r="AI183" s="48" t="n">
        <v>22</v>
      </c>
      <c r="AJ183" s="48" t="n">
        <v>46</v>
      </c>
      <c r="AK183" s="48" t="n">
        <v>15</v>
      </c>
      <c r="AL183" s="48" t="n">
        <v>45</v>
      </c>
      <c r="AM183" s="48" t="n">
        <v>37</v>
      </c>
      <c r="AN183" s="48" t="n">
        <v>20</v>
      </c>
      <c r="AO183" s="48" t="n">
        <v>30</v>
      </c>
      <c r="AP183" s="48" t="n">
        <v>16</v>
      </c>
      <c r="AQ183" s="48" t="n">
        <v>7</v>
      </c>
      <c r="AR183" s="48" t="n">
        <v>21</v>
      </c>
      <c r="AS183" s="48" t="n">
        <v>45</v>
      </c>
      <c r="AT183" s="48" t="n">
        <v>27</v>
      </c>
      <c r="AU183" s="48" t="n">
        <v>39</v>
      </c>
      <c r="AV183" s="48" t="n">
        <v>79</v>
      </c>
      <c r="AW183" s="48" t="n">
        <v>140</v>
      </c>
      <c r="AX183" s="48" t="n">
        <v>54</v>
      </c>
      <c r="AY183" s="48" t="n">
        <v>44</v>
      </c>
      <c r="AZ183" s="48" t="n">
        <v>24</v>
      </c>
      <c r="BA183" s="48" t="n">
        <v>43</v>
      </c>
      <c r="BB183" s="48" t="n">
        <v>26</v>
      </c>
      <c r="BC183" s="48" t="n">
        <v>18</v>
      </c>
      <c r="BD183" s="48" t="n">
        <v>30</v>
      </c>
      <c r="BE183" s="48" t="n">
        <v>22</v>
      </c>
      <c r="BF183" s="48" t="n">
        <v>54</v>
      </c>
      <c r="BG183" s="49" t="n">
        <v>8.5</v>
      </c>
    </row>
    <row r="184" customFormat="false" ht="15" hidden="false" customHeight="false" outlineLevel="0" collapsed="false">
      <c r="A184" s="43" t="s">
        <v>604</v>
      </c>
      <c r="B184" s="43" t="s">
        <v>605</v>
      </c>
      <c r="C184" s="44" t="str">
        <f aca="false">IF(A184="","",IFERROR(INDEX(Assumptions!$B$41:$B$55,MATCH(TRUE(),INDEX(ISNUMBER(SEARCH(" "&amp;Assumptions!$A$41:$A$55&amp;" "," "&amp;SUBSTITUTE(SUBSTITUTE(SUBSTITUTE(SUBSTITUTE(B184,"-"," "),","," "),"/"," "),"."," ")&amp;" ")),0),0)),"Other"))</f>
        <v>Other</v>
      </c>
      <c r="D184" s="45" t="n">
        <f aca="false">IF(A184="","",BG184*(1-Assumptions!$B$18))</f>
        <v>2.25</v>
      </c>
      <c r="E184" s="46" t="n">
        <f aca="false">IF(A184="","",INDEX(Assumptions!$B$23:$B$26,MOD(VALUE(LEFT(A184,5)),4)+1))</f>
        <v>6</v>
      </c>
      <c r="F184" s="47" t="n">
        <v>900</v>
      </c>
      <c r="G184" s="48" t="n">
        <v>46</v>
      </c>
      <c r="H184" s="48" t="n">
        <v>17</v>
      </c>
      <c r="I184" s="48" t="n">
        <v>15</v>
      </c>
      <c r="J184" s="48" t="n">
        <v>0</v>
      </c>
      <c r="K184" s="48" t="n">
        <v>94</v>
      </c>
      <c r="L184" s="48" t="n">
        <v>120</v>
      </c>
      <c r="M184" s="48" t="n">
        <v>38</v>
      </c>
      <c r="N184" s="48" t="n">
        <v>62</v>
      </c>
      <c r="O184" s="48" t="n">
        <v>108</v>
      </c>
      <c r="P184" s="48" t="n">
        <v>2</v>
      </c>
      <c r="Q184" s="48" t="n">
        <v>59</v>
      </c>
      <c r="R184" s="48" t="n">
        <v>41</v>
      </c>
      <c r="S184" s="48" t="n">
        <v>112</v>
      </c>
      <c r="T184" s="48" t="n">
        <v>8</v>
      </c>
      <c r="U184" s="48" t="n">
        <v>55</v>
      </c>
      <c r="V184" s="48" t="n">
        <v>59</v>
      </c>
      <c r="W184" s="48" t="n">
        <v>78</v>
      </c>
      <c r="X184" s="48" t="n">
        <v>6</v>
      </c>
      <c r="Y184" s="48" t="n">
        <v>66</v>
      </c>
      <c r="Z184" s="48" t="n">
        <v>57</v>
      </c>
      <c r="AA184" s="48" t="n">
        <v>45</v>
      </c>
      <c r="AB184" s="48" t="n">
        <v>12</v>
      </c>
      <c r="AC184" s="48" t="n">
        <v>33</v>
      </c>
      <c r="AD184" s="48" t="n">
        <v>133</v>
      </c>
      <c r="AE184" s="48" t="n">
        <v>12</v>
      </c>
      <c r="AF184" s="48" t="n">
        <v>23</v>
      </c>
      <c r="AG184" s="48" t="n">
        <v>26</v>
      </c>
      <c r="AH184" s="48" t="n">
        <v>68</v>
      </c>
      <c r="AI184" s="48" t="n">
        <v>28</v>
      </c>
      <c r="AJ184" s="48" t="n">
        <v>149</v>
      </c>
      <c r="AK184" s="48" t="n">
        <v>7</v>
      </c>
      <c r="AL184" s="48" t="n">
        <v>42</v>
      </c>
      <c r="AM184" s="48" t="n">
        <v>42</v>
      </c>
      <c r="AN184" s="48" t="n">
        <v>7</v>
      </c>
      <c r="AO184" s="48" t="n">
        <v>398</v>
      </c>
      <c r="AP184" s="48" t="n">
        <v>146</v>
      </c>
      <c r="AQ184" s="48" t="n">
        <v>53</v>
      </c>
      <c r="AR184" s="48" t="n">
        <v>27</v>
      </c>
      <c r="AS184" s="48" t="n">
        <v>53</v>
      </c>
      <c r="AT184" s="48" t="n">
        <v>72</v>
      </c>
      <c r="AU184" s="48" t="n">
        <v>70</v>
      </c>
      <c r="AV184" s="48" t="n">
        <v>39</v>
      </c>
      <c r="AW184" s="48" t="n">
        <v>19</v>
      </c>
      <c r="AX184" s="48" t="n">
        <v>70</v>
      </c>
      <c r="AY184" s="48" t="n">
        <v>35</v>
      </c>
      <c r="AZ184" s="48" t="n">
        <v>14</v>
      </c>
      <c r="BA184" s="48" t="n">
        <v>64</v>
      </c>
      <c r="BB184" s="48" t="n">
        <v>17</v>
      </c>
      <c r="BC184" s="48" t="n">
        <v>33</v>
      </c>
      <c r="BD184" s="48" t="n">
        <v>62</v>
      </c>
      <c r="BE184" s="48" t="n">
        <v>60</v>
      </c>
      <c r="BF184" s="48" t="n">
        <v>23</v>
      </c>
      <c r="BG184" s="49" t="n">
        <v>3.75</v>
      </c>
    </row>
    <row r="185" customFormat="false" ht="15" hidden="false" customHeight="false" outlineLevel="0" collapsed="false">
      <c r="A185" s="43" t="s">
        <v>606</v>
      </c>
      <c r="B185" s="43" t="s">
        <v>607</v>
      </c>
      <c r="C185" s="44" t="str">
        <f aca="false">IF(A185="","",IFERROR(INDEX(Assumptions!$B$41:$B$55,MATCH(TRUE(),INDEX(ISNUMBER(SEARCH(" "&amp;Assumptions!$A$41:$A$55&amp;" "," "&amp;SUBSTITUTE(SUBSTITUTE(SUBSTITUTE(SUBSTITUTE(B185,"-"," "),","," "),"/"," "),"."," ")&amp;" ")),0),0)),"Other"))</f>
        <v>Other</v>
      </c>
      <c r="D185" s="45" t="n">
        <f aca="false">IF(A185="","",BG185*(1-Assumptions!$B$18))</f>
        <v>1.26</v>
      </c>
      <c r="E185" s="46" t="n">
        <f aca="false">IF(A185="","",INDEX(Assumptions!$B$23:$B$26,MOD(VALUE(LEFT(A185,5)),4)+1))</f>
        <v>8</v>
      </c>
      <c r="F185" s="47" t="n">
        <v>697</v>
      </c>
      <c r="G185" s="48" t="n">
        <v>922</v>
      </c>
      <c r="H185" s="48" t="n">
        <v>31</v>
      </c>
      <c r="I185" s="48" t="n">
        <v>4</v>
      </c>
      <c r="J185" s="48" t="n">
        <v>0</v>
      </c>
      <c r="K185" s="48" t="n">
        <v>0</v>
      </c>
      <c r="L185" s="48" t="n">
        <v>0</v>
      </c>
      <c r="M185" s="48" t="n">
        <v>5</v>
      </c>
      <c r="N185" s="48" t="n">
        <v>0</v>
      </c>
      <c r="O185" s="48" t="n">
        <v>0</v>
      </c>
      <c r="P185" s="48" t="n">
        <v>0</v>
      </c>
      <c r="Q185" s="48" t="n">
        <v>4</v>
      </c>
      <c r="R185" s="48" t="n">
        <v>2</v>
      </c>
      <c r="S185" s="48" t="n">
        <v>2</v>
      </c>
      <c r="T185" s="48" t="n">
        <v>0</v>
      </c>
      <c r="U185" s="48" t="n">
        <v>1</v>
      </c>
      <c r="V185" s="48" t="n">
        <v>1</v>
      </c>
      <c r="W185" s="48" t="n">
        <v>0</v>
      </c>
      <c r="X185" s="48" t="n">
        <v>4</v>
      </c>
      <c r="Y185" s="48" t="n">
        <v>0</v>
      </c>
      <c r="Z185" s="48" t="n">
        <v>0</v>
      </c>
      <c r="AA185" s="48" t="n">
        <v>0</v>
      </c>
      <c r="AB185" s="48" t="n">
        <v>0</v>
      </c>
      <c r="AC185" s="48" t="n">
        <v>0</v>
      </c>
      <c r="AD185" s="48" t="n">
        <v>0</v>
      </c>
      <c r="AE185" s="48" t="n">
        <v>0</v>
      </c>
      <c r="AF185" s="48" t="n">
        <v>0</v>
      </c>
      <c r="AG185" s="48" t="n">
        <v>0</v>
      </c>
      <c r="AH185" s="48" t="n">
        <v>0</v>
      </c>
      <c r="AI185" s="48" t="n">
        <v>0</v>
      </c>
      <c r="AJ185" s="48" t="n">
        <v>0</v>
      </c>
      <c r="AK185" s="48" t="n">
        <v>0</v>
      </c>
      <c r="AL185" s="48" t="n">
        <v>0</v>
      </c>
      <c r="AM185" s="48" t="n">
        <v>0</v>
      </c>
      <c r="AN185" s="48" t="n">
        <v>0</v>
      </c>
      <c r="AO185" s="48" t="n">
        <v>0</v>
      </c>
      <c r="AP185" s="48" t="n">
        <v>0</v>
      </c>
      <c r="AQ185" s="48" t="n">
        <v>0</v>
      </c>
      <c r="AR185" s="48" t="n">
        <v>75</v>
      </c>
      <c r="AS185" s="48" t="n">
        <v>127</v>
      </c>
      <c r="AT185" s="48" t="n">
        <v>185</v>
      </c>
      <c r="AU185" s="48" t="n">
        <v>294</v>
      </c>
      <c r="AV185" s="48" t="n">
        <v>468</v>
      </c>
      <c r="AW185" s="48" t="n">
        <v>290</v>
      </c>
      <c r="AX185" s="48" t="n">
        <v>320</v>
      </c>
      <c r="AY185" s="48" t="n">
        <v>132</v>
      </c>
      <c r="AZ185" s="48" t="n">
        <v>257</v>
      </c>
      <c r="BA185" s="48" t="n">
        <v>191</v>
      </c>
      <c r="BB185" s="48" t="n">
        <v>391</v>
      </c>
      <c r="BC185" s="48" t="n">
        <v>561</v>
      </c>
      <c r="BD185" s="48" t="n">
        <v>386</v>
      </c>
      <c r="BE185" s="48" t="n">
        <v>260</v>
      </c>
      <c r="BF185" s="48" t="n">
        <v>261</v>
      </c>
      <c r="BG185" s="49" t="n">
        <v>2.1</v>
      </c>
    </row>
    <row r="186" customFormat="false" ht="15" hidden="false" customHeight="false" outlineLevel="0" collapsed="false">
      <c r="A186" s="43" t="s">
        <v>608</v>
      </c>
      <c r="B186" s="43" t="s">
        <v>609</v>
      </c>
      <c r="C186" s="44" t="str">
        <f aca="false">IF(A186="","",IFERROR(INDEX(Assumptions!$B$41:$B$55,MATCH(TRUE(),INDEX(ISNUMBER(SEARCH(" "&amp;Assumptions!$A$41:$A$55&amp;" "," "&amp;SUBSTITUTE(SUBSTITUTE(SUBSTITUTE(SUBSTITUTE(B186,"-"," "),","," "),"/"," "),"."," ")&amp;" ")),0),0)),"Other"))</f>
        <v>Other</v>
      </c>
      <c r="D186" s="45" t="n">
        <f aca="false">IF(A186="","",BG186*(1-Assumptions!$B$18))</f>
        <v>4.77</v>
      </c>
      <c r="E186" s="46" t="n">
        <f aca="false">IF(A186="","",INDEX(Assumptions!$B$23:$B$26,MOD(VALUE(LEFT(A186,5)),4)+1))</f>
        <v>2</v>
      </c>
      <c r="F186" s="47" t="n">
        <v>290</v>
      </c>
      <c r="G186" s="48" t="n">
        <v>8</v>
      </c>
      <c r="H186" s="48" t="n">
        <v>32</v>
      </c>
      <c r="I186" s="48" t="n">
        <v>8</v>
      </c>
      <c r="J186" s="48" t="n">
        <v>0</v>
      </c>
      <c r="K186" s="48" t="n">
        <v>33</v>
      </c>
      <c r="L186" s="48" t="n">
        <v>34</v>
      </c>
      <c r="M186" s="48" t="n">
        <v>26</v>
      </c>
      <c r="N186" s="48" t="n">
        <v>50</v>
      </c>
      <c r="O186" s="48" t="n">
        <v>40</v>
      </c>
      <c r="P186" s="48" t="n">
        <v>19</v>
      </c>
      <c r="Q186" s="48" t="n">
        <v>36</v>
      </c>
      <c r="R186" s="48" t="n">
        <v>32</v>
      </c>
      <c r="S186" s="48" t="n">
        <v>22</v>
      </c>
      <c r="T186" s="48" t="n">
        <v>35</v>
      </c>
      <c r="U186" s="48" t="n">
        <v>51</v>
      </c>
      <c r="V186" s="48" t="n">
        <v>9</v>
      </c>
      <c r="W186" s="48" t="n">
        <v>15</v>
      </c>
      <c r="X186" s="48" t="n">
        <v>22</v>
      </c>
      <c r="Y186" s="48" t="n">
        <v>31</v>
      </c>
      <c r="Z186" s="48" t="n">
        <v>15</v>
      </c>
      <c r="AA186" s="48" t="n">
        <v>8</v>
      </c>
      <c r="AB186" s="48" t="n">
        <v>27</v>
      </c>
      <c r="AC186" s="48" t="n">
        <v>63</v>
      </c>
      <c r="AD186" s="48" t="n">
        <v>29</v>
      </c>
      <c r="AE186" s="48" t="n">
        <v>7</v>
      </c>
      <c r="AF186" s="48" t="n">
        <v>5</v>
      </c>
      <c r="AG186" s="48" t="n">
        <v>23</v>
      </c>
      <c r="AH186" s="48" t="n">
        <v>11</v>
      </c>
      <c r="AI186" s="48" t="n">
        <v>18</v>
      </c>
      <c r="AJ186" s="48" t="n">
        <v>12</v>
      </c>
      <c r="AK186" s="48" t="n">
        <v>33</v>
      </c>
      <c r="AL186" s="48" t="n">
        <v>35</v>
      </c>
      <c r="AM186" s="48" t="n">
        <v>21</v>
      </c>
      <c r="AN186" s="48" t="n">
        <v>11</v>
      </c>
      <c r="AO186" s="48" t="n">
        <v>15</v>
      </c>
      <c r="AP186" s="48" t="n">
        <v>19</v>
      </c>
      <c r="AQ186" s="48" t="n">
        <v>45</v>
      </c>
      <c r="AR186" s="48" t="n">
        <v>33</v>
      </c>
      <c r="AS186" s="48" t="n">
        <v>9</v>
      </c>
      <c r="AT186" s="48" t="n">
        <v>9</v>
      </c>
      <c r="AU186" s="48" t="n">
        <v>322</v>
      </c>
      <c r="AV186" s="48" t="n">
        <v>45</v>
      </c>
      <c r="AW186" s="48" t="n">
        <v>9</v>
      </c>
      <c r="AX186" s="48" t="n">
        <v>24</v>
      </c>
      <c r="AY186" s="48" t="n">
        <v>29</v>
      </c>
      <c r="AZ186" s="48" t="n">
        <v>14</v>
      </c>
      <c r="BA186" s="48" t="n">
        <v>22</v>
      </c>
      <c r="BB186" s="48" t="n">
        <v>26</v>
      </c>
      <c r="BC186" s="48" t="n">
        <v>9</v>
      </c>
      <c r="BD186" s="48" t="n">
        <v>8</v>
      </c>
      <c r="BE186" s="48" t="n">
        <v>12</v>
      </c>
      <c r="BF186" s="48" t="n">
        <v>37</v>
      </c>
      <c r="BG186" s="49" t="n">
        <v>7.95</v>
      </c>
    </row>
    <row r="187" customFormat="false" ht="15" hidden="false" customHeight="false" outlineLevel="0" collapsed="false">
      <c r="A187" s="43" t="s">
        <v>610</v>
      </c>
      <c r="B187" s="43" t="s">
        <v>611</v>
      </c>
      <c r="C187" s="44" t="str">
        <f aca="false">IF(A187="","",IFERROR(INDEX(Assumptions!$B$41:$B$55,MATCH(TRUE(),INDEX(ISNUMBER(SEARCH(" "&amp;Assumptions!$A$41:$A$55&amp;" "," "&amp;SUBSTITUTE(SUBSTITUTE(SUBSTITUTE(SUBSTITUTE(B187,"-"," "),","," "),"/"," "),"."," ")&amp;" ")),0),0)),"Other"))</f>
        <v>Cards/Gifts</v>
      </c>
      <c r="D187" s="45" t="n">
        <f aca="false">IF(A187="","",BG187*(1-Assumptions!$B$18))</f>
        <v>2.37</v>
      </c>
      <c r="E187" s="46" t="n">
        <f aca="false">IF(A187="","",INDEX(Assumptions!$B$23:$B$26,MOD(VALUE(LEFT(A187,5)),4)+1))</f>
        <v>2</v>
      </c>
      <c r="F187" s="47" t="n">
        <v>343</v>
      </c>
      <c r="G187" s="48" t="n">
        <v>2059</v>
      </c>
      <c r="H187" s="48" t="n">
        <v>18</v>
      </c>
      <c r="I187" s="48" t="n">
        <v>10</v>
      </c>
      <c r="J187" s="48" t="n">
        <v>0</v>
      </c>
      <c r="K187" s="48" t="n">
        <v>5</v>
      </c>
      <c r="L187" s="48" t="n">
        <v>18</v>
      </c>
      <c r="M187" s="48" t="n">
        <v>13</v>
      </c>
      <c r="N187" s="48" t="n">
        <v>11</v>
      </c>
      <c r="O187" s="48" t="n">
        <v>45</v>
      </c>
      <c r="P187" s="48" t="n">
        <v>25</v>
      </c>
      <c r="Q187" s="48" t="n">
        <v>22</v>
      </c>
      <c r="R187" s="48" t="n">
        <v>115</v>
      </c>
      <c r="S187" s="48" t="n">
        <v>2</v>
      </c>
      <c r="T187" s="48" t="n">
        <v>41</v>
      </c>
      <c r="U187" s="48" t="n">
        <v>19</v>
      </c>
      <c r="V187" s="48" t="n">
        <v>11</v>
      </c>
      <c r="W187" s="48" t="n">
        <v>9</v>
      </c>
      <c r="X187" s="48" t="n">
        <v>8</v>
      </c>
      <c r="Y187" s="48" t="n">
        <v>42</v>
      </c>
      <c r="Z187" s="48" t="n">
        <v>3</v>
      </c>
      <c r="AA187" s="48" t="n">
        <v>2</v>
      </c>
      <c r="AB187" s="48" t="n">
        <v>1</v>
      </c>
      <c r="AC187" s="48" t="n">
        <v>1</v>
      </c>
      <c r="AD187" s="48" t="n">
        <v>224</v>
      </c>
      <c r="AE187" s="48" t="n">
        <v>6</v>
      </c>
      <c r="AF187" s="48" t="n">
        <v>3</v>
      </c>
      <c r="AG187" s="48" t="n">
        <v>12</v>
      </c>
      <c r="AH187" s="48" t="n">
        <v>438</v>
      </c>
      <c r="AI187" s="48" t="n">
        <v>10</v>
      </c>
      <c r="AJ187" s="48" t="n">
        <v>4</v>
      </c>
      <c r="AK187" s="48" t="n">
        <v>1</v>
      </c>
      <c r="AL187" s="48" t="n">
        <v>1</v>
      </c>
      <c r="AM187" s="48" t="n">
        <v>108</v>
      </c>
      <c r="AN187" s="48" t="n">
        <v>328</v>
      </c>
      <c r="AO187" s="48" t="n">
        <v>50</v>
      </c>
      <c r="AP187" s="48" t="n">
        <v>4</v>
      </c>
      <c r="AQ187" s="48" t="n">
        <v>12</v>
      </c>
      <c r="AR187" s="48" t="n">
        <v>12</v>
      </c>
      <c r="AS187" s="48" t="n">
        <v>336</v>
      </c>
      <c r="AT187" s="48" t="n">
        <v>0</v>
      </c>
      <c r="AU187" s="48" t="n">
        <v>20</v>
      </c>
      <c r="AV187" s="48" t="n">
        <v>7</v>
      </c>
      <c r="AW187" s="48" t="n">
        <v>5</v>
      </c>
      <c r="AX187" s="48" t="n">
        <v>20</v>
      </c>
      <c r="AY187" s="48" t="n">
        <v>2</v>
      </c>
      <c r="AZ187" s="48" t="n">
        <v>122</v>
      </c>
      <c r="BA187" s="48" t="n">
        <v>7</v>
      </c>
      <c r="BB187" s="48" t="n">
        <v>197</v>
      </c>
      <c r="BC187" s="48" t="n">
        <v>31</v>
      </c>
      <c r="BD187" s="48" t="n">
        <v>6</v>
      </c>
      <c r="BE187" s="48" t="n">
        <v>1</v>
      </c>
      <c r="BF187" s="48" t="n">
        <v>11</v>
      </c>
      <c r="BG187" s="49" t="n">
        <v>3.95</v>
      </c>
    </row>
    <row r="188" customFormat="false" ht="15" hidden="false" customHeight="false" outlineLevel="0" collapsed="false">
      <c r="A188" s="43" t="s">
        <v>612</v>
      </c>
      <c r="B188" s="43" t="s">
        <v>613</v>
      </c>
      <c r="C188" s="44" t="str">
        <f aca="false">IF(A188="","",IFERROR(INDEX(Assumptions!$B$41:$B$55,MATCH(TRUE(),INDEX(ISNUMBER(SEARCH(" "&amp;Assumptions!$A$41:$A$55&amp;" "," "&amp;SUBSTITUTE(SUBSTITUTE(SUBSTITUTE(SUBSTITUTE(B188,"-"," "),","," "),"/"," "),"."," ")&amp;" ")),0),0)),"Other"))</f>
        <v>Other</v>
      </c>
      <c r="D188" s="45" t="n">
        <f aca="false">IF(A188="","",BG188*(1-Assumptions!$B$18))</f>
        <v>4.77</v>
      </c>
      <c r="E188" s="46" t="n">
        <f aca="false">IF(A188="","",INDEX(Assumptions!$B$23:$B$26,MOD(VALUE(LEFT(A188,5)),4)+1))</f>
        <v>4</v>
      </c>
      <c r="F188" s="47" t="n">
        <v>244</v>
      </c>
      <c r="G188" s="48" t="n">
        <v>36</v>
      </c>
      <c r="H188" s="48" t="n">
        <v>54</v>
      </c>
      <c r="I188" s="48" t="n">
        <v>0</v>
      </c>
      <c r="J188" s="48" t="n">
        <v>0</v>
      </c>
      <c r="K188" s="48" t="n">
        <v>6</v>
      </c>
      <c r="L188" s="48" t="n">
        <v>20</v>
      </c>
      <c r="M188" s="48" t="n">
        <v>12</v>
      </c>
      <c r="N188" s="48" t="n">
        <v>34</v>
      </c>
      <c r="O188" s="48" t="n">
        <v>25</v>
      </c>
      <c r="P188" s="48" t="n">
        <v>4</v>
      </c>
      <c r="Q188" s="48" t="n">
        <v>9</v>
      </c>
      <c r="R188" s="48" t="n">
        <v>241</v>
      </c>
      <c r="S188" s="48" t="n">
        <v>11</v>
      </c>
      <c r="T188" s="48" t="n">
        <v>22</v>
      </c>
      <c r="U188" s="48" t="n">
        <v>26</v>
      </c>
      <c r="V188" s="48" t="n">
        <v>44</v>
      </c>
      <c r="W188" s="48" t="n">
        <v>26</v>
      </c>
      <c r="X188" s="48" t="n">
        <v>21</v>
      </c>
      <c r="Y188" s="48" t="n">
        <v>13</v>
      </c>
      <c r="Z188" s="48" t="n">
        <v>31</v>
      </c>
      <c r="AA188" s="48" t="n">
        <v>14</v>
      </c>
      <c r="AB188" s="48" t="n">
        <v>5</v>
      </c>
      <c r="AC188" s="48" t="n">
        <v>24</v>
      </c>
      <c r="AD188" s="48" t="n">
        <v>16</v>
      </c>
      <c r="AE188" s="48" t="n">
        <v>62</v>
      </c>
      <c r="AF188" s="48" t="n">
        <v>12</v>
      </c>
      <c r="AG188" s="48" t="n">
        <v>6</v>
      </c>
      <c r="AH188" s="48" t="n">
        <v>12</v>
      </c>
      <c r="AI188" s="48" t="n">
        <v>16</v>
      </c>
      <c r="AJ188" s="48" t="n">
        <v>0</v>
      </c>
      <c r="AK188" s="48" t="n">
        <v>17</v>
      </c>
      <c r="AL188" s="48" t="n">
        <v>18</v>
      </c>
      <c r="AM188" s="48" t="n">
        <v>40</v>
      </c>
      <c r="AN188" s="48" t="n">
        <v>2</v>
      </c>
      <c r="AO188" s="48" t="n">
        <v>17</v>
      </c>
      <c r="AP188" s="48" t="n">
        <v>26</v>
      </c>
      <c r="AQ188" s="48" t="n">
        <v>44</v>
      </c>
      <c r="AR188" s="48" t="n">
        <v>36</v>
      </c>
      <c r="AS188" s="48" t="n">
        <v>12</v>
      </c>
      <c r="AT188" s="48" t="n">
        <v>18</v>
      </c>
      <c r="AU188" s="48" t="n">
        <v>9</v>
      </c>
      <c r="AV188" s="48" t="n">
        <v>70</v>
      </c>
      <c r="AW188" s="48" t="n">
        <v>48</v>
      </c>
      <c r="AX188" s="48" t="n">
        <v>66</v>
      </c>
      <c r="AY188" s="48" t="n">
        <v>28</v>
      </c>
      <c r="AZ188" s="48" t="n">
        <v>21</v>
      </c>
      <c r="BA188" s="48" t="n">
        <v>12</v>
      </c>
      <c r="BB188" s="48" t="n">
        <v>103</v>
      </c>
      <c r="BC188" s="48" t="n">
        <v>44</v>
      </c>
      <c r="BD188" s="48" t="n">
        <v>24</v>
      </c>
      <c r="BE188" s="48" t="n">
        <v>87</v>
      </c>
      <c r="BF188" s="48" t="n">
        <v>45</v>
      </c>
      <c r="BG188" s="49" t="n">
        <v>7.95</v>
      </c>
    </row>
    <row r="189" customFormat="false" ht="15" hidden="false" customHeight="false" outlineLevel="0" collapsed="false">
      <c r="A189" s="43" t="s">
        <v>614</v>
      </c>
      <c r="B189" s="43" t="s">
        <v>615</v>
      </c>
      <c r="C189" s="44" t="str">
        <f aca="false">IF(A189="","",IFERROR(INDEX(Assumptions!$B$41:$B$55,MATCH(TRUE(),INDEX(ISNUMBER(SEARCH(" "&amp;Assumptions!$A$41:$A$55&amp;" "," "&amp;SUBSTITUTE(SUBSTITUTE(SUBSTITUTE(SUBSTITUTE(B189,"-"," "),","," "),"/"," "),"."," ")&amp;" ")),0),0)),"Other"))</f>
        <v>Other</v>
      </c>
      <c r="D189" s="45" t="n">
        <f aca="false">IF(A189="","",BG189*(1-Assumptions!$B$18))</f>
        <v>0.99</v>
      </c>
      <c r="E189" s="46" t="n">
        <f aca="false">IF(A189="","",INDEX(Assumptions!$B$23:$B$26,MOD(VALUE(LEFT(A189,5)),4)+1))</f>
        <v>2</v>
      </c>
      <c r="F189" s="47" t="n">
        <v>752</v>
      </c>
      <c r="G189" s="48" t="n">
        <v>0</v>
      </c>
      <c r="H189" s="48" t="n">
        <v>0</v>
      </c>
      <c r="I189" s="48" t="n">
        <v>0</v>
      </c>
      <c r="J189" s="48" t="n">
        <v>0</v>
      </c>
      <c r="K189" s="48" t="n">
        <v>0</v>
      </c>
      <c r="L189" s="48" t="n">
        <v>0</v>
      </c>
      <c r="M189" s="48" t="n">
        <v>0</v>
      </c>
      <c r="N189" s="48" t="n">
        <v>0</v>
      </c>
      <c r="O189" s="48" t="n">
        <v>0</v>
      </c>
      <c r="P189" s="48" t="n">
        <v>0</v>
      </c>
      <c r="Q189" s="48" t="n">
        <v>0</v>
      </c>
      <c r="R189" s="48" t="n">
        <v>0</v>
      </c>
      <c r="S189" s="48" t="n">
        <v>0</v>
      </c>
      <c r="T189" s="48" t="n">
        <v>0</v>
      </c>
      <c r="U189" s="48" t="n">
        <v>0</v>
      </c>
      <c r="V189" s="48" t="n">
        <v>0</v>
      </c>
      <c r="W189" s="48" t="n">
        <v>0</v>
      </c>
      <c r="X189" s="48" t="n">
        <v>0</v>
      </c>
      <c r="Y189" s="48" t="n">
        <v>0</v>
      </c>
      <c r="Z189" s="48" t="n">
        <v>0</v>
      </c>
      <c r="AA189" s="48" t="n">
        <v>0</v>
      </c>
      <c r="AB189" s="48" t="n">
        <v>0</v>
      </c>
      <c r="AC189" s="48" t="n">
        <v>112</v>
      </c>
      <c r="AD189" s="48" t="n">
        <v>319</v>
      </c>
      <c r="AE189" s="48" t="n">
        <v>248</v>
      </c>
      <c r="AF189" s="48" t="n">
        <v>272</v>
      </c>
      <c r="AG189" s="48" t="n">
        <v>121</v>
      </c>
      <c r="AH189" s="48" t="n">
        <v>307</v>
      </c>
      <c r="AI189" s="48" t="n">
        <v>170</v>
      </c>
      <c r="AJ189" s="48" t="n">
        <v>50</v>
      </c>
      <c r="AK189" s="48" t="n">
        <v>117</v>
      </c>
      <c r="AL189" s="48" t="n">
        <v>77</v>
      </c>
      <c r="AM189" s="48" t="n">
        <v>852</v>
      </c>
      <c r="AN189" s="48" t="n">
        <v>195</v>
      </c>
      <c r="AO189" s="48" t="n">
        <v>177</v>
      </c>
      <c r="AP189" s="48" t="n">
        <v>116</v>
      </c>
      <c r="AQ189" s="48" t="n">
        <v>183</v>
      </c>
      <c r="AR189" s="48" t="n">
        <v>136</v>
      </c>
      <c r="AS189" s="48" t="n">
        <v>40</v>
      </c>
      <c r="AT189" s="48" t="n">
        <v>101</v>
      </c>
      <c r="AU189" s="48" t="n">
        <v>334</v>
      </c>
      <c r="AV189" s="48" t="n">
        <v>117</v>
      </c>
      <c r="AW189" s="48" t="n">
        <v>92</v>
      </c>
      <c r="AX189" s="48" t="n">
        <v>190</v>
      </c>
      <c r="AY189" s="48" t="n">
        <v>150</v>
      </c>
      <c r="AZ189" s="48" t="n">
        <v>212</v>
      </c>
      <c r="BA189" s="48" t="n">
        <v>134</v>
      </c>
      <c r="BB189" s="48" t="n">
        <v>225</v>
      </c>
      <c r="BC189" s="48" t="n">
        <v>359</v>
      </c>
      <c r="BD189" s="48" t="n">
        <v>537</v>
      </c>
      <c r="BE189" s="48" t="n">
        <v>281</v>
      </c>
      <c r="BF189" s="48" t="n">
        <v>291</v>
      </c>
      <c r="BG189" s="49" t="n">
        <v>1.65</v>
      </c>
    </row>
    <row r="190" customFormat="false" ht="15" hidden="false" customHeight="false" outlineLevel="0" collapsed="false">
      <c r="A190" s="43" t="s">
        <v>616</v>
      </c>
      <c r="B190" s="43" t="s">
        <v>617</v>
      </c>
      <c r="C190" s="44" t="str">
        <f aca="false">IF(A190="","",IFERROR(INDEX(Assumptions!$B$41:$B$55,MATCH(TRUE(),INDEX(ISNUMBER(SEARCH(" "&amp;Assumptions!$A$41:$A$55&amp;" "," "&amp;SUBSTITUTE(SUBSTITUTE(SUBSTITUTE(SUBSTITUTE(B190,"-"," "),","," "),"/"," "),"."," ")&amp;" ")),0),0)),"Other"))</f>
        <v>Other</v>
      </c>
      <c r="D190" s="45" t="n">
        <f aca="false">IF(A190="","",BG190*(1-Assumptions!$B$18))</f>
        <v>7.65</v>
      </c>
      <c r="E190" s="46" t="n">
        <f aca="false">IF(A190="","",INDEX(Assumptions!$B$23:$B$26,MOD(VALUE(LEFT(A190,5)),4)+1))</f>
        <v>2</v>
      </c>
      <c r="F190" s="47" t="n">
        <v>149</v>
      </c>
      <c r="G190" s="48" t="n">
        <v>12</v>
      </c>
      <c r="H190" s="48" t="n">
        <v>21</v>
      </c>
      <c r="I190" s="48" t="n">
        <v>0</v>
      </c>
      <c r="J190" s="48" t="n">
        <v>0</v>
      </c>
      <c r="K190" s="48" t="n">
        <v>31</v>
      </c>
      <c r="L190" s="48" t="n">
        <v>20</v>
      </c>
      <c r="M190" s="48" t="n">
        <v>44</v>
      </c>
      <c r="N190" s="48" t="n">
        <v>8</v>
      </c>
      <c r="O190" s="48" t="n">
        <v>20</v>
      </c>
      <c r="P190" s="48" t="n">
        <v>6</v>
      </c>
      <c r="Q190" s="48" t="n">
        <v>18</v>
      </c>
      <c r="R190" s="48" t="n">
        <v>34</v>
      </c>
      <c r="S190" s="48" t="n">
        <v>15</v>
      </c>
      <c r="T190" s="48" t="n">
        <v>21</v>
      </c>
      <c r="U190" s="48" t="n">
        <v>41</v>
      </c>
      <c r="V190" s="48" t="n">
        <v>39</v>
      </c>
      <c r="W190" s="48" t="n">
        <v>37</v>
      </c>
      <c r="X190" s="48" t="n">
        <v>15</v>
      </c>
      <c r="Y190" s="48" t="n">
        <v>29</v>
      </c>
      <c r="Z190" s="48" t="n">
        <v>39</v>
      </c>
      <c r="AA190" s="48" t="n">
        <v>6</v>
      </c>
      <c r="AB190" s="48" t="n">
        <v>18</v>
      </c>
      <c r="AC190" s="48" t="n">
        <v>13</v>
      </c>
      <c r="AD190" s="48" t="n">
        <v>24</v>
      </c>
      <c r="AE190" s="48" t="n">
        <v>9</v>
      </c>
      <c r="AF190" s="48" t="n">
        <v>26</v>
      </c>
      <c r="AG190" s="48" t="n">
        <v>3</v>
      </c>
      <c r="AH190" s="48" t="n">
        <v>14</v>
      </c>
      <c r="AI190" s="48" t="n">
        <v>48</v>
      </c>
      <c r="AJ190" s="48" t="n">
        <v>1</v>
      </c>
      <c r="AK190" s="48" t="n">
        <v>0</v>
      </c>
      <c r="AL190" s="48" t="n">
        <v>14</v>
      </c>
      <c r="AM190" s="48" t="n">
        <v>30</v>
      </c>
      <c r="AN190" s="48" t="n">
        <v>34</v>
      </c>
      <c r="AO190" s="48" t="n">
        <v>2</v>
      </c>
      <c r="AP190" s="48" t="n">
        <v>24</v>
      </c>
      <c r="AQ190" s="48" t="n">
        <v>11</v>
      </c>
      <c r="AR190" s="48" t="n">
        <v>18</v>
      </c>
      <c r="AS190" s="48" t="n">
        <v>2</v>
      </c>
      <c r="AT190" s="48" t="n">
        <v>3</v>
      </c>
      <c r="AU190" s="48" t="n">
        <v>19</v>
      </c>
      <c r="AV190" s="48" t="n">
        <v>25</v>
      </c>
      <c r="AW190" s="48" t="n">
        <v>12</v>
      </c>
      <c r="AX190" s="48" t="n">
        <v>31</v>
      </c>
      <c r="AY190" s="48" t="n">
        <v>18</v>
      </c>
      <c r="AZ190" s="48" t="n">
        <v>8</v>
      </c>
      <c r="BA190" s="48" t="n">
        <v>5</v>
      </c>
      <c r="BB190" s="48" t="n">
        <v>16</v>
      </c>
      <c r="BC190" s="48" t="n">
        <v>28</v>
      </c>
      <c r="BD190" s="48" t="n">
        <v>33</v>
      </c>
      <c r="BE190" s="48" t="n">
        <v>6</v>
      </c>
      <c r="BF190" s="48" t="n">
        <v>15</v>
      </c>
      <c r="BG190" s="49" t="n">
        <v>12.75</v>
      </c>
    </row>
    <row r="191" customFormat="false" ht="15" hidden="false" customHeight="false" outlineLevel="0" collapsed="false">
      <c r="A191" s="43" t="s">
        <v>618</v>
      </c>
      <c r="B191" s="43" t="s">
        <v>619</v>
      </c>
      <c r="C191" s="44" t="str">
        <f aca="false">IF(A191="","",IFERROR(INDEX(Assumptions!$B$41:$B$55,MATCH(TRUE(),INDEX(ISNUMBER(SEARCH(" "&amp;Assumptions!$A$41:$A$55&amp;" "," "&amp;SUBSTITUTE(SUBSTITUTE(SUBSTITUTE(SUBSTITUTE(B191,"-"," "),","," "),"/"," "),"."," ")&amp;" ")),0),0)),"Other"))</f>
        <v>Other</v>
      </c>
      <c r="D191" s="45" t="n">
        <f aca="false">IF(A191="","",BG191*(1-Assumptions!$B$18))</f>
        <v>2.97</v>
      </c>
      <c r="E191" s="46" t="n">
        <f aca="false">IF(A191="","",INDEX(Assumptions!$B$23:$B$26,MOD(VALUE(LEFT(A191,5)),4)+1))</f>
        <v>2</v>
      </c>
      <c r="F191" s="47" t="n">
        <v>357</v>
      </c>
      <c r="G191" s="48" t="n">
        <v>23</v>
      </c>
      <c r="H191" s="48" t="n">
        <v>37</v>
      </c>
      <c r="I191" s="48" t="n">
        <v>18</v>
      </c>
      <c r="J191" s="48" t="n">
        <v>0</v>
      </c>
      <c r="K191" s="48" t="n">
        <v>23</v>
      </c>
      <c r="L191" s="48" t="n">
        <v>25</v>
      </c>
      <c r="M191" s="48" t="n">
        <v>68</v>
      </c>
      <c r="N191" s="48" t="n">
        <v>75</v>
      </c>
      <c r="O191" s="48" t="n">
        <v>26</v>
      </c>
      <c r="P191" s="48" t="n">
        <v>98</v>
      </c>
      <c r="Q191" s="48" t="n">
        <v>107</v>
      </c>
      <c r="R191" s="48" t="n">
        <v>21</v>
      </c>
      <c r="S191" s="48" t="n">
        <v>137</v>
      </c>
      <c r="T191" s="48" t="n">
        <v>18</v>
      </c>
      <c r="U191" s="48" t="n">
        <v>15</v>
      </c>
      <c r="V191" s="48" t="n">
        <v>17</v>
      </c>
      <c r="W191" s="48" t="n">
        <v>55</v>
      </c>
      <c r="X191" s="48" t="n">
        <v>78</v>
      </c>
      <c r="Y191" s="48" t="n">
        <v>105</v>
      </c>
      <c r="Z191" s="48" t="n">
        <v>23</v>
      </c>
      <c r="AA191" s="48" t="n">
        <v>5</v>
      </c>
      <c r="AB191" s="48" t="n">
        <v>25</v>
      </c>
      <c r="AC191" s="48" t="n">
        <v>44</v>
      </c>
      <c r="AD191" s="48" t="n">
        <v>13</v>
      </c>
      <c r="AE191" s="48" t="n">
        <v>18</v>
      </c>
      <c r="AF191" s="48" t="n">
        <v>32</v>
      </c>
      <c r="AG191" s="48" t="n">
        <v>19</v>
      </c>
      <c r="AH191" s="48" t="n">
        <v>38</v>
      </c>
      <c r="AI191" s="48" t="n">
        <v>2</v>
      </c>
      <c r="AJ191" s="48" t="n">
        <v>91</v>
      </c>
      <c r="AK191" s="48" t="n">
        <v>14</v>
      </c>
      <c r="AL191" s="48" t="n">
        <v>38</v>
      </c>
      <c r="AM191" s="48" t="n">
        <v>67</v>
      </c>
      <c r="AN191" s="48" t="n">
        <v>44</v>
      </c>
      <c r="AO191" s="48" t="n">
        <v>54</v>
      </c>
      <c r="AP191" s="48" t="n">
        <v>21</v>
      </c>
      <c r="AQ191" s="48" t="n">
        <v>70</v>
      </c>
      <c r="AR191" s="48" t="n">
        <v>41</v>
      </c>
      <c r="AS191" s="48" t="n">
        <v>10</v>
      </c>
      <c r="AT191" s="48" t="n">
        <v>36</v>
      </c>
      <c r="AU191" s="48" t="n">
        <v>9</v>
      </c>
      <c r="AV191" s="48" t="n">
        <v>33</v>
      </c>
      <c r="AW191" s="48" t="n">
        <v>118</v>
      </c>
      <c r="AX191" s="48" t="n">
        <v>10</v>
      </c>
      <c r="AY191" s="48" t="n">
        <v>20</v>
      </c>
      <c r="AZ191" s="48" t="n">
        <v>33</v>
      </c>
      <c r="BA191" s="48" t="n">
        <v>5</v>
      </c>
      <c r="BB191" s="48" t="n">
        <v>16</v>
      </c>
      <c r="BC191" s="48" t="n">
        <v>27</v>
      </c>
      <c r="BD191" s="48" t="n">
        <v>41</v>
      </c>
      <c r="BE191" s="48" t="n">
        <v>44</v>
      </c>
      <c r="BF191" s="48" t="n">
        <v>54</v>
      </c>
      <c r="BG191" s="49" t="n">
        <v>4.95</v>
      </c>
    </row>
    <row r="192" customFormat="false" ht="15" hidden="false" customHeight="false" outlineLevel="0" collapsed="false">
      <c r="A192" s="43" t="s">
        <v>620</v>
      </c>
      <c r="B192" s="43" t="s">
        <v>621</v>
      </c>
      <c r="C192" s="44" t="str">
        <f aca="false">IF(A192="","",IFERROR(INDEX(Assumptions!$B$41:$B$55,MATCH(TRUE(),INDEX(ISNUMBER(SEARCH(" "&amp;Assumptions!$A$41:$A$55&amp;" "," "&amp;SUBSTITUTE(SUBSTITUTE(SUBSTITUTE(SUBSTITUTE(B192,"-"," "),","," "),"/"," "),"."," ")&amp;" ")),0),0)),"Other"))</f>
        <v>Other</v>
      </c>
      <c r="D192" s="45" t="n">
        <f aca="false">IF(A192="","",BG192*(1-Assumptions!$B$18))</f>
        <v>2.25</v>
      </c>
      <c r="E192" s="46" t="n">
        <f aca="false">IF(A192="","",INDEX(Assumptions!$B$23:$B$26,MOD(VALUE(LEFT(A192,5)),4)+1))</f>
        <v>6</v>
      </c>
      <c r="F192" s="47" t="n">
        <v>409</v>
      </c>
      <c r="G192" s="48" t="n">
        <v>130</v>
      </c>
      <c r="H192" s="48" t="n">
        <v>43</v>
      </c>
      <c r="I192" s="48" t="n">
        <v>26</v>
      </c>
      <c r="J192" s="48" t="n">
        <v>0</v>
      </c>
      <c r="K192" s="48" t="n">
        <v>203</v>
      </c>
      <c r="L192" s="48" t="n">
        <v>28</v>
      </c>
      <c r="M192" s="48" t="n">
        <v>66</v>
      </c>
      <c r="N192" s="48" t="n">
        <v>16</v>
      </c>
      <c r="O192" s="48" t="n">
        <v>15</v>
      </c>
      <c r="P192" s="48" t="n">
        <v>10</v>
      </c>
      <c r="Q192" s="48" t="n">
        <v>224</v>
      </c>
      <c r="R192" s="48" t="n">
        <v>43</v>
      </c>
      <c r="S192" s="48" t="n">
        <v>63</v>
      </c>
      <c r="T192" s="48" t="n">
        <v>187</v>
      </c>
      <c r="U192" s="48" t="n">
        <v>18</v>
      </c>
      <c r="V192" s="48" t="n">
        <v>41</v>
      </c>
      <c r="W192" s="48" t="n">
        <v>59</v>
      </c>
      <c r="X192" s="48" t="n">
        <v>41</v>
      </c>
      <c r="Y192" s="48" t="n">
        <v>45</v>
      </c>
      <c r="Z192" s="48" t="n">
        <v>35</v>
      </c>
      <c r="AA192" s="48" t="n">
        <v>23</v>
      </c>
      <c r="AB192" s="48" t="n">
        <v>18</v>
      </c>
      <c r="AC192" s="48" t="n">
        <v>15</v>
      </c>
      <c r="AD192" s="48" t="n">
        <v>44</v>
      </c>
      <c r="AE192" s="48" t="n">
        <v>44</v>
      </c>
      <c r="AF192" s="48" t="n">
        <v>6</v>
      </c>
      <c r="AG192" s="48" t="n">
        <v>50</v>
      </c>
      <c r="AH192" s="48" t="n">
        <v>12</v>
      </c>
      <c r="AI192" s="48" t="n">
        <v>11</v>
      </c>
      <c r="AJ192" s="48" t="n">
        <v>41</v>
      </c>
      <c r="AK192" s="48" t="n">
        <v>15</v>
      </c>
      <c r="AL192" s="48" t="n">
        <v>8</v>
      </c>
      <c r="AM192" s="48" t="n">
        <v>53</v>
      </c>
      <c r="AN192" s="48" t="n">
        <v>53</v>
      </c>
      <c r="AO192" s="48" t="n">
        <v>46</v>
      </c>
      <c r="AP192" s="48" t="n">
        <v>33</v>
      </c>
      <c r="AQ192" s="48" t="n">
        <v>244</v>
      </c>
      <c r="AR192" s="48" t="n">
        <v>34</v>
      </c>
      <c r="AS192" s="48" t="n">
        <v>50</v>
      </c>
      <c r="AT192" s="48" t="n">
        <v>39</v>
      </c>
      <c r="AU192" s="48" t="n">
        <v>56</v>
      </c>
      <c r="AV192" s="48" t="n">
        <v>93</v>
      </c>
      <c r="AW192" s="48" t="n">
        <v>54</v>
      </c>
      <c r="AX192" s="48" t="n">
        <v>398</v>
      </c>
      <c r="AY192" s="48" t="n">
        <v>260</v>
      </c>
      <c r="AZ192" s="48" t="n">
        <v>0</v>
      </c>
      <c r="BA192" s="48" t="n">
        <v>1</v>
      </c>
      <c r="BB192" s="48" t="n">
        <v>0</v>
      </c>
      <c r="BC192" s="48" t="n">
        <v>0</v>
      </c>
      <c r="BD192" s="48" t="n">
        <v>41</v>
      </c>
      <c r="BE192" s="48" t="n">
        <v>0</v>
      </c>
      <c r="BF192" s="48" t="n">
        <v>0</v>
      </c>
      <c r="BG192" s="49" t="n">
        <v>3.75</v>
      </c>
    </row>
    <row r="193" customFormat="false" ht="15" hidden="false" customHeight="false" outlineLevel="0" collapsed="false">
      <c r="A193" s="43" t="s">
        <v>622</v>
      </c>
      <c r="B193" s="43" t="s">
        <v>623</v>
      </c>
      <c r="C193" s="44" t="str">
        <f aca="false">IF(A193="","",IFERROR(INDEX(Assumptions!$B$41:$B$55,MATCH(TRUE(),INDEX(ISNUMBER(SEARCH(" "&amp;Assumptions!$A$41:$A$55&amp;" "," "&amp;SUBSTITUTE(SUBSTITUTE(SUBSTITUTE(SUBSTITUTE(B193,"-"," "),","," "),"/"," "),"."," ")&amp;" ")),0),0)),"Other"))</f>
        <v>Other</v>
      </c>
      <c r="D193" s="45" t="n">
        <f aca="false">IF(A193="","",BG193*(1-Assumptions!$B$18))</f>
        <v>3.57</v>
      </c>
      <c r="E193" s="46" t="n">
        <f aca="false">IF(A193="","",INDEX(Assumptions!$B$23:$B$26,MOD(VALUE(LEFT(A193,5)),4)+1))</f>
        <v>6</v>
      </c>
      <c r="F193" s="47" t="n">
        <v>1059</v>
      </c>
      <c r="G193" s="48" t="n">
        <v>27</v>
      </c>
      <c r="H193" s="48" t="n">
        <v>32</v>
      </c>
      <c r="I193" s="48" t="n">
        <v>8</v>
      </c>
      <c r="J193" s="48" t="n">
        <v>0</v>
      </c>
      <c r="K193" s="48" t="n">
        <v>21</v>
      </c>
      <c r="L193" s="48" t="n">
        <v>35</v>
      </c>
      <c r="M193" s="48" t="n">
        <v>9</v>
      </c>
      <c r="N193" s="48" t="n">
        <v>17</v>
      </c>
      <c r="O193" s="48" t="n">
        <v>158</v>
      </c>
      <c r="P193" s="48" t="n">
        <v>5</v>
      </c>
      <c r="Q193" s="48" t="n">
        <v>10</v>
      </c>
      <c r="R193" s="48" t="n">
        <v>32</v>
      </c>
      <c r="S193" s="48" t="n">
        <v>117</v>
      </c>
      <c r="T193" s="48" t="n">
        <v>13</v>
      </c>
      <c r="U193" s="48" t="n">
        <v>14</v>
      </c>
      <c r="V193" s="48" t="n">
        <v>14</v>
      </c>
      <c r="W193" s="48" t="n">
        <v>11</v>
      </c>
      <c r="X193" s="48" t="n">
        <v>7</v>
      </c>
      <c r="Y193" s="48" t="n">
        <v>8</v>
      </c>
      <c r="Z193" s="48" t="n">
        <v>15</v>
      </c>
      <c r="AA193" s="48" t="n">
        <v>10</v>
      </c>
      <c r="AB193" s="48" t="n">
        <v>66</v>
      </c>
      <c r="AC193" s="48" t="n">
        <v>68</v>
      </c>
      <c r="AD193" s="48" t="n">
        <v>18</v>
      </c>
      <c r="AE193" s="48" t="n">
        <v>4</v>
      </c>
      <c r="AF193" s="48" t="n">
        <v>13</v>
      </c>
      <c r="AG193" s="48" t="n">
        <v>2</v>
      </c>
      <c r="AH193" s="48" t="n">
        <v>17</v>
      </c>
      <c r="AI193" s="48" t="n">
        <v>10</v>
      </c>
      <c r="AJ193" s="48" t="n">
        <v>9</v>
      </c>
      <c r="AK193" s="48" t="n">
        <v>30</v>
      </c>
      <c r="AL193" s="48" t="n">
        <v>71</v>
      </c>
      <c r="AM193" s="48" t="n">
        <v>129</v>
      </c>
      <c r="AN193" s="48" t="n">
        <v>16</v>
      </c>
      <c r="AO193" s="48" t="n">
        <v>11</v>
      </c>
      <c r="AP193" s="48" t="n">
        <v>9</v>
      </c>
      <c r="AQ193" s="48" t="n">
        <v>27</v>
      </c>
      <c r="AR193" s="48" t="n">
        <v>27</v>
      </c>
      <c r="AS193" s="48" t="n">
        <v>33</v>
      </c>
      <c r="AT193" s="48" t="n">
        <v>27</v>
      </c>
      <c r="AU193" s="48" t="n">
        <v>51</v>
      </c>
      <c r="AV193" s="48" t="n">
        <v>46</v>
      </c>
      <c r="AW193" s="48" t="n">
        <v>28</v>
      </c>
      <c r="AX193" s="48" t="n">
        <v>162</v>
      </c>
      <c r="AY193" s="48" t="n">
        <v>47</v>
      </c>
      <c r="AZ193" s="48" t="n">
        <v>121</v>
      </c>
      <c r="BA193" s="48" t="n">
        <v>81</v>
      </c>
      <c r="BB193" s="48" t="n">
        <v>66</v>
      </c>
      <c r="BC193" s="48" t="n">
        <v>33</v>
      </c>
      <c r="BD193" s="48" t="n">
        <v>22</v>
      </c>
      <c r="BE193" s="48" t="n">
        <v>36</v>
      </c>
      <c r="BF193" s="48" t="n">
        <v>55</v>
      </c>
      <c r="BG193" s="49" t="n">
        <v>5.95</v>
      </c>
    </row>
    <row r="194" customFormat="false" ht="15" hidden="false" customHeight="false" outlineLevel="0" collapsed="false">
      <c r="A194" s="43" t="s">
        <v>624</v>
      </c>
      <c r="B194" s="43" t="s">
        <v>625</v>
      </c>
      <c r="C194" s="44" t="str">
        <f aca="false">IF(A194="","",IFERROR(INDEX(Assumptions!$B$41:$B$55,MATCH(TRUE(),INDEX(ISNUMBER(SEARCH(" "&amp;Assumptions!$A$41:$A$55&amp;" "," "&amp;SUBSTITUTE(SUBSTITUTE(SUBSTITUTE(SUBSTITUTE(B194,"-"," "),","," "),"/"," "),"."," ")&amp;" ")),0),0)),"Other"))</f>
        <v>Other</v>
      </c>
      <c r="D194" s="45" t="n">
        <f aca="false">IF(A194="","",BG194*(1-Assumptions!$B$18))</f>
        <v>8.97</v>
      </c>
      <c r="E194" s="46" t="n">
        <f aca="false">IF(A194="","",INDEX(Assumptions!$B$23:$B$26,MOD(VALUE(LEFT(A194,5)),4)+1))</f>
        <v>4</v>
      </c>
      <c r="F194" s="47" t="n">
        <v>191</v>
      </c>
      <c r="G194" s="48" t="n">
        <v>16</v>
      </c>
      <c r="H194" s="48" t="n">
        <v>3</v>
      </c>
      <c r="I194" s="48" t="n">
        <v>5</v>
      </c>
      <c r="J194" s="48" t="n">
        <v>0</v>
      </c>
      <c r="K194" s="48" t="n">
        <v>2</v>
      </c>
      <c r="L194" s="48" t="n">
        <v>8</v>
      </c>
      <c r="M194" s="48" t="n">
        <v>0</v>
      </c>
      <c r="N194" s="48" t="n">
        <v>13</v>
      </c>
      <c r="O194" s="48" t="n">
        <v>7</v>
      </c>
      <c r="P194" s="48" t="n">
        <v>0</v>
      </c>
      <c r="Q194" s="48" t="n">
        <v>29</v>
      </c>
      <c r="R194" s="48" t="n">
        <v>26</v>
      </c>
      <c r="S194" s="48" t="n">
        <v>19</v>
      </c>
      <c r="T194" s="48" t="n">
        <v>25</v>
      </c>
      <c r="U194" s="48" t="n">
        <v>9</v>
      </c>
      <c r="V194" s="48" t="n">
        <v>5</v>
      </c>
      <c r="W194" s="48" t="n">
        <v>14</v>
      </c>
      <c r="X194" s="48" t="n">
        <v>12</v>
      </c>
      <c r="Y194" s="48" t="n">
        <v>42</v>
      </c>
      <c r="Z194" s="48" t="n">
        <v>28</v>
      </c>
      <c r="AA194" s="48" t="n">
        <v>2</v>
      </c>
      <c r="AB194" s="48" t="n">
        <v>29</v>
      </c>
      <c r="AC194" s="48" t="n">
        <v>9</v>
      </c>
      <c r="AD194" s="48" t="n">
        <v>22</v>
      </c>
      <c r="AE194" s="48" t="n">
        <v>20</v>
      </c>
      <c r="AF194" s="48" t="n">
        <v>26</v>
      </c>
      <c r="AG194" s="48" t="n">
        <v>15</v>
      </c>
      <c r="AH194" s="48" t="n">
        <v>25</v>
      </c>
      <c r="AI194" s="48" t="n">
        <v>26</v>
      </c>
      <c r="AJ194" s="48" t="n">
        <v>21</v>
      </c>
      <c r="AK194" s="48" t="n">
        <v>19</v>
      </c>
      <c r="AL194" s="48" t="n">
        <v>37</v>
      </c>
      <c r="AM194" s="48" t="n">
        <v>38</v>
      </c>
      <c r="AN194" s="48" t="n">
        <v>16</v>
      </c>
      <c r="AO194" s="48" t="n">
        <v>39</v>
      </c>
      <c r="AP194" s="48" t="n">
        <v>25</v>
      </c>
      <c r="AQ194" s="48" t="n">
        <v>3</v>
      </c>
      <c r="AR194" s="48" t="n">
        <v>9</v>
      </c>
      <c r="AS194" s="48" t="n">
        <v>3</v>
      </c>
      <c r="AT194" s="48" t="n">
        <v>14</v>
      </c>
      <c r="AU194" s="48" t="n">
        <v>4</v>
      </c>
      <c r="AV194" s="48" t="n">
        <v>3</v>
      </c>
      <c r="AW194" s="48" t="n">
        <v>3</v>
      </c>
      <c r="AX194" s="48" t="n">
        <v>1</v>
      </c>
      <c r="AY194" s="48" t="n">
        <v>6</v>
      </c>
      <c r="AZ194" s="48" t="n">
        <v>8</v>
      </c>
      <c r="BA194" s="48" t="n">
        <v>15</v>
      </c>
      <c r="BB194" s="48" t="n">
        <v>18</v>
      </c>
      <c r="BC194" s="48" t="n">
        <v>16</v>
      </c>
      <c r="BD194" s="48" t="n">
        <v>3</v>
      </c>
      <c r="BE194" s="48" t="n">
        <v>9</v>
      </c>
      <c r="BF194" s="48" t="n">
        <v>17</v>
      </c>
      <c r="BG194" s="49" t="n">
        <v>14.95</v>
      </c>
    </row>
    <row r="195" customFormat="false" ht="15" hidden="false" customHeight="false" outlineLevel="0" collapsed="false">
      <c r="A195" s="43" t="s">
        <v>626</v>
      </c>
      <c r="B195" s="43" t="s">
        <v>627</v>
      </c>
      <c r="C195" s="44" t="str">
        <f aca="false">IF(A195="","",IFERROR(INDEX(Assumptions!$B$41:$B$55,MATCH(TRUE(),INDEX(ISNUMBER(SEARCH(" "&amp;Assumptions!$A$41:$A$55&amp;" "," "&amp;SUBSTITUTE(SUBSTITUTE(SUBSTITUTE(SUBSTITUTE(B195,"-"," "),","," "),"/"," "),"."," ")&amp;" ")),0),0)),"Other"))</f>
        <v>Other</v>
      </c>
      <c r="D195" s="45" t="n">
        <f aca="false">IF(A195="","",BG195*(1-Assumptions!$B$18))</f>
        <v>0.99</v>
      </c>
      <c r="E195" s="46" t="n">
        <f aca="false">IF(A195="","",INDEX(Assumptions!$B$23:$B$26,MOD(VALUE(LEFT(A195,5)),4)+1))</f>
        <v>6</v>
      </c>
      <c r="F195" s="47" t="n">
        <v>910</v>
      </c>
      <c r="G195" s="48" t="n">
        <v>0</v>
      </c>
      <c r="H195" s="48" t="n">
        <v>0</v>
      </c>
      <c r="I195" s="48" t="n">
        <v>0</v>
      </c>
      <c r="J195" s="48" t="n">
        <v>0</v>
      </c>
      <c r="K195" s="48" t="n">
        <v>0</v>
      </c>
      <c r="L195" s="48" t="n">
        <v>0</v>
      </c>
      <c r="M195" s="48" t="n">
        <v>0</v>
      </c>
      <c r="N195" s="48" t="n">
        <v>0</v>
      </c>
      <c r="O195" s="48" t="n">
        <v>0</v>
      </c>
      <c r="P195" s="48" t="n">
        <v>0</v>
      </c>
      <c r="Q195" s="48" t="n">
        <v>0</v>
      </c>
      <c r="R195" s="48" t="n">
        <v>0</v>
      </c>
      <c r="S195" s="48" t="n">
        <v>0</v>
      </c>
      <c r="T195" s="48" t="n">
        <v>0</v>
      </c>
      <c r="U195" s="48" t="n">
        <v>0</v>
      </c>
      <c r="V195" s="48" t="n">
        <v>0</v>
      </c>
      <c r="W195" s="48" t="n">
        <v>0</v>
      </c>
      <c r="X195" s="48" t="n">
        <v>0</v>
      </c>
      <c r="Y195" s="48" t="n">
        <v>0</v>
      </c>
      <c r="Z195" s="48" t="n">
        <v>0</v>
      </c>
      <c r="AA195" s="48" t="n">
        <v>0</v>
      </c>
      <c r="AB195" s="48" t="n">
        <v>0</v>
      </c>
      <c r="AC195" s="48" t="n">
        <v>492</v>
      </c>
      <c r="AD195" s="48" t="n">
        <v>747</v>
      </c>
      <c r="AE195" s="48" t="n">
        <v>379</v>
      </c>
      <c r="AF195" s="48" t="n">
        <v>218</v>
      </c>
      <c r="AG195" s="48" t="n">
        <v>211</v>
      </c>
      <c r="AH195" s="48" t="n">
        <v>322</v>
      </c>
      <c r="AI195" s="48" t="n">
        <v>115</v>
      </c>
      <c r="AJ195" s="48" t="n">
        <v>809</v>
      </c>
      <c r="AK195" s="48" t="n">
        <v>143</v>
      </c>
      <c r="AL195" s="48" t="n">
        <v>160</v>
      </c>
      <c r="AM195" s="48" t="n">
        <v>165</v>
      </c>
      <c r="AN195" s="48" t="n">
        <v>471</v>
      </c>
      <c r="AO195" s="48" t="n">
        <v>123</v>
      </c>
      <c r="AP195" s="48" t="n">
        <v>121</v>
      </c>
      <c r="AQ195" s="48" t="n">
        <v>142</v>
      </c>
      <c r="AR195" s="48" t="n">
        <v>105</v>
      </c>
      <c r="AS195" s="48" t="n">
        <v>130</v>
      </c>
      <c r="AT195" s="48" t="n">
        <v>173</v>
      </c>
      <c r="AU195" s="48" t="n">
        <v>222</v>
      </c>
      <c r="AV195" s="48" t="n">
        <v>151</v>
      </c>
      <c r="AW195" s="48" t="n">
        <v>222</v>
      </c>
      <c r="AX195" s="48" t="n">
        <v>261</v>
      </c>
      <c r="AY195" s="48" t="n">
        <v>98</v>
      </c>
      <c r="AZ195" s="48" t="n">
        <v>351</v>
      </c>
      <c r="BA195" s="48" t="n">
        <v>92</v>
      </c>
      <c r="BB195" s="48" t="n">
        <v>70</v>
      </c>
      <c r="BC195" s="48" t="n">
        <v>88</v>
      </c>
      <c r="BD195" s="48" t="n">
        <v>60</v>
      </c>
      <c r="BE195" s="48" t="n">
        <v>68</v>
      </c>
      <c r="BF195" s="48" t="n">
        <v>52</v>
      </c>
      <c r="BG195" s="49" t="n">
        <v>1.65</v>
      </c>
    </row>
    <row r="196" customFormat="false" ht="15" hidden="false" customHeight="false" outlineLevel="0" collapsed="false">
      <c r="A196" s="43" t="s">
        <v>628</v>
      </c>
      <c r="B196" s="43" t="s">
        <v>629</v>
      </c>
      <c r="C196" s="44" t="str">
        <f aca="false">IF(A196="","",IFERROR(INDEX(Assumptions!$B$41:$B$55,MATCH(TRUE(),INDEX(ISNUMBER(SEARCH(" "&amp;Assumptions!$A$41:$A$55&amp;" "," "&amp;SUBSTITUTE(SUBSTITUTE(SUBSTITUTE(SUBSTITUTE(B196,"-"," "),","," "),"/"," "),"."," ")&amp;" ")),0),0)),"Other"))</f>
        <v>Bags</v>
      </c>
      <c r="D196" s="45" t="n">
        <f aca="false">IF(A196="","",BG196*(1-Assumptions!$B$18))</f>
        <v>0.99</v>
      </c>
      <c r="E196" s="46" t="n">
        <f aca="false">IF(A196="","",INDEX(Assumptions!$B$23:$B$26,MOD(VALUE(LEFT(A196,5)),4)+1))</f>
        <v>6</v>
      </c>
      <c r="F196" s="47" t="n">
        <v>1399</v>
      </c>
      <c r="G196" s="48" t="n">
        <v>91</v>
      </c>
      <c r="H196" s="48" t="n">
        <v>72</v>
      </c>
      <c r="I196" s="48" t="n">
        <v>1</v>
      </c>
      <c r="J196" s="48" t="n">
        <v>0</v>
      </c>
      <c r="K196" s="48" t="n">
        <v>21</v>
      </c>
      <c r="L196" s="48" t="n">
        <v>56</v>
      </c>
      <c r="M196" s="48" t="n">
        <v>22</v>
      </c>
      <c r="N196" s="48" t="n">
        <v>64</v>
      </c>
      <c r="O196" s="48" t="n">
        <v>73</v>
      </c>
      <c r="P196" s="48" t="n">
        <v>144</v>
      </c>
      <c r="Q196" s="48" t="n">
        <v>259</v>
      </c>
      <c r="R196" s="48" t="n">
        <v>94</v>
      </c>
      <c r="S196" s="48" t="n">
        <v>152</v>
      </c>
      <c r="T196" s="48" t="n">
        <v>96</v>
      </c>
      <c r="U196" s="48" t="n">
        <v>73</v>
      </c>
      <c r="V196" s="48" t="n">
        <v>117</v>
      </c>
      <c r="W196" s="48" t="n">
        <v>388</v>
      </c>
      <c r="X196" s="48" t="n">
        <v>205</v>
      </c>
      <c r="Y196" s="48" t="n">
        <v>208</v>
      </c>
      <c r="Z196" s="48" t="n">
        <v>57</v>
      </c>
      <c r="AA196" s="48" t="n">
        <v>42</v>
      </c>
      <c r="AB196" s="48" t="n">
        <v>142</v>
      </c>
      <c r="AC196" s="48" t="n">
        <v>323</v>
      </c>
      <c r="AD196" s="48" t="n">
        <v>148</v>
      </c>
      <c r="AE196" s="48" t="n">
        <v>94</v>
      </c>
      <c r="AF196" s="48" t="n">
        <v>47</v>
      </c>
      <c r="AG196" s="48" t="n">
        <v>60</v>
      </c>
      <c r="AH196" s="48" t="n">
        <v>174</v>
      </c>
      <c r="AI196" s="48" t="n">
        <v>90</v>
      </c>
      <c r="AJ196" s="48" t="n">
        <v>44</v>
      </c>
      <c r="AK196" s="48" t="n">
        <v>210</v>
      </c>
      <c r="AL196" s="48" t="n">
        <v>101</v>
      </c>
      <c r="AM196" s="48" t="n">
        <v>263</v>
      </c>
      <c r="AN196" s="48" t="n">
        <v>180</v>
      </c>
      <c r="AO196" s="48" t="n">
        <v>281</v>
      </c>
      <c r="AP196" s="48" t="n">
        <v>351</v>
      </c>
      <c r="AQ196" s="48" t="n">
        <v>220</v>
      </c>
      <c r="AR196" s="48" t="n">
        <v>106</v>
      </c>
      <c r="AS196" s="48" t="n">
        <v>41</v>
      </c>
      <c r="AT196" s="48" t="n">
        <v>197</v>
      </c>
      <c r="AU196" s="48" t="n">
        <v>144</v>
      </c>
      <c r="AV196" s="48" t="n">
        <v>194</v>
      </c>
      <c r="AW196" s="48" t="n">
        <v>86</v>
      </c>
      <c r="AX196" s="48" t="n">
        <v>95</v>
      </c>
      <c r="AY196" s="48" t="n">
        <v>46</v>
      </c>
      <c r="AZ196" s="48" t="n">
        <v>93</v>
      </c>
      <c r="BA196" s="48" t="n">
        <v>77</v>
      </c>
      <c r="BB196" s="48" t="n">
        <v>75</v>
      </c>
      <c r="BC196" s="48" t="n">
        <v>54</v>
      </c>
      <c r="BD196" s="48" t="n">
        <v>240</v>
      </c>
      <c r="BE196" s="48" t="n">
        <v>136</v>
      </c>
      <c r="BF196" s="48" t="n">
        <v>66</v>
      </c>
      <c r="BG196" s="49" t="n">
        <v>1.65</v>
      </c>
    </row>
    <row r="197" customFormat="false" ht="15" hidden="false" customHeight="false" outlineLevel="0" collapsed="false">
      <c r="A197" s="43" t="s">
        <v>630</v>
      </c>
      <c r="B197" s="43" t="s">
        <v>631</v>
      </c>
      <c r="C197" s="44" t="str">
        <f aca="false">IF(A197="","",IFERROR(INDEX(Assumptions!$B$41:$B$55,MATCH(TRUE(),INDEX(ISNUMBER(SEARCH(" "&amp;Assumptions!$A$41:$A$55&amp;" "," "&amp;SUBSTITUTE(SUBSTITUTE(SUBSTITUTE(SUBSTITUTE(B197,"-"," "),","," "),"/"," "),"."," ")&amp;" ")),0),0)),"Other"))</f>
        <v>Bags</v>
      </c>
      <c r="D197" s="45" t="n">
        <f aca="false">IF(A197="","",BG197*(1-Assumptions!$B$18))</f>
        <v>2.478</v>
      </c>
      <c r="E197" s="46" t="n">
        <f aca="false">IF(A197="","",INDEX(Assumptions!$B$23:$B$26,MOD(VALUE(LEFT(A197,5)),4)+1))</f>
        <v>8</v>
      </c>
      <c r="F197" s="47" t="n">
        <v>1242</v>
      </c>
      <c r="G197" s="48" t="n">
        <v>172</v>
      </c>
      <c r="H197" s="48" t="n">
        <v>63</v>
      </c>
      <c r="I197" s="48" t="n">
        <v>18</v>
      </c>
      <c r="J197" s="48" t="n">
        <v>0</v>
      </c>
      <c r="K197" s="48" t="n">
        <v>351</v>
      </c>
      <c r="L197" s="48" t="n">
        <v>63</v>
      </c>
      <c r="M197" s="48" t="n">
        <v>47</v>
      </c>
      <c r="N197" s="48" t="n">
        <v>102</v>
      </c>
      <c r="O197" s="48" t="n">
        <v>48</v>
      </c>
      <c r="P197" s="48" t="n">
        <v>74</v>
      </c>
      <c r="Q197" s="48" t="n">
        <v>352</v>
      </c>
      <c r="R197" s="48" t="n">
        <v>15</v>
      </c>
      <c r="S197" s="48" t="n">
        <v>81</v>
      </c>
      <c r="T197" s="48" t="n">
        <v>53</v>
      </c>
      <c r="U197" s="48" t="n">
        <v>663</v>
      </c>
      <c r="V197" s="48" t="n">
        <v>50</v>
      </c>
      <c r="W197" s="48" t="n">
        <v>290</v>
      </c>
      <c r="X197" s="48" t="n">
        <v>129</v>
      </c>
      <c r="Y197" s="48" t="n">
        <v>37</v>
      </c>
      <c r="Z197" s="48" t="n">
        <v>18</v>
      </c>
      <c r="AA197" s="48" t="n">
        <v>25</v>
      </c>
      <c r="AB197" s="48" t="n">
        <v>77</v>
      </c>
      <c r="AC197" s="48" t="n">
        <v>182</v>
      </c>
      <c r="AD197" s="48" t="n">
        <v>68</v>
      </c>
      <c r="AE197" s="48" t="n">
        <v>161</v>
      </c>
      <c r="AF197" s="48" t="n">
        <v>60</v>
      </c>
      <c r="AG197" s="48" t="n">
        <v>150</v>
      </c>
      <c r="AH197" s="48" t="n">
        <v>34</v>
      </c>
      <c r="AI197" s="48" t="n">
        <v>33</v>
      </c>
      <c r="AJ197" s="48" t="n">
        <v>33</v>
      </c>
      <c r="AK197" s="48" t="n">
        <v>49</v>
      </c>
      <c r="AL197" s="48" t="n">
        <v>15</v>
      </c>
      <c r="AM197" s="48" t="n">
        <v>38</v>
      </c>
      <c r="AN197" s="48" t="n">
        <v>81</v>
      </c>
      <c r="AO197" s="48" t="n">
        <v>6</v>
      </c>
      <c r="AP197" s="48" t="n">
        <v>54</v>
      </c>
      <c r="AQ197" s="48" t="n">
        <v>90</v>
      </c>
      <c r="AR197" s="48" t="n">
        <v>87</v>
      </c>
      <c r="AS197" s="48" t="n">
        <v>16</v>
      </c>
      <c r="AT197" s="48" t="n">
        <v>37</v>
      </c>
      <c r="AU197" s="48" t="n">
        <v>23</v>
      </c>
      <c r="AV197" s="48" t="n">
        <v>210</v>
      </c>
      <c r="AW197" s="48" t="n">
        <v>157</v>
      </c>
      <c r="AX197" s="48" t="n">
        <v>141</v>
      </c>
      <c r="AY197" s="48" t="n">
        <v>36</v>
      </c>
      <c r="AZ197" s="48" t="n">
        <v>12</v>
      </c>
      <c r="BA197" s="48" t="n">
        <v>59</v>
      </c>
      <c r="BB197" s="48" t="n">
        <v>21</v>
      </c>
      <c r="BC197" s="48" t="n">
        <v>160</v>
      </c>
      <c r="BD197" s="48" t="n">
        <v>66</v>
      </c>
      <c r="BE197" s="48" t="n">
        <v>142</v>
      </c>
      <c r="BF197" s="48" t="n">
        <v>18</v>
      </c>
      <c r="BG197" s="49" t="n">
        <v>4.13</v>
      </c>
    </row>
    <row r="198" customFormat="false" ht="15" hidden="false" customHeight="false" outlineLevel="0" collapsed="false">
      <c r="A198" s="43" t="s">
        <v>632</v>
      </c>
      <c r="B198" s="43" t="s">
        <v>633</v>
      </c>
      <c r="C198" s="44" t="str">
        <f aca="false">IF(A198="","",IFERROR(INDEX(Assumptions!$B$41:$B$55,MATCH(TRUE(),INDEX(ISNUMBER(SEARCH(" "&amp;Assumptions!$A$41:$A$55&amp;" "," "&amp;SUBSTITUTE(SUBSTITUTE(SUBSTITUTE(SUBSTITUTE(B198,"-"," "),","," "),"/"," "),"."," ")&amp;" ")),0),0)),"Other"))</f>
        <v>Bags</v>
      </c>
      <c r="D198" s="45" t="n">
        <f aca="false">IF(A198="","",BG198*(1-Assumptions!$B$18))</f>
        <v>0.51</v>
      </c>
      <c r="E198" s="46" t="n">
        <f aca="false">IF(A198="","",INDEX(Assumptions!$B$23:$B$26,MOD(VALUE(LEFT(A198,5)),4)+1))</f>
        <v>2</v>
      </c>
      <c r="F198" s="47" t="n">
        <v>1993</v>
      </c>
      <c r="G198" s="48" t="n">
        <v>162</v>
      </c>
      <c r="H198" s="48" t="n">
        <v>223</v>
      </c>
      <c r="I198" s="48" t="n">
        <v>123</v>
      </c>
      <c r="J198" s="48" t="n">
        <v>0</v>
      </c>
      <c r="K198" s="48" t="n">
        <v>86</v>
      </c>
      <c r="L198" s="48" t="n">
        <v>240</v>
      </c>
      <c r="M198" s="48" t="n">
        <v>195</v>
      </c>
      <c r="N198" s="48" t="n">
        <v>45</v>
      </c>
      <c r="O198" s="48" t="n">
        <v>104</v>
      </c>
      <c r="P198" s="48" t="n">
        <v>72</v>
      </c>
      <c r="Q198" s="48" t="n">
        <v>234</v>
      </c>
      <c r="R198" s="48" t="n">
        <v>183</v>
      </c>
      <c r="S198" s="48" t="n">
        <v>109</v>
      </c>
      <c r="T198" s="48" t="n">
        <v>229</v>
      </c>
      <c r="U198" s="48" t="n">
        <v>217</v>
      </c>
      <c r="V198" s="48" t="n">
        <v>284</v>
      </c>
      <c r="W198" s="48" t="n">
        <v>228</v>
      </c>
      <c r="X198" s="48" t="n">
        <v>110</v>
      </c>
      <c r="Y198" s="48" t="n">
        <v>87</v>
      </c>
      <c r="Z198" s="48" t="n">
        <v>189</v>
      </c>
      <c r="AA198" s="48" t="n">
        <v>71</v>
      </c>
      <c r="AB198" s="48" t="n">
        <v>79</v>
      </c>
      <c r="AC198" s="48" t="n">
        <v>304</v>
      </c>
      <c r="AD198" s="48" t="n">
        <v>89</v>
      </c>
      <c r="AE198" s="48" t="n">
        <v>164</v>
      </c>
      <c r="AF198" s="48" t="n">
        <v>17</v>
      </c>
      <c r="AG198" s="48" t="n">
        <v>259</v>
      </c>
      <c r="AH198" s="48" t="n">
        <v>279</v>
      </c>
      <c r="AI198" s="48" t="n">
        <v>231</v>
      </c>
      <c r="AJ198" s="48" t="n">
        <v>185</v>
      </c>
      <c r="AK198" s="48" t="n">
        <v>160</v>
      </c>
      <c r="AL198" s="48" t="n">
        <v>58</v>
      </c>
      <c r="AM198" s="48" t="n">
        <v>166</v>
      </c>
      <c r="AN198" s="48" t="n">
        <v>216</v>
      </c>
      <c r="AO198" s="48" t="n">
        <v>167</v>
      </c>
      <c r="AP198" s="48" t="n">
        <v>472</v>
      </c>
      <c r="AQ198" s="48" t="n">
        <v>118</v>
      </c>
      <c r="AR198" s="48" t="n">
        <v>262</v>
      </c>
      <c r="AS198" s="48" t="n">
        <v>83</v>
      </c>
      <c r="AT198" s="48" t="n">
        <v>157</v>
      </c>
      <c r="AU198" s="48" t="n">
        <v>219</v>
      </c>
      <c r="AV198" s="48" t="n">
        <v>204</v>
      </c>
      <c r="AW198" s="48" t="n">
        <v>136</v>
      </c>
      <c r="AX198" s="48" t="n">
        <v>132</v>
      </c>
      <c r="AY198" s="48" t="n">
        <v>137</v>
      </c>
      <c r="AZ198" s="48" t="n">
        <v>114</v>
      </c>
      <c r="BA198" s="48" t="n">
        <v>303</v>
      </c>
      <c r="BB198" s="48" t="n">
        <v>230</v>
      </c>
      <c r="BC198" s="48" t="n">
        <v>364</v>
      </c>
      <c r="BD198" s="48" t="n">
        <v>227</v>
      </c>
      <c r="BE198" s="48" t="n">
        <v>490</v>
      </c>
      <c r="BF198" s="48" t="n">
        <v>210</v>
      </c>
      <c r="BG198" s="49" t="n">
        <v>0.85</v>
      </c>
    </row>
    <row r="199" customFormat="false" ht="15" hidden="false" customHeight="false" outlineLevel="0" collapsed="false">
      <c r="A199" s="43" t="s">
        <v>634</v>
      </c>
      <c r="B199" s="43" t="s">
        <v>635</v>
      </c>
      <c r="C199" s="44" t="str">
        <f aca="false">IF(A199="","",IFERROR(INDEX(Assumptions!$B$41:$B$55,MATCH(TRUE(),INDEX(ISNUMBER(SEARCH(" "&amp;Assumptions!$A$41:$A$55&amp;" "," "&amp;SUBSTITUTE(SUBSTITUTE(SUBSTITUTE(SUBSTITUTE(B199,"-"," "),","," "),"/"," "),"."," ")&amp;" ")),0),0)),"Other"))</f>
        <v>Other</v>
      </c>
      <c r="D199" s="45" t="n">
        <f aca="false">IF(A199="","",BG199*(1-Assumptions!$B$18))</f>
        <v>2.25</v>
      </c>
      <c r="E199" s="46" t="n">
        <f aca="false">IF(A199="","",INDEX(Assumptions!$B$23:$B$26,MOD(VALUE(LEFT(A199,5)),4)+1))</f>
        <v>6</v>
      </c>
      <c r="F199" s="47" t="n">
        <v>843</v>
      </c>
      <c r="G199" s="48" t="n">
        <v>101</v>
      </c>
      <c r="H199" s="48" t="n">
        <v>24</v>
      </c>
      <c r="I199" s="48" t="n">
        <v>20</v>
      </c>
      <c r="J199" s="48" t="n">
        <v>0</v>
      </c>
      <c r="K199" s="48" t="n">
        <v>29</v>
      </c>
      <c r="L199" s="48" t="n">
        <v>25</v>
      </c>
      <c r="M199" s="48" t="n">
        <v>31</v>
      </c>
      <c r="N199" s="48" t="n">
        <v>28</v>
      </c>
      <c r="O199" s="48" t="n">
        <v>62</v>
      </c>
      <c r="P199" s="48" t="n">
        <v>8</v>
      </c>
      <c r="Q199" s="48" t="n">
        <v>39</v>
      </c>
      <c r="R199" s="48" t="n">
        <v>35</v>
      </c>
      <c r="S199" s="48" t="n">
        <v>47</v>
      </c>
      <c r="T199" s="48" t="n">
        <v>8</v>
      </c>
      <c r="U199" s="48" t="n">
        <v>19</v>
      </c>
      <c r="V199" s="48" t="n">
        <v>14</v>
      </c>
      <c r="W199" s="48" t="n">
        <v>30</v>
      </c>
      <c r="X199" s="48" t="n">
        <v>27</v>
      </c>
      <c r="Y199" s="48" t="n">
        <v>11</v>
      </c>
      <c r="Z199" s="48" t="n">
        <v>25</v>
      </c>
      <c r="AA199" s="48" t="n">
        <v>15</v>
      </c>
      <c r="AB199" s="48" t="n">
        <v>14</v>
      </c>
      <c r="AC199" s="48" t="n">
        <v>42</v>
      </c>
      <c r="AD199" s="48" t="n">
        <v>47</v>
      </c>
      <c r="AE199" s="48" t="n">
        <v>35</v>
      </c>
      <c r="AF199" s="48" t="n">
        <v>35</v>
      </c>
      <c r="AG199" s="48" t="n">
        <v>9</v>
      </c>
      <c r="AH199" s="48" t="n">
        <v>44</v>
      </c>
      <c r="AI199" s="48" t="n">
        <v>39</v>
      </c>
      <c r="AJ199" s="48" t="n">
        <v>33</v>
      </c>
      <c r="AK199" s="48" t="n">
        <v>31</v>
      </c>
      <c r="AL199" s="48" t="n">
        <v>40</v>
      </c>
      <c r="AM199" s="48" t="n">
        <v>31</v>
      </c>
      <c r="AN199" s="48" t="n">
        <v>35</v>
      </c>
      <c r="AO199" s="48" t="n">
        <v>50</v>
      </c>
      <c r="AP199" s="48" t="n">
        <v>22</v>
      </c>
      <c r="AQ199" s="48" t="n">
        <v>281</v>
      </c>
      <c r="AR199" s="48" t="n">
        <v>50</v>
      </c>
      <c r="AS199" s="48" t="n">
        <v>43</v>
      </c>
      <c r="AT199" s="48" t="n">
        <v>57</v>
      </c>
      <c r="AU199" s="48" t="n">
        <v>56</v>
      </c>
      <c r="AV199" s="48" t="n">
        <v>123</v>
      </c>
      <c r="AW199" s="48" t="n">
        <v>53</v>
      </c>
      <c r="AX199" s="48" t="n">
        <v>196</v>
      </c>
      <c r="AY199" s="48" t="n">
        <v>55</v>
      </c>
      <c r="AZ199" s="48" t="n">
        <v>40</v>
      </c>
      <c r="BA199" s="48" t="n">
        <v>59</v>
      </c>
      <c r="BB199" s="48" t="n">
        <v>239</v>
      </c>
      <c r="BC199" s="48" t="n">
        <v>85</v>
      </c>
      <c r="BD199" s="48" t="n">
        <v>108</v>
      </c>
      <c r="BE199" s="48" t="n">
        <v>50</v>
      </c>
      <c r="BF199" s="48" t="n">
        <v>140</v>
      </c>
      <c r="BG199" s="49" t="n">
        <v>3.75</v>
      </c>
    </row>
    <row r="200" customFormat="false" ht="15" hidden="false" customHeight="false" outlineLevel="0" collapsed="false">
      <c r="A200" s="43" t="s">
        <v>636</v>
      </c>
      <c r="B200" s="43" t="s">
        <v>637</v>
      </c>
      <c r="C200" s="44" t="str">
        <f aca="false">IF(A200="","",IFERROR(INDEX(Assumptions!$B$41:$B$55,MATCH(TRUE(),INDEX(ISNUMBER(SEARCH(" "&amp;Assumptions!$A$41:$A$55&amp;" "," "&amp;SUBSTITUTE(SUBSTITUTE(SUBSTITUTE(SUBSTITUTE(B200,"-"," "),","," "),"/"," "),"."," ")&amp;" ")),0),0)),"Other"))</f>
        <v>Other</v>
      </c>
      <c r="D200" s="45" t="n">
        <f aca="false">IF(A200="","",BG200*(1-Assumptions!$B$18))</f>
        <v>0.51</v>
      </c>
      <c r="E200" s="46" t="n">
        <f aca="false">IF(A200="","",INDEX(Assumptions!$B$23:$B$26,MOD(VALUE(LEFT(A200,5)),4)+1))</f>
        <v>2</v>
      </c>
      <c r="F200" s="47" t="n">
        <v>972</v>
      </c>
      <c r="G200" s="48" t="n">
        <v>334</v>
      </c>
      <c r="H200" s="48" t="n">
        <v>52</v>
      </c>
      <c r="I200" s="48" t="n">
        <v>55</v>
      </c>
      <c r="J200" s="48" t="n">
        <v>0</v>
      </c>
      <c r="K200" s="48" t="n">
        <v>276</v>
      </c>
      <c r="L200" s="48" t="n">
        <v>218</v>
      </c>
      <c r="M200" s="48" t="n">
        <v>265</v>
      </c>
      <c r="N200" s="48" t="n">
        <v>151</v>
      </c>
      <c r="O200" s="48" t="n">
        <v>318</v>
      </c>
      <c r="P200" s="48" t="n">
        <v>319</v>
      </c>
      <c r="Q200" s="48" t="n">
        <v>386</v>
      </c>
      <c r="R200" s="48" t="n">
        <v>266</v>
      </c>
      <c r="S200" s="48" t="n">
        <v>408</v>
      </c>
      <c r="T200" s="48" t="n">
        <v>136</v>
      </c>
      <c r="U200" s="48" t="n">
        <v>644</v>
      </c>
      <c r="V200" s="48" t="n">
        <v>233</v>
      </c>
      <c r="W200" s="48" t="n">
        <v>586</v>
      </c>
      <c r="X200" s="48" t="n">
        <v>185</v>
      </c>
      <c r="Y200" s="48" t="n">
        <v>460</v>
      </c>
      <c r="Z200" s="48" t="n">
        <v>177</v>
      </c>
      <c r="AA200" s="48" t="n">
        <v>161</v>
      </c>
      <c r="AB200" s="48" t="n">
        <v>212</v>
      </c>
      <c r="AC200" s="48" t="n">
        <v>349</v>
      </c>
      <c r="AD200" s="48" t="n">
        <v>303</v>
      </c>
      <c r="AE200" s="48" t="n">
        <v>390</v>
      </c>
      <c r="AF200" s="48" t="n">
        <v>105</v>
      </c>
      <c r="AG200" s="48" t="n">
        <v>323</v>
      </c>
      <c r="AH200" s="48" t="n">
        <v>468</v>
      </c>
      <c r="AI200" s="48" t="n">
        <v>338</v>
      </c>
      <c r="AJ200" s="48" t="n">
        <v>100</v>
      </c>
      <c r="AK200" s="48" t="n">
        <v>270</v>
      </c>
      <c r="AL200" s="48" t="n">
        <v>92</v>
      </c>
      <c r="AM200" s="48" t="n">
        <v>98</v>
      </c>
      <c r="AN200" s="48" t="n">
        <v>169</v>
      </c>
      <c r="AO200" s="48" t="n">
        <v>360</v>
      </c>
      <c r="AP200" s="48" t="n">
        <v>113</v>
      </c>
      <c r="AQ200" s="48" t="n">
        <v>162</v>
      </c>
      <c r="AR200" s="48" t="n">
        <v>294</v>
      </c>
      <c r="AS200" s="48" t="n">
        <v>194</v>
      </c>
      <c r="AT200" s="48" t="n">
        <v>246</v>
      </c>
      <c r="AU200" s="48" t="n">
        <v>204</v>
      </c>
      <c r="AV200" s="48" t="n">
        <v>296</v>
      </c>
      <c r="AW200" s="48" t="n">
        <v>175</v>
      </c>
      <c r="AX200" s="48" t="n">
        <v>142</v>
      </c>
      <c r="AY200" s="48" t="n">
        <v>79</v>
      </c>
      <c r="AZ200" s="48" t="n">
        <v>288</v>
      </c>
      <c r="BA200" s="48" t="n">
        <v>232</v>
      </c>
      <c r="BB200" s="48" t="n">
        <v>134</v>
      </c>
      <c r="BC200" s="48" t="n">
        <v>256</v>
      </c>
      <c r="BD200" s="48" t="n">
        <v>204</v>
      </c>
      <c r="BE200" s="48" t="n">
        <v>294</v>
      </c>
      <c r="BF200" s="48" t="n">
        <v>118</v>
      </c>
      <c r="BG200" s="49" t="n">
        <v>0.85</v>
      </c>
    </row>
    <row r="201" customFormat="false" ht="15" hidden="false" customHeight="false" outlineLevel="0" collapsed="false">
      <c r="A201" s="43" t="s">
        <v>638</v>
      </c>
      <c r="B201" s="43" t="s">
        <v>639</v>
      </c>
      <c r="C201" s="44" t="str">
        <f aca="false">IF(A201="","",IFERROR(INDEX(Assumptions!$B$41:$B$55,MATCH(TRUE(),INDEX(ISNUMBER(SEARCH(" "&amp;Assumptions!$A$41:$A$55&amp;" "," "&amp;SUBSTITUTE(SUBSTITUTE(SUBSTITUTE(SUBSTITUTE(B201,"-"," "),","," "),"/"," "),"."," ")&amp;" ")),0),0)),"Other"))</f>
        <v>Bags</v>
      </c>
      <c r="D201" s="45" t="n">
        <f aca="false">IF(A201="","",BG201*(1-Assumptions!$B$18))</f>
        <v>1.248</v>
      </c>
      <c r="E201" s="46" t="n">
        <f aca="false">IF(A201="","",INDEX(Assumptions!$B$23:$B$26,MOD(VALUE(LEFT(A201,5)),4)+1))</f>
        <v>4</v>
      </c>
      <c r="F201" s="47" t="n">
        <v>1250</v>
      </c>
      <c r="G201" s="48" t="n">
        <v>0</v>
      </c>
      <c r="H201" s="48" t="n">
        <v>0</v>
      </c>
      <c r="I201" s="48" t="n">
        <v>0</v>
      </c>
      <c r="J201" s="48" t="n">
        <v>0</v>
      </c>
      <c r="K201" s="48" t="n">
        <v>0</v>
      </c>
      <c r="L201" s="48" t="n">
        <v>0</v>
      </c>
      <c r="M201" s="48" t="n">
        <v>0</v>
      </c>
      <c r="N201" s="48" t="n">
        <v>0</v>
      </c>
      <c r="O201" s="48" t="n">
        <v>0</v>
      </c>
      <c r="P201" s="48" t="n">
        <v>0</v>
      </c>
      <c r="Q201" s="48" t="n">
        <v>0</v>
      </c>
      <c r="R201" s="48" t="n">
        <v>0</v>
      </c>
      <c r="S201" s="48" t="n">
        <v>0</v>
      </c>
      <c r="T201" s="48" t="n">
        <v>0</v>
      </c>
      <c r="U201" s="48" t="n">
        <v>0</v>
      </c>
      <c r="V201" s="48" t="n">
        <v>0</v>
      </c>
      <c r="W201" s="48" t="n">
        <v>0</v>
      </c>
      <c r="X201" s="48" t="n">
        <v>0</v>
      </c>
      <c r="Y201" s="48" t="n">
        <v>0</v>
      </c>
      <c r="Z201" s="48" t="n">
        <v>0</v>
      </c>
      <c r="AA201" s="48" t="n">
        <v>0</v>
      </c>
      <c r="AB201" s="48" t="n">
        <v>0</v>
      </c>
      <c r="AC201" s="48" t="n">
        <v>0</v>
      </c>
      <c r="AD201" s="48" t="n">
        <v>0</v>
      </c>
      <c r="AE201" s="48" t="n">
        <v>0</v>
      </c>
      <c r="AF201" s="48" t="n">
        <v>0</v>
      </c>
      <c r="AG201" s="48" t="n">
        <v>0</v>
      </c>
      <c r="AH201" s="48" t="n">
        <v>0</v>
      </c>
      <c r="AI201" s="48" t="n">
        <v>0</v>
      </c>
      <c r="AJ201" s="48" t="n">
        <v>0</v>
      </c>
      <c r="AK201" s="48" t="n">
        <v>0</v>
      </c>
      <c r="AL201" s="48" t="n">
        <v>0</v>
      </c>
      <c r="AM201" s="48" t="n">
        <v>0</v>
      </c>
      <c r="AN201" s="48" t="n">
        <v>0</v>
      </c>
      <c r="AO201" s="48" t="n">
        <v>0</v>
      </c>
      <c r="AP201" s="48" t="n">
        <v>0</v>
      </c>
      <c r="AQ201" s="48" t="n">
        <v>0</v>
      </c>
      <c r="AR201" s="48" t="n">
        <v>0</v>
      </c>
      <c r="AS201" s="48" t="n">
        <v>0</v>
      </c>
      <c r="AT201" s="48" t="n">
        <v>0</v>
      </c>
      <c r="AU201" s="48" t="n">
        <v>0</v>
      </c>
      <c r="AV201" s="48" t="n">
        <v>0</v>
      </c>
      <c r="AW201" s="48" t="n">
        <v>0</v>
      </c>
      <c r="AX201" s="48" t="n">
        <v>0</v>
      </c>
      <c r="AY201" s="48" t="n">
        <v>0</v>
      </c>
      <c r="AZ201" s="48" t="n">
        <v>0</v>
      </c>
      <c r="BA201" s="48" t="n">
        <v>1131</v>
      </c>
      <c r="BB201" s="48" t="n">
        <v>395</v>
      </c>
      <c r="BC201" s="48" t="n">
        <v>1079</v>
      </c>
      <c r="BD201" s="48" t="n">
        <v>974</v>
      </c>
      <c r="BE201" s="48" t="n">
        <v>539</v>
      </c>
      <c r="BF201" s="48" t="n">
        <v>526</v>
      </c>
      <c r="BG201" s="49" t="n">
        <v>2.08</v>
      </c>
    </row>
    <row r="202" customFormat="false" ht="15" hidden="false" customHeight="false" outlineLevel="0" collapsed="false">
      <c r="A202" s="43" t="s">
        <v>640</v>
      </c>
      <c r="B202" s="43" t="s">
        <v>641</v>
      </c>
      <c r="C202" s="44" t="str">
        <f aca="false">IF(A202="","",IFERROR(INDEX(Assumptions!$B$41:$B$55,MATCH(TRUE(),INDEX(ISNUMBER(SEARCH(" "&amp;Assumptions!$A$41:$A$55&amp;" "," "&amp;SUBSTITUTE(SUBSTITUTE(SUBSTITUTE(SUBSTITUTE(B202,"-"," "),","," "),"/"," "),"."," ")&amp;" ")),0),0)),"Other"))</f>
        <v>Kitchen</v>
      </c>
      <c r="D202" s="45" t="n">
        <f aca="false">IF(A202="","",BG202*(1-Assumptions!$B$18))</f>
        <v>5.97</v>
      </c>
      <c r="E202" s="46" t="n">
        <f aca="false">IF(A202="","",INDEX(Assumptions!$B$23:$B$26,MOD(VALUE(LEFT(A202,5)),4)+1))</f>
        <v>4</v>
      </c>
      <c r="F202" s="47" t="n">
        <v>573</v>
      </c>
      <c r="G202" s="48" t="n">
        <v>31</v>
      </c>
      <c r="H202" s="48" t="n">
        <v>8</v>
      </c>
      <c r="I202" s="48" t="n">
        <v>0</v>
      </c>
      <c r="J202" s="48" t="n">
        <v>0</v>
      </c>
      <c r="K202" s="48" t="n">
        <v>23</v>
      </c>
      <c r="L202" s="48" t="n">
        <v>30</v>
      </c>
      <c r="M202" s="48" t="n">
        <v>32</v>
      </c>
      <c r="N202" s="48" t="n">
        <v>29</v>
      </c>
      <c r="O202" s="48" t="n">
        <v>11</v>
      </c>
      <c r="P202" s="48" t="n">
        <v>43</v>
      </c>
      <c r="Q202" s="48" t="n">
        <v>56</v>
      </c>
      <c r="R202" s="48" t="n">
        <v>16</v>
      </c>
      <c r="S202" s="48" t="n">
        <v>150</v>
      </c>
      <c r="T202" s="48" t="n">
        <v>32</v>
      </c>
      <c r="U202" s="48" t="n">
        <v>23</v>
      </c>
      <c r="V202" s="48" t="n">
        <v>8</v>
      </c>
      <c r="W202" s="48" t="n">
        <v>23</v>
      </c>
      <c r="X202" s="48" t="n">
        <v>51</v>
      </c>
      <c r="Y202" s="48" t="n">
        <v>13</v>
      </c>
      <c r="Z202" s="48" t="n">
        <v>13</v>
      </c>
      <c r="AA202" s="48" t="n">
        <v>4</v>
      </c>
      <c r="AB202" s="48" t="n">
        <v>17</v>
      </c>
      <c r="AC202" s="48" t="n">
        <v>10</v>
      </c>
      <c r="AD202" s="48" t="n">
        <v>7</v>
      </c>
      <c r="AE202" s="48" t="n">
        <v>6</v>
      </c>
      <c r="AF202" s="48" t="n">
        <v>8</v>
      </c>
      <c r="AG202" s="48" t="n">
        <v>5</v>
      </c>
      <c r="AH202" s="48" t="n">
        <v>14</v>
      </c>
      <c r="AI202" s="48" t="n">
        <v>10</v>
      </c>
      <c r="AJ202" s="48" t="n">
        <v>4</v>
      </c>
      <c r="AK202" s="48" t="n">
        <v>18</v>
      </c>
      <c r="AL202" s="48" t="n">
        <v>12</v>
      </c>
      <c r="AM202" s="48" t="n">
        <v>18</v>
      </c>
      <c r="AN202" s="48" t="n">
        <v>4</v>
      </c>
      <c r="AO202" s="48" t="n">
        <v>10</v>
      </c>
      <c r="AP202" s="48" t="n">
        <v>20</v>
      </c>
      <c r="AQ202" s="48" t="n">
        <v>30</v>
      </c>
      <c r="AR202" s="48" t="n">
        <v>10</v>
      </c>
      <c r="AS202" s="48" t="n">
        <v>10</v>
      </c>
      <c r="AT202" s="48" t="n">
        <v>29</v>
      </c>
      <c r="AU202" s="48" t="n">
        <v>7</v>
      </c>
      <c r="AV202" s="48" t="n">
        <v>6</v>
      </c>
      <c r="AW202" s="48" t="n">
        <v>12</v>
      </c>
      <c r="AX202" s="48" t="n">
        <v>4</v>
      </c>
      <c r="AY202" s="48" t="n">
        <v>6</v>
      </c>
      <c r="AZ202" s="48" t="n">
        <v>11</v>
      </c>
      <c r="BA202" s="48" t="n">
        <v>16</v>
      </c>
      <c r="BB202" s="48" t="n">
        <v>17</v>
      </c>
      <c r="BC202" s="48" t="n">
        <v>50</v>
      </c>
      <c r="BD202" s="48" t="n">
        <v>27</v>
      </c>
      <c r="BE202" s="48" t="n">
        <v>20</v>
      </c>
      <c r="BF202" s="48" t="n">
        <v>13</v>
      </c>
      <c r="BG202" s="49" t="n">
        <v>9.95</v>
      </c>
    </row>
    <row r="203" customFormat="false" ht="15" hidden="false" customHeight="false" outlineLevel="0" collapsed="false">
      <c r="A203" s="43" t="s">
        <v>642</v>
      </c>
      <c r="B203" s="43" t="s">
        <v>643</v>
      </c>
      <c r="C203" s="44" t="str">
        <f aca="false">IF(A203="","",IFERROR(INDEX(Assumptions!$B$41:$B$55,MATCH(TRUE(),INDEX(ISNUMBER(SEARCH(" "&amp;Assumptions!$A$41:$A$55&amp;" "," "&amp;SUBSTITUTE(SUBSTITUTE(SUBSTITUTE(SUBSTITUTE(B203,"-"," "),","," "),"/"," "),"."," ")&amp;" ")),0),0)),"Other"))</f>
        <v>Other</v>
      </c>
      <c r="D203" s="45" t="n">
        <f aca="false">IF(A203="","",BG203*(1-Assumptions!$B$18))</f>
        <v>2.25</v>
      </c>
      <c r="E203" s="46" t="n">
        <f aca="false">IF(A203="","",INDEX(Assumptions!$B$23:$B$26,MOD(VALUE(LEFT(A203,5)),4)+1))</f>
        <v>4</v>
      </c>
      <c r="F203" s="47" t="n">
        <v>830</v>
      </c>
      <c r="G203" s="48" t="n">
        <v>340</v>
      </c>
      <c r="H203" s="48" t="n">
        <v>278</v>
      </c>
      <c r="I203" s="48" t="n">
        <v>167</v>
      </c>
      <c r="J203" s="48" t="n">
        <v>0</v>
      </c>
      <c r="K203" s="48" t="n">
        <v>53</v>
      </c>
      <c r="L203" s="48" t="n">
        <v>9</v>
      </c>
      <c r="M203" s="48" t="n">
        <v>24</v>
      </c>
      <c r="N203" s="48" t="n">
        <v>7</v>
      </c>
      <c r="O203" s="48" t="n">
        <v>24</v>
      </c>
      <c r="P203" s="48" t="n">
        <v>12</v>
      </c>
      <c r="Q203" s="48" t="n">
        <v>15</v>
      </c>
      <c r="R203" s="48" t="n">
        <v>39</v>
      </c>
      <c r="S203" s="48" t="n">
        <v>14</v>
      </c>
      <c r="T203" s="48" t="n">
        <v>16</v>
      </c>
      <c r="U203" s="48" t="n">
        <v>15</v>
      </c>
      <c r="V203" s="48" t="n">
        <v>1</v>
      </c>
      <c r="W203" s="48" t="n">
        <v>37</v>
      </c>
      <c r="X203" s="48" t="n">
        <v>9</v>
      </c>
      <c r="Y203" s="48" t="n">
        <v>6</v>
      </c>
      <c r="Z203" s="48" t="n">
        <v>8</v>
      </c>
      <c r="AA203" s="48" t="n">
        <v>14</v>
      </c>
      <c r="AB203" s="48" t="n">
        <v>0</v>
      </c>
      <c r="AC203" s="48" t="n">
        <v>9</v>
      </c>
      <c r="AD203" s="48" t="n">
        <v>6</v>
      </c>
      <c r="AE203" s="48" t="n">
        <v>75</v>
      </c>
      <c r="AF203" s="48" t="n">
        <v>8</v>
      </c>
      <c r="AG203" s="48" t="n">
        <v>1</v>
      </c>
      <c r="AH203" s="48" t="n">
        <v>6</v>
      </c>
      <c r="AI203" s="48" t="n">
        <v>12</v>
      </c>
      <c r="AJ203" s="48" t="n">
        <v>37</v>
      </c>
      <c r="AK203" s="48" t="n">
        <v>3</v>
      </c>
      <c r="AL203" s="48" t="n">
        <v>2</v>
      </c>
      <c r="AM203" s="48" t="n">
        <v>35</v>
      </c>
      <c r="AN203" s="48" t="n">
        <v>6</v>
      </c>
      <c r="AO203" s="48" t="n">
        <v>204</v>
      </c>
      <c r="AP203" s="48" t="n">
        <v>105</v>
      </c>
      <c r="AQ203" s="48" t="n">
        <v>20</v>
      </c>
      <c r="AR203" s="48" t="n">
        <v>113</v>
      </c>
      <c r="AS203" s="48" t="n">
        <v>6</v>
      </c>
      <c r="AT203" s="48" t="n">
        <v>44</v>
      </c>
      <c r="AU203" s="48" t="n">
        <v>88</v>
      </c>
      <c r="AV203" s="48" t="n">
        <v>159</v>
      </c>
      <c r="AW203" s="48" t="n">
        <v>65</v>
      </c>
      <c r="AX203" s="48" t="n">
        <v>29</v>
      </c>
      <c r="AY203" s="48" t="n">
        <v>93</v>
      </c>
      <c r="AZ203" s="48" t="n">
        <v>153</v>
      </c>
      <c r="BA203" s="48" t="n">
        <v>91</v>
      </c>
      <c r="BB203" s="48" t="n">
        <v>53</v>
      </c>
      <c r="BC203" s="48" t="n">
        <v>140</v>
      </c>
      <c r="BD203" s="48" t="n">
        <v>141</v>
      </c>
      <c r="BE203" s="48" t="n">
        <v>150</v>
      </c>
      <c r="BF203" s="48" t="n">
        <v>141</v>
      </c>
      <c r="BG203" s="49" t="n">
        <v>3.75</v>
      </c>
    </row>
    <row r="204" customFormat="false" ht="15" hidden="false" customHeight="false" outlineLevel="0" collapsed="false">
      <c r="A204" s="43" t="s">
        <v>644</v>
      </c>
      <c r="B204" s="43" t="s">
        <v>645</v>
      </c>
      <c r="C204" s="44" t="str">
        <f aca="false">IF(A204="","",IFERROR(INDEX(Assumptions!$B$41:$B$55,MATCH(TRUE(),INDEX(ISNUMBER(SEARCH(" "&amp;Assumptions!$A$41:$A$55&amp;" "," "&amp;SUBSTITUTE(SUBSTITUTE(SUBSTITUTE(SUBSTITUTE(B204,"-"," "),","," "),"/"," "),"."," ")&amp;" ")),0),0)),"Other"))</f>
        <v>Other</v>
      </c>
      <c r="D204" s="45" t="n">
        <f aca="false">IF(A204="","",BG204*(1-Assumptions!$B$18))</f>
        <v>1.53</v>
      </c>
      <c r="E204" s="46" t="n">
        <f aca="false">IF(A204="","",INDEX(Assumptions!$B$23:$B$26,MOD(VALUE(LEFT(A204,5)),4)+1))</f>
        <v>4</v>
      </c>
      <c r="F204" s="47" t="n">
        <v>940</v>
      </c>
      <c r="G204" s="48" t="n">
        <v>94</v>
      </c>
      <c r="H204" s="48" t="n">
        <v>76</v>
      </c>
      <c r="I204" s="48" t="n">
        <v>78</v>
      </c>
      <c r="J204" s="48" t="n">
        <v>0</v>
      </c>
      <c r="K204" s="48" t="n">
        <v>60</v>
      </c>
      <c r="L204" s="48" t="n">
        <v>82</v>
      </c>
      <c r="M204" s="48" t="n">
        <v>29</v>
      </c>
      <c r="N204" s="48" t="n">
        <v>34</v>
      </c>
      <c r="O204" s="48" t="n">
        <v>144</v>
      </c>
      <c r="P204" s="48" t="n">
        <v>62</v>
      </c>
      <c r="Q204" s="48" t="n">
        <v>120</v>
      </c>
      <c r="R204" s="48" t="n">
        <v>134</v>
      </c>
      <c r="S204" s="48" t="n">
        <v>8</v>
      </c>
      <c r="T204" s="48" t="n">
        <v>14</v>
      </c>
      <c r="U204" s="48" t="n">
        <v>83</v>
      </c>
      <c r="V204" s="48" t="n">
        <v>73</v>
      </c>
      <c r="W204" s="48" t="n">
        <v>90</v>
      </c>
      <c r="X204" s="48" t="n">
        <v>0</v>
      </c>
      <c r="Y204" s="48" t="n">
        <v>81</v>
      </c>
      <c r="Z204" s="48" t="n">
        <v>89</v>
      </c>
      <c r="AA204" s="48" t="n">
        <v>66</v>
      </c>
      <c r="AB204" s="48" t="n">
        <v>97</v>
      </c>
      <c r="AC204" s="48" t="n">
        <v>120</v>
      </c>
      <c r="AD204" s="48" t="n">
        <v>35</v>
      </c>
      <c r="AE204" s="48" t="n">
        <v>38</v>
      </c>
      <c r="AF204" s="48" t="n">
        <v>151</v>
      </c>
      <c r="AG204" s="48" t="n">
        <v>81</v>
      </c>
      <c r="AH204" s="48" t="n">
        <v>105</v>
      </c>
      <c r="AI204" s="48" t="n">
        <v>73</v>
      </c>
      <c r="AJ204" s="48" t="n">
        <v>82</v>
      </c>
      <c r="AK204" s="48" t="n">
        <v>33</v>
      </c>
      <c r="AL204" s="48" t="n">
        <v>15</v>
      </c>
      <c r="AM204" s="48" t="n">
        <v>99</v>
      </c>
      <c r="AN204" s="48" t="n">
        <v>22</v>
      </c>
      <c r="AO204" s="48" t="n">
        <v>12</v>
      </c>
      <c r="AP204" s="48" t="n">
        <v>60</v>
      </c>
      <c r="AQ204" s="48" t="n">
        <v>109</v>
      </c>
      <c r="AR204" s="48" t="n">
        <v>21</v>
      </c>
      <c r="AS204" s="48" t="n">
        <v>96</v>
      </c>
      <c r="AT204" s="48" t="n">
        <v>78</v>
      </c>
      <c r="AU204" s="48" t="n">
        <v>50</v>
      </c>
      <c r="AV204" s="48" t="n">
        <v>123</v>
      </c>
      <c r="AW204" s="48" t="n">
        <v>105</v>
      </c>
      <c r="AX204" s="48" t="n">
        <v>35</v>
      </c>
      <c r="AY204" s="48" t="n">
        <v>145</v>
      </c>
      <c r="AZ204" s="48" t="n">
        <v>50</v>
      </c>
      <c r="BA204" s="48" t="n">
        <v>162</v>
      </c>
      <c r="BB204" s="48" t="n">
        <v>78</v>
      </c>
      <c r="BC204" s="48" t="n">
        <v>187</v>
      </c>
      <c r="BD204" s="48" t="n">
        <v>230</v>
      </c>
      <c r="BE204" s="48" t="n">
        <v>42</v>
      </c>
      <c r="BF204" s="48" t="n">
        <v>122</v>
      </c>
      <c r="BG204" s="49" t="n">
        <v>2.55</v>
      </c>
    </row>
    <row r="205" customFormat="false" ht="15" hidden="false" customHeight="false" outlineLevel="0" collapsed="false">
      <c r="A205" s="43" t="s">
        <v>646</v>
      </c>
      <c r="B205" s="43" t="s">
        <v>647</v>
      </c>
      <c r="C205" s="44" t="str">
        <f aca="false">IF(A205="","",IFERROR(INDEX(Assumptions!$B$41:$B$55,MATCH(TRUE(),INDEX(ISNUMBER(SEARCH(" "&amp;Assumptions!$A$41:$A$55&amp;" "," "&amp;SUBSTITUTE(SUBSTITUTE(SUBSTITUTE(SUBSTITUTE(B205,"-"," "),","," "),"/"," "),"."," ")&amp;" ")),0),0)),"Other"))</f>
        <v>Lighting</v>
      </c>
      <c r="D205" s="45" t="n">
        <f aca="false">IF(A205="","",BG205*(1-Assumptions!$B$18))</f>
        <v>0.51</v>
      </c>
      <c r="E205" s="46" t="n">
        <f aca="false">IF(A205="","",INDEX(Assumptions!$B$23:$B$26,MOD(VALUE(LEFT(A205,5)),4)+1))</f>
        <v>8</v>
      </c>
      <c r="F205" s="47" t="n">
        <v>2799</v>
      </c>
      <c r="G205" s="48" t="n">
        <v>340</v>
      </c>
      <c r="H205" s="48" t="n">
        <v>32</v>
      </c>
      <c r="I205" s="48" t="n">
        <v>60</v>
      </c>
      <c r="J205" s="48" t="n">
        <v>0</v>
      </c>
      <c r="K205" s="48" t="n">
        <v>108</v>
      </c>
      <c r="L205" s="48" t="n">
        <v>348</v>
      </c>
      <c r="M205" s="48" t="n">
        <v>308</v>
      </c>
      <c r="N205" s="48" t="n">
        <v>112</v>
      </c>
      <c r="O205" s="48" t="n">
        <v>12</v>
      </c>
      <c r="P205" s="48" t="n">
        <v>205</v>
      </c>
      <c r="Q205" s="48" t="n">
        <v>240</v>
      </c>
      <c r="R205" s="48" t="n">
        <v>240</v>
      </c>
      <c r="S205" s="48" t="n">
        <v>184</v>
      </c>
      <c r="T205" s="48" t="n">
        <v>192</v>
      </c>
      <c r="U205" s="48" t="n">
        <v>404</v>
      </c>
      <c r="V205" s="48" t="n">
        <v>232</v>
      </c>
      <c r="W205" s="48" t="n">
        <v>148</v>
      </c>
      <c r="X205" s="48" t="n">
        <v>840</v>
      </c>
      <c r="Y205" s="48" t="n">
        <v>408</v>
      </c>
      <c r="Z205" s="48" t="n">
        <v>262</v>
      </c>
      <c r="AA205" s="48" t="n">
        <v>233</v>
      </c>
      <c r="AB205" s="48" t="n">
        <v>788</v>
      </c>
      <c r="AC205" s="48" t="n">
        <v>604</v>
      </c>
      <c r="AD205" s="48" t="n">
        <v>264</v>
      </c>
      <c r="AE205" s="48" t="n">
        <v>424</v>
      </c>
      <c r="AF205" s="48" t="n">
        <v>176</v>
      </c>
      <c r="AG205" s="48" t="n">
        <v>176</v>
      </c>
      <c r="AH205" s="48" t="n">
        <v>422</v>
      </c>
      <c r="AI205" s="48" t="n">
        <v>412</v>
      </c>
      <c r="AJ205" s="48" t="n">
        <v>216</v>
      </c>
      <c r="AK205" s="48" t="n">
        <v>382</v>
      </c>
      <c r="AL205" s="48" t="n">
        <v>388</v>
      </c>
      <c r="AM205" s="48" t="n">
        <v>380</v>
      </c>
      <c r="AN205" s="48" t="n">
        <v>96</v>
      </c>
      <c r="AO205" s="48" t="n">
        <v>264</v>
      </c>
      <c r="AP205" s="48" t="n">
        <v>188</v>
      </c>
      <c r="AQ205" s="48" t="n">
        <v>216</v>
      </c>
      <c r="AR205" s="48" t="n">
        <v>120</v>
      </c>
      <c r="AS205" s="48" t="n">
        <v>100</v>
      </c>
      <c r="AT205" s="48" t="n">
        <v>340</v>
      </c>
      <c r="AU205" s="48" t="n">
        <v>604</v>
      </c>
      <c r="AV205" s="48" t="n">
        <v>120</v>
      </c>
      <c r="AW205" s="48" t="n">
        <v>276</v>
      </c>
      <c r="AX205" s="48" t="n">
        <v>192</v>
      </c>
      <c r="AY205" s="48" t="n">
        <v>129</v>
      </c>
      <c r="AZ205" s="48" t="n">
        <v>52</v>
      </c>
      <c r="BA205" s="48" t="n">
        <v>96</v>
      </c>
      <c r="BB205" s="48" t="n">
        <v>100</v>
      </c>
      <c r="BC205" s="48" t="n">
        <v>232</v>
      </c>
      <c r="BD205" s="48" t="n">
        <v>384</v>
      </c>
      <c r="BE205" s="48" t="n">
        <v>60</v>
      </c>
      <c r="BF205" s="48" t="n">
        <v>124</v>
      </c>
      <c r="BG205" s="49" t="n">
        <v>0.85</v>
      </c>
    </row>
    <row r="206" customFormat="false" ht="15" hidden="false" customHeight="false" outlineLevel="0" collapsed="false">
      <c r="A206" s="43" t="s">
        <v>648</v>
      </c>
      <c r="B206" s="43" t="s">
        <v>649</v>
      </c>
      <c r="C206" s="44" t="str">
        <f aca="false">IF(A206="","",IFERROR(INDEX(Assumptions!$B$41:$B$55,MATCH(TRUE(),INDEX(ISNUMBER(SEARCH(" "&amp;Assumptions!$A$41:$A$55&amp;" "," "&amp;SUBSTITUTE(SUBSTITUTE(SUBSTITUTE(SUBSTITUTE(B206,"-"," "),","," "),"/"," "),"."," ")&amp;" ")),0),0)),"Other"))</f>
        <v>Other</v>
      </c>
      <c r="D206" s="45" t="n">
        <f aca="false">IF(A206="","",BG206*(1-Assumptions!$B$18))</f>
        <v>2.49</v>
      </c>
      <c r="E206" s="46" t="n">
        <f aca="false">IF(A206="","",INDEX(Assumptions!$B$23:$B$26,MOD(VALUE(LEFT(A206,5)),4)+1))</f>
        <v>4</v>
      </c>
      <c r="F206" s="47" t="n">
        <v>302</v>
      </c>
      <c r="G206" s="48" t="n">
        <v>35</v>
      </c>
      <c r="H206" s="48" t="n">
        <v>47</v>
      </c>
      <c r="I206" s="48" t="n">
        <v>78</v>
      </c>
      <c r="J206" s="48" t="n">
        <v>0</v>
      </c>
      <c r="K206" s="48" t="n">
        <v>238</v>
      </c>
      <c r="L206" s="48" t="n">
        <v>167</v>
      </c>
      <c r="M206" s="48" t="n">
        <v>50</v>
      </c>
      <c r="N206" s="48" t="n">
        <v>10</v>
      </c>
      <c r="O206" s="48" t="n">
        <v>13</v>
      </c>
      <c r="P206" s="48" t="n">
        <v>49</v>
      </c>
      <c r="Q206" s="48" t="n">
        <v>91</v>
      </c>
      <c r="R206" s="48" t="n">
        <v>108</v>
      </c>
      <c r="S206" s="48" t="n">
        <v>13</v>
      </c>
      <c r="T206" s="48" t="n">
        <v>25</v>
      </c>
      <c r="U206" s="48" t="n">
        <v>10</v>
      </c>
      <c r="V206" s="48" t="n">
        <v>24</v>
      </c>
      <c r="W206" s="48" t="n">
        <v>32</v>
      </c>
      <c r="X206" s="48" t="n">
        <v>33</v>
      </c>
      <c r="Y206" s="48" t="n">
        <v>101</v>
      </c>
      <c r="Z206" s="48" t="n">
        <v>67</v>
      </c>
      <c r="AA206" s="48" t="n">
        <v>6</v>
      </c>
      <c r="AB206" s="48" t="n">
        <v>5</v>
      </c>
      <c r="AC206" s="48" t="n">
        <v>36</v>
      </c>
      <c r="AD206" s="48" t="n">
        <v>38</v>
      </c>
      <c r="AE206" s="48" t="n">
        <v>22</v>
      </c>
      <c r="AF206" s="48" t="n">
        <v>85</v>
      </c>
      <c r="AG206" s="48" t="n">
        <v>27</v>
      </c>
      <c r="AH206" s="48" t="n">
        <v>14</v>
      </c>
      <c r="AI206" s="48" t="n">
        <v>13</v>
      </c>
      <c r="AJ206" s="48" t="n">
        <v>2</v>
      </c>
      <c r="AK206" s="48" t="n">
        <v>229</v>
      </c>
      <c r="AL206" s="48" t="n">
        <v>27</v>
      </c>
      <c r="AM206" s="48" t="n">
        <v>49</v>
      </c>
      <c r="AN206" s="48" t="n">
        <v>8</v>
      </c>
      <c r="AO206" s="48" t="n">
        <v>2</v>
      </c>
      <c r="AP206" s="48" t="n">
        <v>9</v>
      </c>
      <c r="AQ206" s="48" t="n">
        <v>6</v>
      </c>
      <c r="AR206" s="48" t="n">
        <v>81</v>
      </c>
      <c r="AS206" s="48" t="n">
        <v>11</v>
      </c>
      <c r="AT206" s="48" t="n">
        <v>19</v>
      </c>
      <c r="AU206" s="48" t="n">
        <v>17</v>
      </c>
      <c r="AV206" s="48" t="n">
        <v>85</v>
      </c>
      <c r="AW206" s="48" t="n">
        <v>88</v>
      </c>
      <c r="AX206" s="48" t="n">
        <v>19</v>
      </c>
      <c r="AY206" s="48" t="n">
        <v>43</v>
      </c>
      <c r="AZ206" s="48" t="n">
        <v>46</v>
      </c>
      <c r="BA206" s="48" t="n">
        <v>16</v>
      </c>
      <c r="BB206" s="48" t="n">
        <v>44</v>
      </c>
      <c r="BC206" s="48" t="n">
        <v>165</v>
      </c>
      <c r="BD206" s="48" t="n">
        <v>49</v>
      </c>
      <c r="BE206" s="48" t="n">
        <v>10</v>
      </c>
      <c r="BF206" s="48" t="n">
        <v>151</v>
      </c>
      <c r="BG206" s="49" t="n">
        <v>4.15</v>
      </c>
    </row>
    <row r="207" customFormat="false" ht="15" hidden="false" customHeight="false" outlineLevel="0" collapsed="false">
      <c r="A207" s="43" t="s">
        <v>650</v>
      </c>
      <c r="B207" s="43" t="s">
        <v>651</v>
      </c>
      <c r="C207" s="44" t="str">
        <f aca="false">IF(A207="","",IFERROR(INDEX(Assumptions!$B$41:$B$55,MATCH(TRUE(),INDEX(ISNUMBER(SEARCH(" "&amp;Assumptions!$A$41:$A$55&amp;" "," "&amp;SUBSTITUTE(SUBSTITUTE(SUBSTITUTE(SUBSTITUTE(B207,"-"," "),","," "),"/"," "),"."," ")&amp;" ")),0),0)),"Other"))</f>
        <v>Lighting</v>
      </c>
      <c r="D207" s="45" t="n">
        <f aca="false">IF(A207="","",BG207*(1-Assumptions!$B$18))</f>
        <v>0.39</v>
      </c>
      <c r="E207" s="46" t="n">
        <f aca="false">IF(A207="","",INDEX(Assumptions!$B$23:$B$26,MOD(VALUE(LEFT(A207,5)),4)+1))</f>
        <v>8</v>
      </c>
      <c r="F207" s="47" t="n">
        <v>10880</v>
      </c>
      <c r="G207" s="48" t="n">
        <v>144</v>
      </c>
      <c r="H207" s="48" t="n">
        <v>160</v>
      </c>
      <c r="I207" s="48" t="n">
        <v>8</v>
      </c>
      <c r="J207" s="48" t="n">
        <v>0</v>
      </c>
      <c r="K207" s="48" t="n">
        <v>232</v>
      </c>
      <c r="L207" s="48" t="n">
        <v>56</v>
      </c>
      <c r="M207" s="48" t="n">
        <v>216</v>
      </c>
      <c r="N207" s="48" t="n">
        <v>92</v>
      </c>
      <c r="O207" s="48" t="n">
        <v>48</v>
      </c>
      <c r="P207" s="48" t="n">
        <v>208</v>
      </c>
      <c r="Q207" s="48" t="n">
        <v>176</v>
      </c>
      <c r="R207" s="48" t="n">
        <v>297</v>
      </c>
      <c r="S207" s="48" t="n">
        <v>164</v>
      </c>
      <c r="T207" s="48" t="n">
        <v>472</v>
      </c>
      <c r="U207" s="48" t="n">
        <v>172</v>
      </c>
      <c r="V207" s="48" t="n">
        <v>264</v>
      </c>
      <c r="W207" s="48" t="n">
        <v>150</v>
      </c>
      <c r="X207" s="48" t="n">
        <v>236</v>
      </c>
      <c r="Y207" s="48" t="n">
        <v>632</v>
      </c>
      <c r="Z207" s="48" t="n">
        <v>604</v>
      </c>
      <c r="AA207" s="48" t="n">
        <v>298</v>
      </c>
      <c r="AB207" s="48" t="n">
        <v>792</v>
      </c>
      <c r="AC207" s="48" t="n">
        <v>724</v>
      </c>
      <c r="AD207" s="48" t="n">
        <v>722</v>
      </c>
      <c r="AE207" s="48" t="n">
        <v>676</v>
      </c>
      <c r="AF207" s="48" t="n">
        <v>496</v>
      </c>
      <c r="AG207" s="48" t="n">
        <v>572</v>
      </c>
      <c r="AH207" s="48" t="n">
        <v>632</v>
      </c>
      <c r="AI207" s="48" t="n">
        <v>196</v>
      </c>
      <c r="AJ207" s="48" t="n">
        <v>520</v>
      </c>
      <c r="AK207" s="48" t="n">
        <v>496</v>
      </c>
      <c r="AL207" s="48" t="n">
        <v>332</v>
      </c>
      <c r="AM207" s="48" t="n">
        <v>520</v>
      </c>
      <c r="AN207" s="48" t="n">
        <v>306</v>
      </c>
      <c r="AO207" s="48" t="n">
        <v>228</v>
      </c>
      <c r="AP207" s="48" t="n">
        <v>688</v>
      </c>
      <c r="AQ207" s="48" t="n">
        <v>204</v>
      </c>
      <c r="AR207" s="48" t="n">
        <v>464</v>
      </c>
      <c r="AS207" s="48" t="n">
        <v>272</v>
      </c>
      <c r="AT207" s="48" t="n">
        <v>380</v>
      </c>
      <c r="AU207" s="48" t="n">
        <v>392</v>
      </c>
      <c r="AV207" s="48" t="n">
        <v>244</v>
      </c>
      <c r="AW207" s="48" t="n">
        <v>48</v>
      </c>
      <c r="AX207" s="48" t="n">
        <v>288</v>
      </c>
      <c r="AY207" s="48" t="n">
        <v>64</v>
      </c>
      <c r="AZ207" s="48" t="n">
        <v>196</v>
      </c>
      <c r="BA207" s="48" t="n">
        <v>112</v>
      </c>
      <c r="BB207" s="48" t="n">
        <v>108</v>
      </c>
      <c r="BC207" s="48" t="n">
        <v>324</v>
      </c>
      <c r="BD207" s="48" t="n">
        <v>152</v>
      </c>
      <c r="BE207" s="48" t="n">
        <v>348</v>
      </c>
      <c r="BF207" s="48" t="n">
        <v>40</v>
      </c>
      <c r="BG207" s="49" t="n">
        <v>0.65</v>
      </c>
    </row>
    <row r="208" customFormat="false" ht="15" hidden="false" customHeight="false" outlineLevel="0" collapsed="false">
      <c r="A208" s="43" t="s">
        <v>652</v>
      </c>
      <c r="B208" s="43" t="s">
        <v>653</v>
      </c>
      <c r="C208" s="44" t="str">
        <f aca="false">IF(A208="","",IFERROR(INDEX(Assumptions!$B$41:$B$55,MATCH(TRUE(),INDEX(ISNUMBER(SEARCH(" "&amp;Assumptions!$A$41:$A$55&amp;" "," "&amp;SUBSTITUTE(SUBSTITUTE(SUBSTITUTE(SUBSTITUTE(B208,"-"," "),","," "),"/"," "),"."," ")&amp;" ")),0),0)),"Other"))</f>
        <v>Lighting</v>
      </c>
      <c r="D208" s="45" t="n">
        <f aca="false">IF(A208="","",BG208*(1-Assumptions!$B$18))</f>
        <v>4.77</v>
      </c>
      <c r="E208" s="46" t="n">
        <f aca="false">IF(A208="","",INDEX(Assumptions!$B$23:$B$26,MOD(VALUE(LEFT(A208,5)),4)+1))</f>
        <v>2</v>
      </c>
      <c r="F208" s="47" t="n">
        <v>376</v>
      </c>
      <c r="G208" s="48" t="n">
        <v>69</v>
      </c>
      <c r="H208" s="48" t="n">
        <v>14</v>
      </c>
      <c r="I208" s="48" t="n">
        <v>6</v>
      </c>
      <c r="J208" s="48" t="n">
        <v>0</v>
      </c>
      <c r="K208" s="48" t="n">
        <v>1</v>
      </c>
      <c r="L208" s="48" t="n">
        <v>6</v>
      </c>
      <c r="M208" s="48" t="n">
        <v>1</v>
      </c>
      <c r="N208" s="48" t="n">
        <v>0</v>
      </c>
      <c r="O208" s="48" t="n">
        <v>0</v>
      </c>
      <c r="P208" s="48" t="n">
        <v>0</v>
      </c>
      <c r="Q208" s="48" t="n">
        <v>0</v>
      </c>
      <c r="R208" s="48" t="n">
        <v>0</v>
      </c>
      <c r="S208" s="48" t="n">
        <v>0</v>
      </c>
      <c r="T208" s="48" t="n">
        <v>0</v>
      </c>
      <c r="U208" s="48" t="n">
        <v>0</v>
      </c>
      <c r="V208" s="48" t="n">
        <v>0</v>
      </c>
      <c r="W208" s="48" t="n">
        <v>0</v>
      </c>
      <c r="X208" s="48" t="n">
        <v>0</v>
      </c>
      <c r="Y208" s="48" t="n">
        <v>0</v>
      </c>
      <c r="Z208" s="48" t="n">
        <v>0</v>
      </c>
      <c r="AA208" s="48" t="n">
        <v>0</v>
      </c>
      <c r="AB208" s="48" t="n">
        <v>0</v>
      </c>
      <c r="AC208" s="48" t="n">
        <v>0</v>
      </c>
      <c r="AD208" s="48" t="n">
        <v>2</v>
      </c>
      <c r="AE208" s="48" t="n">
        <v>0</v>
      </c>
      <c r="AF208" s="48" t="n">
        <v>0</v>
      </c>
      <c r="AG208" s="48" t="n">
        <v>0</v>
      </c>
      <c r="AH208" s="48" t="n">
        <v>1</v>
      </c>
      <c r="AI208" s="48" t="n">
        <v>0</v>
      </c>
      <c r="AJ208" s="48" t="n">
        <v>0</v>
      </c>
      <c r="AK208" s="48" t="n">
        <v>1</v>
      </c>
      <c r="AL208" s="48" t="n">
        <v>5</v>
      </c>
      <c r="AM208" s="48" t="n">
        <v>12</v>
      </c>
      <c r="AN208" s="48" t="n">
        <v>3</v>
      </c>
      <c r="AO208" s="48" t="n">
        <v>2</v>
      </c>
      <c r="AP208" s="48" t="n">
        <v>6</v>
      </c>
      <c r="AQ208" s="48" t="n">
        <v>0</v>
      </c>
      <c r="AR208" s="48" t="n">
        <v>6</v>
      </c>
      <c r="AS208" s="48" t="n">
        <v>18</v>
      </c>
      <c r="AT208" s="48" t="n">
        <v>103</v>
      </c>
      <c r="AU208" s="48" t="n">
        <v>100</v>
      </c>
      <c r="AV208" s="48" t="n">
        <v>49</v>
      </c>
      <c r="AW208" s="48" t="n">
        <v>57</v>
      </c>
      <c r="AX208" s="48" t="n">
        <v>55</v>
      </c>
      <c r="AY208" s="48" t="n">
        <v>36</v>
      </c>
      <c r="AZ208" s="48" t="n">
        <v>54</v>
      </c>
      <c r="BA208" s="48" t="n">
        <v>31</v>
      </c>
      <c r="BB208" s="48" t="n">
        <v>115</v>
      </c>
      <c r="BC208" s="48" t="n">
        <v>204</v>
      </c>
      <c r="BD208" s="48" t="n">
        <v>55</v>
      </c>
      <c r="BE208" s="48" t="n">
        <v>119</v>
      </c>
      <c r="BF208" s="48" t="n">
        <v>171</v>
      </c>
      <c r="BG208" s="49" t="n">
        <v>7.95</v>
      </c>
    </row>
    <row r="209" customFormat="false" ht="15" hidden="false" customHeight="false" outlineLevel="0" collapsed="false">
      <c r="A209" s="43" t="s">
        <v>654</v>
      </c>
      <c r="B209" s="43" t="s">
        <v>655</v>
      </c>
      <c r="C209" s="44" t="str">
        <f aca="false">IF(A209="","",IFERROR(INDEX(Assumptions!$B$41:$B$55,MATCH(TRUE(),INDEX(ISNUMBER(SEARCH(" "&amp;Assumptions!$A$41:$A$55&amp;" "," "&amp;SUBSTITUTE(SUBSTITUTE(SUBSTITUTE(SUBSTITUTE(B209,"-"," "),","," "),"/"," "),"."," ")&amp;" ")),0),0)),"Other"))</f>
        <v>Other</v>
      </c>
      <c r="D209" s="45" t="n">
        <f aca="false">IF(A209="","",BG209*(1-Assumptions!$B$18))</f>
        <v>0.75</v>
      </c>
      <c r="E209" s="46" t="n">
        <f aca="false">IF(A209="","",INDEX(Assumptions!$B$23:$B$26,MOD(VALUE(LEFT(A209,5)),4)+1))</f>
        <v>2</v>
      </c>
      <c r="F209" s="47" t="n">
        <v>660</v>
      </c>
      <c r="G209" s="48" t="n">
        <v>356</v>
      </c>
      <c r="H209" s="48" t="n">
        <v>465</v>
      </c>
      <c r="I209" s="48" t="n">
        <v>112</v>
      </c>
      <c r="J209" s="48" t="n">
        <v>0</v>
      </c>
      <c r="K209" s="48" t="n">
        <v>183</v>
      </c>
      <c r="L209" s="48" t="n">
        <v>148</v>
      </c>
      <c r="M209" s="48" t="n">
        <v>239</v>
      </c>
      <c r="N209" s="48" t="n">
        <v>228</v>
      </c>
      <c r="O209" s="48" t="n">
        <v>239</v>
      </c>
      <c r="P209" s="48" t="n">
        <v>63</v>
      </c>
      <c r="Q209" s="48" t="n">
        <v>241</v>
      </c>
      <c r="R209" s="48" t="n">
        <v>132</v>
      </c>
      <c r="S209" s="48" t="n">
        <v>137</v>
      </c>
      <c r="T209" s="48" t="n">
        <v>41</v>
      </c>
      <c r="U209" s="48" t="n">
        <v>166</v>
      </c>
      <c r="V209" s="48" t="n">
        <v>39</v>
      </c>
      <c r="W209" s="48" t="n">
        <v>256</v>
      </c>
      <c r="X209" s="48" t="n">
        <v>2</v>
      </c>
      <c r="Y209" s="48" t="n">
        <v>0</v>
      </c>
      <c r="Z209" s="48" t="n">
        <v>12</v>
      </c>
      <c r="AA209" s="48" t="n">
        <v>0</v>
      </c>
      <c r="AB209" s="48" t="n">
        <v>0</v>
      </c>
      <c r="AC209" s="48" t="n">
        <v>0</v>
      </c>
      <c r="AD209" s="48" t="n">
        <v>0</v>
      </c>
      <c r="AE209" s="48" t="n">
        <v>0</v>
      </c>
      <c r="AF209" s="48" t="n">
        <v>0</v>
      </c>
      <c r="AG209" s="48" t="n">
        <v>0</v>
      </c>
      <c r="AH209" s="48" t="n">
        <v>864</v>
      </c>
      <c r="AI209" s="48" t="n">
        <v>203</v>
      </c>
      <c r="AJ209" s="48" t="n">
        <v>121</v>
      </c>
      <c r="AK209" s="48" t="n">
        <v>30</v>
      </c>
      <c r="AL209" s="48" t="n">
        <v>3</v>
      </c>
      <c r="AM209" s="48" t="n">
        <v>723</v>
      </c>
      <c r="AN209" s="48" t="n">
        <v>139</v>
      </c>
      <c r="AO209" s="48" t="n">
        <v>347</v>
      </c>
      <c r="AP209" s="48" t="n">
        <v>61</v>
      </c>
      <c r="AQ209" s="48" t="n">
        <v>96</v>
      </c>
      <c r="AR209" s="48" t="n">
        <v>502</v>
      </c>
      <c r="AS209" s="48" t="n">
        <v>147</v>
      </c>
      <c r="AT209" s="48" t="n">
        <v>67</v>
      </c>
      <c r="AU209" s="48" t="n">
        <v>77</v>
      </c>
      <c r="AV209" s="48" t="n">
        <v>90</v>
      </c>
      <c r="AW209" s="48" t="n">
        <v>336</v>
      </c>
      <c r="AX209" s="48" t="n">
        <v>383</v>
      </c>
      <c r="AY209" s="48" t="n">
        <v>110</v>
      </c>
      <c r="AZ209" s="48" t="n">
        <v>186</v>
      </c>
      <c r="BA209" s="48" t="n">
        <v>55</v>
      </c>
      <c r="BB209" s="48" t="n">
        <v>224</v>
      </c>
      <c r="BC209" s="48" t="n">
        <v>62</v>
      </c>
      <c r="BD209" s="48" t="n">
        <v>283</v>
      </c>
      <c r="BE209" s="48" t="n">
        <v>147</v>
      </c>
      <c r="BF209" s="48" t="n">
        <v>268</v>
      </c>
      <c r="BG209" s="49" t="n">
        <v>1.25</v>
      </c>
    </row>
    <row r="210" customFormat="false" ht="15" hidden="false" customHeight="false" outlineLevel="0" collapsed="false">
      <c r="A210" s="43" t="s">
        <v>656</v>
      </c>
      <c r="B210" s="43" t="s">
        <v>657</v>
      </c>
      <c r="C210" s="44" t="str">
        <f aca="false">IF(A210="","",IFERROR(INDEX(Assumptions!$B$41:$B$55,MATCH(TRUE(),INDEX(ISNUMBER(SEARCH(" "&amp;Assumptions!$A$41:$A$55&amp;" "," "&amp;SUBSTITUTE(SUBSTITUTE(SUBSTITUTE(SUBSTITUTE(B210,"-"," "),","," "),"/"," "),"."," ")&amp;" ")),0),0)),"Other"))</f>
        <v>Other</v>
      </c>
      <c r="D210" s="45" t="n">
        <f aca="false">IF(A210="","",BG210*(1-Assumptions!$B$18))</f>
        <v>0.87</v>
      </c>
      <c r="E210" s="46" t="n">
        <f aca="false">IF(A210="","",INDEX(Assumptions!$B$23:$B$26,MOD(VALUE(LEFT(A210,5)),4)+1))</f>
        <v>8</v>
      </c>
      <c r="F210" s="47" t="n">
        <v>918</v>
      </c>
      <c r="G210" s="48" t="n">
        <v>60</v>
      </c>
      <c r="H210" s="48" t="n">
        <v>60</v>
      </c>
      <c r="I210" s="48" t="n">
        <v>4</v>
      </c>
      <c r="J210" s="48" t="n">
        <v>0</v>
      </c>
      <c r="K210" s="48" t="n">
        <v>158</v>
      </c>
      <c r="L210" s="48" t="n">
        <v>26</v>
      </c>
      <c r="M210" s="48" t="n">
        <v>21</v>
      </c>
      <c r="N210" s="48" t="n">
        <v>40</v>
      </c>
      <c r="O210" s="48" t="n">
        <v>31</v>
      </c>
      <c r="P210" s="48" t="n">
        <v>50</v>
      </c>
      <c r="Q210" s="48" t="n">
        <v>47</v>
      </c>
      <c r="R210" s="48" t="n">
        <v>62</v>
      </c>
      <c r="S210" s="48" t="n">
        <v>619</v>
      </c>
      <c r="T210" s="48" t="n">
        <v>50</v>
      </c>
      <c r="U210" s="48" t="n">
        <v>61</v>
      </c>
      <c r="V210" s="48" t="n">
        <v>61</v>
      </c>
      <c r="W210" s="48" t="n">
        <v>331</v>
      </c>
      <c r="X210" s="48" t="n">
        <v>53</v>
      </c>
      <c r="Y210" s="48" t="n">
        <v>55</v>
      </c>
      <c r="Z210" s="48" t="n">
        <v>80</v>
      </c>
      <c r="AA210" s="48" t="n">
        <v>180</v>
      </c>
      <c r="AB210" s="48" t="n">
        <v>66</v>
      </c>
      <c r="AC210" s="48" t="n">
        <v>89</v>
      </c>
      <c r="AD210" s="48" t="n">
        <v>282</v>
      </c>
      <c r="AE210" s="48" t="n">
        <v>97</v>
      </c>
      <c r="AF210" s="48" t="n">
        <v>322</v>
      </c>
      <c r="AG210" s="48" t="n">
        <v>14</v>
      </c>
      <c r="AH210" s="48" t="n">
        <v>58</v>
      </c>
      <c r="AI210" s="48" t="n">
        <v>294</v>
      </c>
      <c r="AJ210" s="48" t="n">
        <v>29</v>
      </c>
      <c r="AK210" s="48" t="n">
        <v>53</v>
      </c>
      <c r="AL210" s="48" t="n">
        <v>0</v>
      </c>
      <c r="AM210" s="48" t="n">
        <v>3</v>
      </c>
      <c r="AN210" s="48" t="n">
        <v>624</v>
      </c>
      <c r="AO210" s="48" t="n">
        <v>38</v>
      </c>
      <c r="AP210" s="48" t="n">
        <v>448</v>
      </c>
      <c r="AQ210" s="48" t="n">
        <v>48</v>
      </c>
      <c r="AR210" s="48" t="n">
        <v>14</v>
      </c>
      <c r="AS210" s="48" t="n">
        <v>458</v>
      </c>
      <c r="AT210" s="48" t="n">
        <v>63</v>
      </c>
      <c r="AU210" s="48" t="n">
        <v>62</v>
      </c>
      <c r="AV210" s="48" t="n">
        <v>46</v>
      </c>
      <c r="AW210" s="48" t="n">
        <v>128</v>
      </c>
      <c r="AX210" s="48" t="n">
        <v>551</v>
      </c>
      <c r="AY210" s="48" t="n">
        <v>68</v>
      </c>
      <c r="AZ210" s="48" t="n">
        <v>121</v>
      </c>
      <c r="BA210" s="48" t="n">
        <v>56</v>
      </c>
      <c r="BB210" s="48" t="n">
        <v>836</v>
      </c>
      <c r="BC210" s="48" t="n">
        <v>108</v>
      </c>
      <c r="BD210" s="48" t="n">
        <v>340</v>
      </c>
      <c r="BE210" s="48" t="n">
        <v>81</v>
      </c>
      <c r="BF210" s="48" t="n">
        <v>512</v>
      </c>
      <c r="BG210" s="49" t="n">
        <v>1.45</v>
      </c>
    </row>
    <row r="211" customFormat="false" ht="15" hidden="false" customHeight="false" outlineLevel="0" collapsed="false">
      <c r="A211" s="43" t="s">
        <v>658</v>
      </c>
      <c r="B211" s="43" t="s">
        <v>659</v>
      </c>
      <c r="C211" s="44" t="str">
        <f aca="false">IF(A211="","",IFERROR(INDEX(Assumptions!$B$41:$B$55,MATCH(TRUE(),INDEX(ISNUMBER(SEARCH(" "&amp;Assumptions!$A$41:$A$55&amp;" "," "&amp;SUBSTITUTE(SUBSTITUTE(SUBSTITUTE(SUBSTITUTE(B211,"-"," "),","," "),"/"," "),"."," ")&amp;" ")),0),0)),"Other"))</f>
        <v>Other</v>
      </c>
      <c r="D211" s="45" t="n">
        <f aca="false">IF(A211="","",BG211*(1-Assumptions!$B$18))</f>
        <v>1.17</v>
      </c>
      <c r="E211" s="46" t="n">
        <f aca="false">IF(A211="","",INDEX(Assumptions!$B$23:$B$26,MOD(VALUE(LEFT(A211,5)),4)+1))</f>
        <v>2</v>
      </c>
      <c r="F211" s="47" t="n">
        <v>993</v>
      </c>
      <c r="G211" s="48" t="n">
        <v>0</v>
      </c>
      <c r="H211" s="48" t="n">
        <v>0</v>
      </c>
      <c r="I211" s="48" t="n">
        <v>0</v>
      </c>
      <c r="J211" s="48" t="n">
        <v>0</v>
      </c>
      <c r="K211" s="48" t="n">
        <v>0</v>
      </c>
      <c r="L211" s="48" t="n">
        <v>0</v>
      </c>
      <c r="M211" s="48" t="n">
        <v>0</v>
      </c>
      <c r="N211" s="48" t="n">
        <v>0</v>
      </c>
      <c r="O211" s="48" t="n">
        <v>0</v>
      </c>
      <c r="P211" s="48" t="n">
        <v>0</v>
      </c>
      <c r="Q211" s="48" t="n">
        <v>16</v>
      </c>
      <c r="R211" s="48" t="n">
        <v>302</v>
      </c>
      <c r="S211" s="48" t="n">
        <v>74</v>
      </c>
      <c r="T211" s="48" t="n">
        <v>1</v>
      </c>
      <c r="U211" s="48" t="n">
        <v>54</v>
      </c>
      <c r="V211" s="48" t="n">
        <v>79</v>
      </c>
      <c r="W211" s="48" t="n">
        <v>368</v>
      </c>
      <c r="X211" s="48" t="n">
        <v>66</v>
      </c>
      <c r="Y211" s="48" t="n">
        <v>73</v>
      </c>
      <c r="Z211" s="48" t="n">
        <v>5</v>
      </c>
      <c r="AA211" s="48" t="n">
        <v>12</v>
      </c>
      <c r="AB211" s="48" t="n">
        <v>12</v>
      </c>
      <c r="AC211" s="48" t="n">
        <v>65</v>
      </c>
      <c r="AD211" s="48" t="n">
        <v>171</v>
      </c>
      <c r="AE211" s="48" t="n">
        <v>35</v>
      </c>
      <c r="AF211" s="48" t="n">
        <v>99</v>
      </c>
      <c r="AG211" s="48" t="n">
        <v>67</v>
      </c>
      <c r="AH211" s="48" t="n">
        <v>20</v>
      </c>
      <c r="AI211" s="48" t="n">
        <v>84</v>
      </c>
      <c r="AJ211" s="48" t="n">
        <v>38</v>
      </c>
      <c r="AK211" s="48" t="n">
        <v>66</v>
      </c>
      <c r="AL211" s="48" t="n">
        <v>15</v>
      </c>
      <c r="AM211" s="48" t="n">
        <v>14</v>
      </c>
      <c r="AN211" s="48" t="n">
        <v>0</v>
      </c>
      <c r="AO211" s="48" t="n">
        <v>474</v>
      </c>
      <c r="AP211" s="48" t="n">
        <v>591</v>
      </c>
      <c r="AQ211" s="48" t="n">
        <v>18</v>
      </c>
      <c r="AR211" s="48" t="n">
        <v>48</v>
      </c>
      <c r="AS211" s="48" t="n">
        <v>52</v>
      </c>
      <c r="AT211" s="48" t="n">
        <v>166</v>
      </c>
      <c r="AU211" s="48" t="n">
        <v>87</v>
      </c>
      <c r="AV211" s="48" t="n">
        <v>146</v>
      </c>
      <c r="AW211" s="48" t="n">
        <v>89</v>
      </c>
      <c r="AX211" s="48" t="n">
        <v>489</v>
      </c>
      <c r="AY211" s="48" t="n">
        <v>127</v>
      </c>
      <c r="AZ211" s="48" t="n">
        <v>81</v>
      </c>
      <c r="BA211" s="48" t="n">
        <v>115</v>
      </c>
      <c r="BB211" s="48" t="n">
        <v>72</v>
      </c>
      <c r="BC211" s="48" t="n">
        <v>215</v>
      </c>
      <c r="BD211" s="48" t="n">
        <v>223</v>
      </c>
      <c r="BE211" s="48" t="n">
        <v>249</v>
      </c>
      <c r="BF211" s="48" t="n">
        <v>186</v>
      </c>
      <c r="BG211" s="49" t="n">
        <v>1.95</v>
      </c>
    </row>
    <row r="212" customFormat="false" ht="15" hidden="false" customHeight="false" outlineLevel="0" collapsed="false">
      <c r="A212" s="43" t="s">
        <v>660</v>
      </c>
      <c r="B212" s="43" t="s">
        <v>661</v>
      </c>
      <c r="C212" s="44" t="str">
        <f aca="false">IF(A212="","",IFERROR(INDEX(Assumptions!$B$41:$B$55,MATCH(TRUE(),INDEX(ISNUMBER(SEARCH(" "&amp;Assumptions!$A$41:$A$55&amp;" "," "&amp;SUBSTITUTE(SUBSTITUTE(SUBSTITUTE(SUBSTITUTE(B212,"-"," "),","," "),"/"," "),"."," ")&amp;" ")),0),0)),"Other"))</f>
        <v>Other</v>
      </c>
      <c r="D212" s="45" t="n">
        <f aca="false">IF(A212="","",BG212*(1-Assumptions!$B$18))</f>
        <v>4.77</v>
      </c>
      <c r="E212" s="46" t="n">
        <f aca="false">IF(A212="","",INDEX(Assumptions!$B$23:$B$26,MOD(VALUE(LEFT(A212,5)),4)+1))</f>
        <v>4</v>
      </c>
      <c r="F212" s="47" t="n">
        <v>244</v>
      </c>
      <c r="G212" s="48" t="n">
        <v>31</v>
      </c>
      <c r="H212" s="48" t="n">
        <v>13</v>
      </c>
      <c r="I212" s="48" t="n">
        <v>26</v>
      </c>
      <c r="J212" s="48" t="n">
        <v>0</v>
      </c>
      <c r="K212" s="48" t="n">
        <v>1</v>
      </c>
      <c r="L212" s="48" t="n">
        <v>8</v>
      </c>
      <c r="M212" s="48" t="n">
        <v>2</v>
      </c>
      <c r="N212" s="48" t="n">
        <v>21</v>
      </c>
      <c r="O212" s="48" t="n">
        <v>6</v>
      </c>
      <c r="P212" s="48" t="n">
        <v>6</v>
      </c>
      <c r="Q212" s="48" t="n">
        <v>24</v>
      </c>
      <c r="R212" s="48" t="n">
        <v>6</v>
      </c>
      <c r="S212" s="48" t="n">
        <v>14</v>
      </c>
      <c r="T212" s="48" t="n">
        <v>4</v>
      </c>
      <c r="U212" s="48" t="n">
        <v>9</v>
      </c>
      <c r="V212" s="48" t="n">
        <v>27</v>
      </c>
      <c r="W212" s="48" t="n">
        <v>16</v>
      </c>
      <c r="X212" s="48" t="n">
        <v>13</v>
      </c>
      <c r="Y212" s="48" t="n">
        <v>20</v>
      </c>
      <c r="Z212" s="48" t="n">
        <v>5</v>
      </c>
      <c r="AA212" s="48" t="n">
        <v>3</v>
      </c>
      <c r="AB212" s="48" t="n">
        <v>1</v>
      </c>
      <c r="AC212" s="48" t="n">
        <v>22</v>
      </c>
      <c r="AD212" s="48" t="n">
        <v>116</v>
      </c>
      <c r="AE212" s="48" t="n">
        <v>4</v>
      </c>
      <c r="AF212" s="48" t="n">
        <v>2</v>
      </c>
      <c r="AG212" s="48" t="n">
        <v>504</v>
      </c>
      <c r="AH212" s="48" t="n">
        <v>5</v>
      </c>
      <c r="AI212" s="48" t="n">
        <v>3</v>
      </c>
      <c r="AJ212" s="48" t="n">
        <v>1</v>
      </c>
      <c r="AK212" s="48" t="n">
        <v>523</v>
      </c>
      <c r="AL212" s="48" t="n">
        <v>0</v>
      </c>
      <c r="AM212" s="48" t="n">
        <v>14</v>
      </c>
      <c r="AN212" s="48" t="n">
        <v>3</v>
      </c>
      <c r="AO212" s="48" t="n">
        <v>1</v>
      </c>
      <c r="AP212" s="48" t="n">
        <v>3</v>
      </c>
      <c r="AQ212" s="48" t="n">
        <v>14</v>
      </c>
      <c r="AR212" s="48" t="n">
        <v>3</v>
      </c>
      <c r="AS212" s="48" t="n">
        <v>8</v>
      </c>
      <c r="AT212" s="48" t="n">
        <v>10</v>
      </c>
      <c r="AU212" s="48" t="n">
        <v>117</v>
      </c>
      <c r="AV212" s="48" t="n">
        <v>2</v>
      </c>
      <c r="AW212" s="48" t="n">
        <v>3</v>
      </c>
      <c r="AX212" s="48" t="n">
        <v>19</v>
      </c>
      <c r="AY212" s="48" t="n">
        <v>24</v>
      </c>
      <c r="AZ212" s="48" t="n">
        <v>13</v>
      </c>
      <c r="BA212" s="48" t="n">
        <v>23</v>
      </c>
      <c r="BB212" s="48" t="n">
        <v>19</v>
      </c>
      <c r="BC212" s="48" t="n">
        <v>4</v>
      </c>
      <c r="BD212" s="48" t="n">
        <v>4</v>
      </c>
      <c r="BE212" s="48" t="n">
        <v>76</v>
      </c>
      <c r="BF212" s="48" t="n">
        <v>14</v>
      </c>
      <c r="BG212" s="49" t="n">
        <v>7.95</v>
      </c>
    </row>
    <row r="213" customFormat="false" ht="15" hidden="false" customHeight="false" outlineLevel="0" collapsed="false">
      <c r="A213" s="43" t="s">
        <v>662</v>
      </c>
      <c r="B213" s="43" t="s">
        <v>663</v>
      </c>
      <c r="C213" s="44" t="str">
        <f aca="false">IF(A213="","",IFERROR(INDEX(Assumptions!$B$41:$B$55,MATCH(TRUE(),INDEX(ISNUMBER(SEARCH(" "&amp;Assumptions!$A$41:$A$55&amp;" "," "&amp;SUBSTITUTE(SUBSTITUTE(SUBSTITUTE(SUBSTITUTE(B213,"-"," "),","," "),"/"," "),"."," ")&amp;" ")),0),0)),"Other"))</f>
        <v>Other</v>
      </c>
      <c r="D213" s="45" t="n">
        <f aca="false">IF(A213="","",BG213*(1-Assumptions!$B$18))</f>
        <v>3.27</v>
      </c>
      <c r="E213" s="46" t="n">
        <f aca="false">IF(A213="","",INDEX(Assumptions!$B$23:$B$26,MOD(VALUE(LEFT(A213,5)),4)+1))</f>
        <v>6</v>
      </c>
      <c r="F213" s="47" t="n">
        <v>1519</v>
      </c>
      <c r="G213" s="48" t="n">
        <v>11</v>
      </c>
      <c r="H213" s="48" t="n">
        <v>6</v>
      </c>
      <c r="I213" s="48" t="n">
        <v>0</v>
      </c>
      <c r="J213" s="48" t="n">
        <v>0</v>
      </c>
      <c r="K213" s="48" t="n">
        <v>16</v>
      </c>
      <c r="L213" s="48" t="n">
        <v>8</v>
      </c>
      <c r="M213" s="48" t="n">
        <v>22</v>
      </c>
      <c r="N213" s="48" t="n">
        <v>22</v>
      </c>
      <c r="O213" s="48" t="n">
        <v>57</v>
      </c>
      <c r="P213" s="48" t="n">
        <v>59</v>
      </c>
      <c r="Q213" s="48" t="n">
        <v>10</v>
      </c>
      <c r="R213" s="48" t="n">
        <v>19</v>
      </c>
      <c r="S213" s="48" t="n">
        <v>26</v>
      </c>
      <c r="T213" s="48" t="n">
        <v>26</v>
      </c>
      <c r="U213" s="48" t="n">
        <v>17</v>
      </c>
      <c r="V213" s="48" t="n">
        <v>54</v>
      </c>
      <c r="W213" s="48" t="n">
        <v>8</v>
      </c>
      <c r="X213" s="48" t="n">
        <v>58</v>
      </c>
      <c r="Y213" s="48" t="n">
        <v>19</v>
      </c>
      <c r="Z213" s="48" t="n">
        <v>42</v>
      </c>
      <c r="AA213" s="48" t="n">
        <v>24</v>
      </c>
      <c r="AB213" s="48" t="n">
        <v>98</v>
      </c>
      <c r="AC213" s="48" t="n">
        <v>30</v>
      </c>
      <c r="AD213" s="48" t="n">
        <v>111</v>
      </c>
      <c r="AE213" s="48" t="n">
        <v>210</v>
      </c>
      <c r="AF213" s="48" t="n">
        <v>40</v>
      </c>
      <c r="AG213" s="48" t="n">
        <v>54</v>
      </c>
      <c r="AH213" s="48" t="n">
        <v>11</v>
      </c>
      <c r="AI213" s="48" t="n">
        <v>34</v>
      </c>
      <c r="AJ213" s="48" t="n">
        <v>59</v>
      </c>
      <c r="AK213" s="48" t="n">
        <v>25</v>
      </c>
      <c r="AL213" s="48" t="n">
        <v>31</v>
      </c>
      <c r="AM213" s="48" t="n">
        <v>32</v>
      </c>
      <c r="AN213" s="48" t="n">
        <v>25</v>
      </c>
      <c r="AO213" s="48" t="n">
        <v>65</v>
      </c>
      <c r="AP213" s="48" t="n">
        <v>8</v>
      </c>
      <c r="AQ213" s="48" t="n">
        <v>75</v>
      </c>
      <c r="AR213" s="48" t="n">
        <v>29</v>
      </c>
      <c r="AS213" s="48" t="n">
        <v>71</v>
      </c>
      <c r="AT213" s="48" t="n">
        <v>30</v>
      </c>
      <c r="AU213" s="48" t="n">
        <v>30</v>
      </c>
      <c r="AV213" s="48" t="n">
        <v>27</v>
      </c>
      <c r="AW213" s="48" t="n">
        <v>53</v>
      </c>
      <c r="AX213" s="48" t="n">
        <v>71</v>
      </c>
      <c r="AY213" s="48" t="n">
        <v>40</v>
      </c>
      <c r="AZ213" s="48" t="n">
        <v>28</v>
      </c>
      <c r="BA213" s="48" t="n">
        <v>5</v>
      </c>
      <c r="BB213" s="48" t="n">
        <v>27</v>
      </c>
      <c r="BC213" s="48" t="n">
        <v>29</v>
      </c>
      <c r="BD213" s="48" t="n">
        <v>59</v>
      </c>
      <c r="BE213" s="48" t="n">
        <v>9</v>
      </c>
      <c r="BF213" s="48" t="n">
        <v>7</v>
      </c>
      <c r="BG213" s="49" t="n">
        <v>5.45</v>
      </c>
    </row>
    <row r="214" customFormat="false" ht="15" hidden="false" customHeight="false" outlineLevel="0" collapsed="false">
      <c r="A214" s="43" t="s">
        <v>664</v>
      </c>
      <c r="B214" s="43" t="s">
        <v>665</v>
      </c>
      <c r="C214" s="44" t="str">
        <f aca="false">IF(A214="","",IFERROR(INDEX(Assumptions!$B$41:$B$55,MATCH(TRUE(),INDEX(ISNUMBER(SEARCH(" "&amp;Assumptions!$A$41:$A$55&amp;" "," "&amp;SUBSTITUTE(SUBSTITUTE(SUBSTITUTE(SUBSTITUTE(B214,"-"," "),","," "),"/"," "),"."," ")&amp;" ")),0),0)),"Other"))</f>
        <v>Other</v>
      </c>
      <c r="D214" s="45" t="n">
        <f aca="false">IF(A214="","",BG214*(1-Assumptions!$B$18))</f>
        <v>1.734</v>
      </c>
      <c r="E214" s="46" t="n">
        <f aca="false">IF(A214="","",INDEX(Assumptions!$B$23:$B$26,MOD(VALUE(LEFT(A214,5)),4)+1))</f>
        <v>6</v>
      </c>
      <c r="F214" s="47" t="n">
        <v>122</v>
      </c>
      <c r="G214" s="48" t="n">
        <v>57</v>
      </c>
      <c r="H214" s="48" t="n">
        <v>21</v>
      </c>
      <c r="I214" s="48" t="n">
        <v>21</v>
      </c>
      <c r="J214" s="48" t="n">
        <v>0</v>
      </c>
      <c r="K214" s="48" t="n">
        <v>4</v>
      </c>
      <c r="L214" s="48" t="n">
        <v>2</v>
      </c>
      <c r="M214" s="48" t="n">
        <v>4</v>
      </c>
      <c r="N214" s="48" t="n">
        <v>1</v>
      </c>
      <c r="O214" s="48" t="n">
        <v>2</v>
      </c>
      <c r="P214" s="48" t="n">
        <v>1</v>
      </c>
      <c r="Q214" s="48" t="n">
        <v>1</v>
      </c>
      <c r="R214" s="48" t="n">
        <v>0</v>
      </c>
      <c r="S214" s="48" t="n">
        <v>0</v>
      </c>
      <c r="T214" s="48" t="n">
        <v>0</v>
      </c>
      <c r="U214" s="48" t="n">
        <v>0</v>
      </c>
      <c r="V214" s="48" t="n">
        <v>0</v>
      </c>
      <c r="W214" s="48" t="n">
        <v>0</v>
      </c>
      <c r="X214" s="48" t="n">
        <v>0</v>
      </c>
      <c r="Y214" s="48" t="n">
        <v>0</v>
      </c>
      <c r="Z214" s="48" t="n">
        <v>0</v>
      </c>
      <c r="AA214" s="48" t="n">
        <v>0</v>
      </c>
      <c r="AB214" s="48" t="n">
        <v>0</v>
      </c>
      <c r="AC214" s="48" t="n">
        <v>0</v>
      </c>
      <c r="AD214" s="48" t="n">
        <v>0</v>
      </c>
      <c r="AE214" s="48" t="n">
        <v>0</v>
      </c>
      <c r="AF214" s="48" t="n">
        <v>0</v>
      </c>
      <c r="AG214" s="48" t="n">
        <v>0</v>
      </c>
      <c r="AH214" s="48" t="n">
        <v>2</v>
      </c>
      <c r="AI214" s="48" t="n">
        <v>0</v>
      </c>
      <c r="AJ214" s="48" t="n">
        <v>0</v>
      </c>
      <c r="AK214" s="48" t="n">
        <v>0</v>
      </c>
      <c r="AL214" s="48" t="n">
        <v>3</v>
      </c>
      <c r="AM214" s="48" t="n">
        <v>0</v>
      </c>
      <c r="AN214" s="48" t="n">
        <v>6</v>
      </c>
      <c r="AO214" s="48" t="n">
        <v>44</v>
      </c>
      <c r="AP214" s="48" t="n">
        <v>33</v>
      </c>
      <c r="AQ214" s="48" t="n">
        <v>114</v>
      </c>
      <c r="AR214" s="48" t="n">
        <v>44</v>
      </c>
      <c r="AS214" s="48" t="n">
        <v>2</v>
      </c>
      <c r="AT214" s="48" t="n">
        <v>87</v>
      </c>
      <c r="AU214" s="48" t="n">
        <v>178</v>
      </c>
      <c r="AV214" s="48" t="n">
        <v>288</v>
      </c>
      <c r="AW214" s="48" t="n">
        <v>174</v>
      </c>
      <c r="AX214" s="48" t="n">
        <v>221</v>
      </c>
      <c r="AY214" s="48" t="n">
        <v>228</v>
      </c>
      <c r="AZ214" s="48" t="n">
        <v>208</v>
      </c>
      <c r="BA214" s="48" t="n">
        <v>109</v>
      </c>
      <c r="BB214" s="48" t="n">
        <v>137</v>
      </c>
      <c r="BC214" s="48" t="n">
        <v>447</v>
      </c>
      <c r="BD214" s="48" t="n">
        <v>405</v>
      </c>
      <c r="BE214" s="48" t="n">
        <v>169</v>
      </c>
      <c r="BF214" s="48" t="n">
        <v>149</v>
      </c>
      <c r="BG214" s="49" t="n">
        <v>2.89</v>
      </c>
    </row>
    <row r="215" customFormat="false" ht="15" hidden="false" customHeight="false" outlineLevel="0" collapsed="false">
      <c r="A215" s="43" t="s">
        <v>666</v>
      </c>
      <c r="B215" s="43" t="s">
        <v>667</v>
      </c>
      <c r="C215" s="44" t="str">
        <f aca="false">IF(A215="","",IFERROR(INDEX(Assumptions!$B$41:$B$55,MATCH(TRUE(),INDEX(ISNUMBER(SEARCH(" "&amp;Assumptions!$A$41:$A$55&amp;" "," "&amp;SUBSTITUTE(SUBSTITUTE(SUBSTITUTE(SUBSTITUTE(B215,"-"," "),","," "),"/"," "),"."," ")&amp;" ")),0),0)),"Other"))</f>
        <v>Other</v>
      </c>
      <c r="D215" s="45" t="n">
        <f aca="false">IF(A215="","",BG215*(1-Assumptions!$B$18))</f>
        <v>10.17</v>
      </c>
      <c r="E215" s="46" t="n">
        <f aca="false">IF(A215="","",INDEX(Assumptions!$B$23:$B$26,MOD(VALUE(LEFT(A215,5)),4)+1))</f>
        <v>6</v>
      </c>
      <c r="F215" s="47" t="n">
        <v>97</v>
      </c>
      <c r="G215" s="48" t="n">
        <v>13</v>
      </c>
      <c r="H215" s="48" t="n">
        <v>4</v>
      </c>
      <c r="I215" s="48" t="n">
        <v>0</v>
      </c>
      <c r="J215" s="48" t="n">
        <v>0</v>
      </c>
      <c r="K215" s="48" t="n">
        <v>12</v>
      </c>
      <c r="L215" s="48" t="n">
        <v>22</v>
      </c>
      <c r="M215" s="48" t="n">
        <v>12</v>
      </c>
      <c r="N215" s="48" t="n">
        <v>17</v>
      </c>
      <c r="O215" s="48" t="n">
        <v>13</v>
      </c>
      <c r="P215" s="48" t="n">
        <v>18</v>
      </c>
      <c r="Q215" s="48" t="n">
        <v>4</v>
      </c>
      <c r="R215" s="48" t="n">
        <v>26</v>
      </c>
      <c r="S215" s="48" t="n">
        <v>46</v>
      </c>
      <c r="T215" s="48" t="n">
        <v>6</v>
      </c>
      <c r="U215" s="48" t="n">
        <v>8</v>
      </c>
      <c r="V215" s="48" t="n">
        <v>10</v>
      </c>
      <c r="W215" s="48" t="n">
        <v>6</v>
      </c>
      <c r="X215" s="48" t="n">
        <v>1</v>
      </c>
      <c r="Y215" s="48" t="n">
        <v>1</v>
      </c>
      <c r="Z215" s="48" t="n">
        <v>0</v>
      </c>
      <c r="AA215" s="48" t="n">
        <v>0</v>
      </c>
      <c r="AB215" s="48" t="n">
        <v>2</v>
      </c>
      <c r="AC215" s="48" t="n">
        <v>11</v>
      </c>
      <c r="AD215" s="48" t="n">
        <v>44</v>
      </c>
      <c r="AE215" s="48" t="n">
        <v>25</v>
      </c>
      <c r="AF215" s="48" t="n">
        <v>11</v>
      </c>
      <c r="AG215" s="48" t="n">
        <v>9</v>
      </c>
      <c r="AH215" s="48" t="n">
        <v>6</v>
      </c>
      <c r="AI215" s="48" t="n">
        <v>6</v>
      </c>
      <c r="AJ215" s="48" t="n">
        <v>5</v>
      </c>
      <c r="AK215" s="48" t="n">
        <v>5</v>
      </c>
      <c r="AL215" s="48" t="n">
        <v>10</v>
      </c>
      <c r="AM215" s="48" t="n">
        <v>3</v>
      </c>
      <c r="AN215" s="48" t="n">
        <v>13</v>
      </c>
      <c r="AO215" s="48" t="n">
        <v>14</v>
      </c>
      <c r="AP215" s="48" t="n">
        <v>20</v>
      </c>
      <c r="AQ215" s="48" t="n">
        <v>0</v>
      </c>
      <c r="AR215" s="48" t="n">
        <v>18</v>
      </c>
      <c r="AS215" s="48" t="n">
        <v>5</v>
      </c>
      <c r="AT215" s="48" t="n">
        <v>18</v>
      </c>
      <c r="AU215" s="48" t="n">
        <v>13</v>
      </c>
      <c r="AV215" s="48" t="n">
        <v>47</v>
      </c>
      <c r="AW215" s="48" t="n">
        <v>8</v>
      </c>
      <c r="AX215" s="48" t="n">
        <v>19</v>
      </c>
      <c r="AY215" s="48" t="n">
        <v>5</v>
      </c>
      <c r="AZ215" s="48" t="n">
        <v>12</v>
      </c>
      <c r="BA215" s="48" t="n">
        <v>6</v>
      </c>
      <c r="BB215" s="48" t="n">
        <v>9</v>
      </c>
      <c r="BC215" s="48" t="n">
        <v>16</v>
      </c>
      <c r="BD215" s="48" t="n">
        <v>8</v>
      </c>
      <c r="BE215" s="48" t="n">
        <v>18</v>
      </c>
      <c r="BF215" s="48" t="n">
        <v>28</v>
      </c>
      <c r="BG215" s="49" t="n">
        <v>16.95</v>
      </c>
    </row>
    <row r="216" customFormat="false" ht="15" hidden="false" customHeight="false" outlineLevel="0" collapsed="false">
      <c r="A216" s="43" t="s">
        <v>668</v>
      </c>
      <c r="B216" s="43" t="s">
        <v>669</v>
      </c>
      <c r="C216" s="44" t="str">
        <f aca="false">IF(A216="","",IFERROR(INDEX(Assumptions!$B$41:$B$55,MATCH(TRUE(),INDEX(ISNUMBER(SEARCH(" "&amp;Assumptions!$A$41:$A$55&amp;" "," "&amp;SUBSTITUTE(SUBSTITUTE(SUBSTITUTE(SUBSTITUTE(B216,"-"," "),","," "),"/"," "),"."," ")&amp;" ")),0),0)),"Other"))</f>
        <v>Kitchen</v>
      </c>
      <c r="D216" s="45" t="n">
        <f aca="false">IF(A216="","",BG216*(1-Assumptions!$B$18))</f>
        <v>1.53</v>
      </c>
      <c r="E216" s="46" t="n">
        <f aca="false">IF(A216="","",INDEX(Assumptions!$B$23:$B$26,MOD(VALUE(LEFT(A216,5)),4)+1))</f>
        <v>6</v>
      </c>
      <c r="F216" s="47" t="n">
        <v>578</v>
      </c>
      <c r="G216" s="48" t="n">
        <v>0</v>
      </c>
      <c r="H216" s="48" t="n">
        <v>65</v>
      </c>
      <c r="I216" s="48" t="n">
        <v>48</v>
      </c>
      <c r="J216" s="48" t="n">
        <v>0</v>
      </c>
      <c r="K216" s="48" t="n">
        <v>121</v>
      </c>
      <c r="L216" s="48" t="n">
        <v>37</v>
      </c>
      <c r="M216" s="48" t="n">
        <v>72</v>
      </c>
      <c r="N216" s="48" t="n">
        <v>78</v>
      </c>
      <c r="O216" s="48" t="n">
        <v>140</v>
      </c>
      <c r="P216" s="48" t="n">
        <v>66</v>
      </c>
      <c r="Q216" s="48" t="n">
        <v>75</v>
      </c>
      <c r="R216" s="48" t="n">
        <v>73</v>
      </c>
      <c r="S216" s="48" t="n">
        <v>37</v>
      </c>
      <c r="T216" s="48" t="n">
        <v>113</v>
      </c>
      <c r="U216" s="48" t="n">
        <v>25</v>
      </c>
      <c r="V216" s="48" t="n">
        <v>191</v>
      </c>
      <c r="W216" s="48" t="n">
        <v>97</v>
      </c>
      <c r="X216" s="48" t="n">
        <v>35</v>
      </c>
      <c r="Y216" s="48" t="n">
        <v>327</v>
      </c>
      <c r="Z216" s="48" t="n">
        <v>496</v>
      </c>
      <c r="AA216" s="48" t="n">
        <v>72</v>
      </c>
      <c r="AB216" s="48" t="n">
        <v>28</v>
      </c>
      <c r="AC216" s="48" t="n">
        <v>81</v>
      </c>
      <c r="AD216" s="48" t="n">
        <v>106</v>
      </c>
      <c r="AE216" s="48" t="n">
        <v>250</v>
      </c>
      <c r="AF216" s="48" t="n">
        <v>7</v>
      </c>
      <c r="AG216" s="48" t="n">
        <v>47</v>
      </c>
      <c r="AH216" s="48" t="n">
        <v>134</v>
      </c>
      <c r="AI216" s="48" t="n">
        <v>77</v>
      </c>
      <c r="AJ216" s="48" t="n">
        <v>24</v>
      </c>
      <c r="AK216" s="48" t="n">
        <v>4</v>
      </c>
      <c r="AL216" s="48" t="n">
        <v>12</v>
      </c>
      <c r="AM216" s="48" t="n">
        <v>107</v>
      </c>
      <c r="AN216" s="48" t="n">
        <v>88</v>
      </c>
      <c r="AO216" s="48" t="n">
        <v>17</v>
      </c>
      <c r="AP216" s="48" t="n">
        <v>42</v>
      </c>
      <c r="AQ216" s="48" t="n">
        <v>63</v>
      </c>
      <c r="AR216" s="48" t="n">
        <v>0</v>
      </c>
      <c r="AS216" s="48" t="n">
        <v>55</v>
      </c>
      <c r="AT216" s="48" t="n">
        <v>15</v>
      </c>
      <c r="AU216" s="48" t="n">
        <v>91</v>
      </c>
      <c r="AV216" s="48" t="n">
        <v>102</v>
      </c>
      <c r="AW216" s="48" t="n">
        <v>32</v>
      </c>
      <c r="AX216" s="48" t="n">
        <v>290</v>
      </c>
      <c r="AY216" s="48" t="n">
        <v>43</v>
      </c>
      <c r="AZ216" s="48" t="n">
        <v>22</v>
      </c>
      <c r="BA216" s="48" t="n">
        <v>20</v>
      </c>
      <c r="BB216" s="48" t="n">
        <v>86</v>
      </c>
      <c r="BC216" s="48" t="n">
        <v>52</v>
      </c>
      <c r="BD216" s="48" t="n">
        <v>34</v>
      </c>
      <c r="BE216" s="48" t="n">
        <v>98</v>
      </c>
      <c r="BF216" s="48" t="n">
        <v>102</v>
      </c>
      <c r="BG216" s="49" t="n">
        <v>2.55</v>
      </c>
    </row>
    <row r="217" customFormat="false" ht="15" hidden="false" customHeight="false" outlineLevel="0" collapsed="false">
      <c r="A217" s="43" t="s">
        <v>670</v>
      </c>
      <c r="B217" s="43" t="s">
        <v>671</v>
      </c>
      <c r="C217" s="44" t="str">
        <f aca="false">IF(A217="","",IFERROR(INDEX(Assumptions!$B$41:$B$55,MATCH(TRUE(),INDEX(ISNUMBER(SEARCH(" "&amp;Assumptions!$A$41:$A$55&amp;" "," "&amp;SUBSTITUTE(SUBSTITUTE(SUBSTITUTE(SUBSTITUTE(B217,"-"," "),","," "),"/"," "),"."," ")&amp;" ")),0),0)),"Other"))</f>
        <v>Bags</v>
      </c>
      <c r="D217" s="45" t="n">
        <f aca="false">IF(A217="","",BG217*(1-Assumptions!$B$18))</f>
        <v>0.99</v>
      </c>
      <c r="E217" s="46" t="n">
        <f aca="false">IF(A217="","",INDEX(Assumptions!$B$23:$B$26,MOD(VALUE(LEFT(A217,5)),4)+1))</f>
        <v>2</v>
      </c>
      <c r="F217" s="47" t="n">
        <v>1506</v>
      </c>
      <c r="G217" s="48" t="n">
        <v>0</v>
      </c>
      <c r="H217" s="48" t="n">
        <v>0</v>
      </c>
      <c r="I217" s="48" t="n">
        <v>0</v>
      </c>
      <c r="J217" s="48" t="n">
        <v>0</v>
      </c>
      <c r="K217" s="48" t="n">
        <v>0</v>
      </c>
      <c r="L217" s="48" t="n">
        <v>0</v>
      </c>
      <c r="M217" s="48" t="n">
        <v>0</v>
      </c>
      <c r="N217" s="48" t="n">
        <v>0</v>
      </c>
      <c r="O217" s="48" t="n">
        <v>0</v>
      </c>
      <c r="P217" s="48" t="n">
        <v>0</v>
      </c>
      <c r="Q217" s="48" t="n">
        <v>0</v>
      </c>
      <c r="R217" s="48" t="n">
        <v>0</v>
      </c>
      <c r="S217" s="48" t="n">
        <v>0</v>
      </c>
      <c r="T217" s="48" t="n">
        <v>0</v>
      </c>
      <c r="U217" s="48" t="n">
        <v>0</v>
      </c>
      <c r="V217" s="48" t="n">
        <v>0</v>
      </c>
      <c r="W217" s="48" t="n">
        <v>0</v>
      </c>
      <c r="X217" s="48" t="n">
        <v>0</v>
      </c>
      <c r="Y217" s="48" t="n">
        <v>360</v>
      </c>
      <c r="Z217" s="48" t="n">
        <v>101</v>
      </c>
      <c r="AA217" s="48" t="n">
        <v>116</v>
      </c>
      <c r="AB217" s="48" t="n">
        <v>160</v>
      </c>
      <c r="AC217" s="48" t="n">
        <v>418</v>
      </c>
      <c r="AD217" s="48" t="n">
        <v>228</v>
      </c>
      <c r="AE217" s="48" t="n">
        <v>174</v>
      </c>
      <c r="AF217" s="48" t="n">
        <v>151</v>
      </c>
      <c r="AG217" s="48" t="n">
        <v>120</v>
      </c>
      <c r="AH217" s="48" t="n">
        <v>308</v>
      </c>
      <c r="AI217" s="48" t="n">
        <v>180</v>
      </c>
      <c r="AJ217" s="48" t="n">
        <v>83</v>
      </c>
      <c r="AK217" s="48" t="n">
        <v>91</v>
      </c>
      <c r="AL217" s="48" t="n">
        <v>214</v>
      </c>
      <c r="AM217" s="48" t="n">
        <v>291</v>
      </c>
      <c r="AN217" s="48" t="n">
        <v>268</v>
      </c>
      <c r="AO217" s="48" t="n">
        <v>108</v>
      </c>
      <c r="AP217" s="48" t="n">
        <v>118</v>
      </c>
      <c r="AQ217" s="48" t="n">
        <v>297</v>
      </c>
      <c r="AR217" s="48" t="n">
        <v>288</v>
      </c>
      <c r="AS217" s="48" t="n">
        <v>34</v>
      </c>
      <c r="AT217" s="48" t="n">
        <v>235</v>
      </c>
      <c r="AU217" s="48" t="n">
        <v>138</v>
      </c>
      <c r="AV217" s="48" t="n">
        <v>152</v>
      </c>
      <c r="AW217" s="48" t="n">
        <v>67</v>
      </c>
      <c r="AX217" s="48" t="n">
        <v>295</v>
      </c>
      <c r="AY217" s="48" t="n">
        <v>141</v>
      </c>
      <c r="AZ217" s="48" t="n">
        <v>84</v>
      </c>
      <c r="BA217" s="48" t="n">
        <v>55</v>
      </c>
      <c r="BB217" s="48" t="n">
        <v>192</v>
      </c>
      <c r="BC217" s="48" t="n">
        <v>183</v>
      </c>
      <c r="BD217" s="48" t="n">
        <v>202</v>
      </c>
      <c r="BE217" s="48" t="n">
        <v>76</v>
      </c>
      <c r="BF217" s="48" t="n">
        <v>94</v>
      </c>
      <c r="BG217" s="49" t="n">
        <v>1.65</v>
      </c>
    </row>
    <row r="218" customFormat="false" ht="15" hidden="false" customHeight="false" outlineLevel="0" collapsed="false">
      <c r="A218" s="43" t="s">
        <v>672</v>
      </c>
      <c r="B218" s="43" t="s">
        <v>673</v>
      </c>
      <c r="C218" s="44" t="str">
        <f aca="false">IF(A218="","",IFERROR(INDEX(Assumptions!$B$41:$B$55,MATCH(TRUE(),INDEX(ISNUMBER(SEARCH(" "&amp;Assumptions!$A$41:$A$55&amp;" "," "&amp;SUBSTITUTE(SUBSTITUTE(SUBSTITUTE(SUBSTITUTE(B218,"-"," "),","," "),"/"," "),"."," ")&amp;" ")),0),0)),"Other"))</f>
        <v>Other</v>
      </c>
      <c r="D218" s="45" t="n">
        <f aca="false">IF(A218="","",BG218*(1-Assumptions!$B$18))</f>
        <v>2.97</v>
      </c>
      <c r="E218" s="46" t="n">
        <f aca="false">IF(A218="","",INDEX(Assumptions!$B$23:$B$26,MOD(VALUE(LEFT(A218,5)),4)+1))</f>
        <v>4</v>
      </c>
      <c r="F218" s="47" t="n">
        <v>1138</v>
      </c>
      <c r="G218" s="48" t="n">
        <v>45</v>
      </c>
      <c r="H218" s="48" t="n">
        <v>29</v>
      </c>
      <c r="I218" s="48" t="n">
        <v>6</v>
      </c>
      <c r="J218" s="48" t="n">
        <v>0</v>
      </c>
      <c r="K218" s="48" t="n">
        <v>25</v>
      </c>
      <c r="L218" s="48" t="n">
        <v>40</v>
      </c>
      <c r="M218" s="48" t="n">
        <v>31</v>
      </c>
      <c r="N218" s="48" t="n">
        <v>17</v>
      </c>
      <c r="O218" s="48" t="n">
        <v>23</v>
      </c>
      <c r="P218" s="48" t="n">
        <v>6</v>
      </c>
      <c r="Q218" s="48" t="n">
        <v>86</v>
      </c>
      <c r="R218" s="48" t="n">
        <v>13</v>
      </c>
      <c r="S218" s="48" t="n">
        <v>63</v>
      </c>
      <c r="T218" s="48" t="n">
        <v>43</v>
      </c>
      <c r="U218" s="48" t="n">
        <v>58</v>
      </c>
      <c r="V218" s="48" t="n">
        <v>32</v>
      </c>
      <c r="W218" s="48" t="n">
        <v>16</v>
      </c>
      <c r="X218" s="48" t="n">
        <v>9</v>
      </c>
      <c r="Y218" s="48" t="n">
        <v>16</v>
      </c>
      <c r="Z218" s="48" t="n">
        <v>17</v>
      </c>
      <c r="AA218" s="48" t="n">
        <v>7</v>
      </c>
      <c r="AB218" s="48" t="n">
        <v>42</v>
      </c>
      <c r="AC218" s="48" t="n">
        <v>32</v>
      </c>
      <c r="AD218" s="48" t="n">
        <v>28</v>
      </c>
      <c r="AE218" s="48" t="n">
        <v>30</v>
      </c>
      <c r="AF218" s="48" t="n">
        <v>11</v>
      </c>
      <c r="AG218" s="48" t="n">
        <v>9</v>
      </c>
      <c r="AH218" s="48" t="n">
        <v>12</v>
      </c>
      <c r="AI218" s="48" t="n">
        <v>20</v>
      </c>
      <c r="AJ218" s="48" t="n">
        <v>8</v>
      </c>
      <c r="AK218" s="48" t="n">
        <v>15</v>
      </c>
      <c r="AL218" s="48" t="n">
        <v>20</v>
      </c>
      <c r="AM218" s="48" t="n">
        <v>15</v>
      </c>
      <c r="AN218" s="48" t="n">
        <v>41</v>
      </c>
      <c r="AO218" s="48" t="n">
        <v>14</v>
      </c>
      <c r="AP218" s="48" t="n">
        <v>28</v>
      </c>
      <c r="AQ218" s="48" t="n">
        <v>71</v>
      </c>
      <c r="AR218" s="48" t="n">
        <v>11</v>
      </c>
      <c r="AS218" s="48" t="n">
        <v>22</v>
      </c>
      <c r="AT218" s="48" t="n">
        <v>27</v>
      </c>
      <c r="AU218" s="48" t="n">
        <v>13</v>
      </c>
      <c r="AV218" s="48" t="n">
        <v>34</v>
      </c>
      <c r="AW218" s="48" t="n">
        <v>45</v>
      </c>
      <c r="AX218" s="48" t="n">
        <v>27</v>
      </c>
      <c r="AY218" s="48" t="n">
        <v>42</v>
      </c>
      <c r="AZ218" s="48" t="n">
        <v>75</v>
      </c>
      <c r="BA218" s="48" t="n">
        <v>44</v>
      </c>
      <c r="BB218" s="48" t="n">
        <v>89</v>
      </c>
      <c r="BC218" s="48" t="n">
        <v>349</v>
      </c>
      <c r="BD218" s="48" t="n">
        <v>112</v>
      </c>
      <c r="BE218" s="48" t="n">
        <v>113</v>
      </c>
      <c r="BF218" s="48" t="n">
        <v>59</v>
      </c>
      <c r="BG218" s="49" t="n">
        <v>4.95</v>
      </c>
    </row>
    <row r="219" customFormat="false" ht="15" hidden="false" customHeight="false" outlineLevel="0" collapsed="false">
      <c r="A219" s="43" t="s">
        <v>674</v>
      </c>
      <c r="B219" s="43" t="s">
        <v>675</v>
      </c>
      <c r="C219" s="44" t="str">
        <f aca="false">IF(A219="","",IFERROR(INDEX(Assumptions!$B$41:$B$55,MATCH(TRUE(),INDEX(ISNUMBER(SEARCH(" "&amp;Assumptions!$A$41:$A$55&amp;" "," "&amp;SUBSTITUTE(SUBSTITUTE(SUBSTITUTE(SUBSTITUTE(B219,"-"," "),","," "),"/"," "),"."," ")&amp;" ")),0),0)),"Other"))</f>
        <v>Other</v>
      </c>
      <c r="D219" s="45" t="n">
        <f aca="false">IF(A219="","",BG219*(1-Assumptions!$B$18))</f>
        <v>0.99</v>
      </c>
      <c r="E219" s="46" t="n">
        <f aca="false">IF(A219="","",INDEX(Assumptions!$B$23:$B$26,MOD(VALUE(LEFT(A219,5)),4)+1))</f>
        <v>8</v>
      </c>
      <c r="F219" s="47" t="n">
        <v>3197</v>
      </c>
      <c r="G219" s="48" t="n">
        <v>0</v>
      </c>
      <c r="H219" s="48" t="n">
        <v>0</v>
      </c>
      <c r="I219" s="48" t="n">
        <v>0</v>
      </c>
      <c r="J219" s="48" t="n">
        <v>0</v>
      </c>
      <c r="K219" s="48" t="n">
        <v>0</v>
      </c>
      <c r="L219" s="48" t="n">
        <v>0</v>
      </c>
      <c r="M219" s="48" t="n">
        <v>0</v>
      </c>
      <c r="N219" s="48" t="n">
        <v>0</v>
      </c>
      <c r="O219" s="48" t="n">
        <v>0</v>
      </c>
      <c r="P219" s="48" t="n">
        <v>0</v>
      </c>
      <c r="Q219" s="48" t="n">
        <v>0</v>
      </c>
      <c r="R219" s="48" t="n">
        <v>0</v>
      </c>
      <c r="S219" s="48" t="n">
        <v>0</v>
      </c>
      <c r="T219" s="48" t="n">
        <v>0</v>
      </c>
      <c r="U219" s="48" t="n">
        <v>0</v>
      </c>
      <c r="V219" s="48" t="n">
        <v>0</v>
      </c>
      <c r="W219" s="48" t="n">
        <v>0</v>
      </c>
      <c r="X219" s="48" t="n">
        <v>0</v>
      </c>
      <c r="Y219" s="48" t="n">
        <v>0</v>
      </c>
      <c r="Z219" s="48" t="n">
        <v>0</v>
      </c>
      <c r="AA219" s="48" t="n">
        <v>0</v>
      </c>
      <c r="AB219" s="48" t="n">
        <v>0</v>
      </c>
      <c r="AC219" s="48" t="n">
        <v>378</v>
      </c>
      <c r="AD219" s="48" t="n">
        <v>694</v>
      </c>
      <c r="AE219" s="48" t="n">
        <v>307</v>
      </c>
      <c r="AF219" s="48" t="n">
        <v>86</v>
      </c>
      <c r="AG219" s="48" t="n">
        <v>153</v>
      </c>
      <c r="AH219" s="48" t="n">
        <v>234</v>
      </c>
      <c r="AI219" s="48" t="n">
        <v>92</v>
      </c>
      <c r="AJ219" s="48" t="n">
        <v>1414</v>
      </c>
      <c r="AK219" s="48" t="n">
        <v>141</v>
      </c>
      <c r="AL219" s="48" t="n">
        <v>100</v>
      </c>
      <c r="AM219" s="48" t="n">
        <v>40</v>
      </c>
      <c r="AN219" s="48" t="n">
        <v>472</v>
      </c>
      <c r="AO219" s="48" t="n">
        <v>148</v>
      </c>
      <c r="AP219" s="48" t="n">
        <v>62</v>
      </c>
      <c r="AQ219" s="48" t="n">
        <v>127</v>
      </c>
      <c r="AR219" s="48" t="n">
        <v>22</v>
      </c>
      <c r="AS219" s="48" t="n">
        <v>117</v>
      </c>
      <c r="AT219" s="48" t="n">
        <v>120</v>
      </c>
      <c r="AU219" s="48" t="n">
        <v>193</v>
      </c>
      <c r="AV219" s="48" t="n">
        <v>152</v>
      </c>
      <c r="AW219" s="48" t="n">
        <v>194</v>
      </c>
      <c r="AX219" s="48" t="n">
        <v>226</v>
      </c>
      <c r="AY219" s="48" t="n">
        <v>79</v>
      </c>
      <c r="AZ219" s="48" t="n">
        <v>122</v>
      </c>
      <c r="BA219" s="48" t="n">
        <v>76</v>
      </c>
      <c r="BB219" s="48" t="n">
        <v>162</v>
      </c>
      <c r="BC219" s="48" t="n">
        <v>75</v>
      </c>
      <c r="BD219" s="48" t="n">
        <v>63</v>
      </c>
      <c r="BE219" s="48" t="n">
        <v>41</v>
      </c>
      <c r="BF219" s="48" t="n">
        <v>67</v>
      </c>
      <c r="BG219" s="49" t="n">
        <v>1.65</v>
      </c>
    </row>
    <row r="220" customFormat="false" ht="15" hidden="false" customHeight="false" outlineLevel="0" collapsed="false">
      <c r="A220" s="43" t="s">
        <v>676</v>
      </c>
      <c r="B220" s="43" t="s">
        <v>677</v>
      </c>
      <c r="C220" s="44" t="str">
        <f aca="false">IF(A220="","",IFERROR(INDEX(Assumptions!$B$41:$B$55,MATCH(TRUE(),INDEX(ISNUMBER(SEARCH(" "&amp;Assumptions!$A$41:$A$55&amp;" "," "&amp;SUBSTITUTE(SUBSTITUTE(SUBSTITUTE(SUBSTITUTE(B220,"-"," "),","," "),"/"," "),"."," ")&amp;" ")),0),0)),"Other"))</f>
        <v>Other</v>
      </c>
      <c r="D220" s="45" t="n">
        <f aca="false">IF(A220="","",BG220*(1-Assumptions!$B$18))</f>
        <v>2.25</v>
      </c>
      <c r="E220" s="46" t="n">
        <f aca="false">IF(A220="","",INDEX(Assumptions!$B$23:$B$26,MOD(VALUE(LEFT(A220,5)),4)+1))</f>
        <v>4</v>
      </c>
      <c r="F220" s="47" t="n">
        <v>52</v>
      </c>
      <c r="G220" s="48" t="n">
        <v>144</v>
      </c>
      <c r="H220" s="48" t="n">
        <v>41</v>
      </c>
      <c r="I220" s="48" t="n">
        <v>27</v>
      </c>
      <c r="J220" s="48" t="n">
        <v>0</v>
      </c>
      <c r="K220" s="48" t="n">
        <v>159</v>
      </c>
      <c r="L220" s="48" t="n">
        <v>23</v>
      </c>
      <c r="M220" s="48" t="n">
        <v>33</v>
      </c>
      <c r="N220" s="48" t="n">
        <v>13</v>
      </c>
      <c r="O220" s="48" t="n">
        <v>11</v>
      </c>
      <c r="P220" s="48" t="n">
        <v>9</v>
      </c>
      <c r="Q220" s="48" t="n">
        <v>220</v>
      </c>
      <c r="R220" s="48" t="n">
        <v>38</v>
      </c>
      <c r="S220" s="48" t="n">
        <v>39</v>
      </c>
      <c r="T220" s="48" t="n">
        <v>193</v>
      </c>
      <c r="U220" s="48" t="n">
        <v>6</v>
      </c>
      <c r="V220" s="48" t="n">
        <v>28</v>
      </c>
      <c r="W220" s="48" t="n">
        <v>79</v>
      </c>
      <c r="X220" s="48" t="n">
        <v>12</v>
      </c>
      <c r="Y220" s="48" t="n">
        <v>45</v>
      </c>
      <c r="Z220" s="48" t="n">
        <v>8</v>
      </c>
      <c r="AA220" s="48" t="n">
        <v>10</v>
      </c>
      <c r="AB220" s="48" t="n">
        <v>21</v>
      </c>
      <c r="AC220" s="48" t="n">
        <v>24</v>
      </c>
      <c r="AD220" s="48" t="n">
        <v>46</v>
      </c>
      <c r="AE220" s="48" t="n">
        <v>38</v>
      </c>
      <c r="AF220" s="48" t="n">
        <v>4</v>
      </c>
      <c r="AG220" s="48" t="n">
        <v>48</v>
      </c>
      <c r="AH220" s="48" t="n">
        <v>11</v>
      </c>
      <c r="AI220" s="48" t="n">
        <v>15</v>
      </c>
      <c r="AJ220" s="48" t="n">
        <v>40</v>
      </c>
      <c r="AK220" s="48" t="n">
        <v>10</v>
      </c>
      <c r="AL220" s="48" t="n">
        <v>17</v>
      </c>
      <c r="AM220" s="48" t="n">
        <v>64</v>
      </c>
      <c r="AN220" s="48" t="n">
        <v>54</v>
      </c>
      <c r="AO220" s="48" t="n">
        <v>28</v>
      </c>
      <c r="AP220" s="48" t="n">
        <v>22</v>
      </c>
      <c r="AQ220" s="48" t="n">
        <v>252</v>
      </c>
      <c r="AR220" s="48" t="n">
        <v>34</v>
      </c>
      <c r="AS220" s="48" t="n">
        <v>52</v>
      </c>
      <c r="AT220" s="48" t="n">
        <v>54</v>
      </c>
      <c r="AU220" s="48" t="n">
        <v>54</v>
      </c>
      <c r="AV220" s="48" t="n">
        <v>117</v>
      </c>
      <c r="AW220" s="48" t="n">
        <v>37</v>
      </c>
      <c r="AX220" s="48" t="n">
        <v>260</v>
      </c>
      <c r="AY220" s="48" t="n">
        <v>224</v>
      </c>
      <c r="AZ220" s="48" t="n">
        <v>15</v>
      </c>
      <c r="BA220" s="48" t="n">
        <v>12</v>
      </c>
      <c r="BB220" s="48" t="n">
        <v>0</v>
      </c>
      <c r="BC220" s="48" t="n">
        <v>0</v>
      </c>
      <c r="BD220" s="48" t="n">
        <v>0</v>
      </c>
      <c r="BE220" s="48" t="n">
        <v>0</v>
      </c>
      <c r="BF220" s="48" t="n">
        <v>0</v>
      </c>
      <c r="BG220" s="49" t="n">
        <v>3.75</v>
      </c>
    </row>
    <row r="221" customFormat="false" ht="15" hidden="false" customHeight="false" outlineLevel="0" collapsed="false">
      <c r="A221" s="43" t="s">
        <v>678</v>
      </c>
      <c r="B221" s="43" t="s">
        <v>679</v>
      </c>
      <c r="C221" s="44" t="str">
        <f aca="false">IF(A221="","",IFERROR(INDEX(Assumptions!$B$41:$B$55,MATCH(TRUE(),INDEX(ISNUMBER(SEARCH(" "&amp;Assumptions!$A$41:$A$55&amp;" "," "&amp;SUBSTITUTE(SUBSTITUTE(SUBSTITUTE(SUBSTITUTE(B221,"-"," "),","," "),"/"," "),"."," ")&amp;" ")),0),0)),"Other"))</f>
        <v>Other</v>
      </c>
      <c r="D221" s="45" t="n">
        <f aca="false">IF(A221="","",BG221*(1-Assumptions!$B$18))</f>
        <v>0.75</v>
      </c>
      <c r="E221" s="46" t="n">
        <f aca="false">IF(A221="","",INDEX(Assumptions!$B$23:$B$26,MOD(VALUE(LEFT(A221,5)),4)+1))</f>
        <v>8</v>
      </c>
      <c r="F221" s="47" t="n">
        <v>6256</v>
      </c>
      <c r="G221" s="48" t="n">
        <v>181</v>
      </c>
      <c r="H221" s="48" t="n">
        <v>231</v>
      </c>
      <c r="I221" s="48" t="n">
        <v>14</v>
      </c>
      <c r="J221" s="48" t="n">
        <v>0</v>
      </c>
      <c r="K221" s="48" t="n">
        <v>111</v>
      </c>
      <c r="L221" s="48" t="n">
        <v>115</v>
      </c>
      <c r="M221" s="48" t="n">
        <v>162</v>
      </c>
      <c r="N221" s="48" t="n">
        <v>14</v>
      </c>
      <c r="O221" s="48" t="n">
        <v>54</v>
      </c>
      <c r="P221" s="48" t="n">
        <v>22</v>
      </c>
      <c r="Q221" s="48" t="n">
        <v>49</v>
      </c>
      <c r="R221" s="48" t="n">
        <v>365</v>
      </c>
      <c r="S221" s="48" t="n">
        <v>394</v>
      </c>
      <c r="T221" s="48" t="n">
        <v>122</v>
      </c>
      <c r="U221" s="48" t="n">
        <v>123</v>
      </c>
      <c r="V221" s="48" t="n">
        <v>19</v>
      </c>
      <c r="W221" s="48" t="n">
        <v>76</v>
      </c>
      <c r="X221" s="48" t="n">
        <v>68</v>
      </c>
      <c r="Y221" s="48" t="n">
        <v>24</v>
      </c>
      <c r="Z221" s="48" t="n">
        <v>43</v>
      </c>
      <c r="AA221" s="48" t="n">
        <v>2</v>
      </c>
      <c r="AB221" s="48" t="n">
        <v>54</v>
      </c>
      <c r="AC221" s="48" t="n">
        <v>392</v>
      </c>
      <c r="AD221" s="48" t="n">
        <v>163</v>
      </c>
      <c r="AE221" s="48" t="n">
        <v>163</v>
      </c>
      <c r="AF221" s="48" t="n">
        <v>135</v>
      </c>
      <c r="AG221" s="48" t="n">
        <v>173</v>
      </c>
      <c r="AH221" s="48" t="n">
        <v>238</v>
      </c>
      <c r="AI221" s="48" t="n">
        <v>40</v>
      </c>
      <c r="AJ221" s="48" t="n">
        <v>108</v>
      </c>
      <c r="AK221" s="48" t="n">
        <v>54</v>
      </c>
      <c r="AL221" s="48" t="n">
        <v>36</v>
      </c>
      <c r="AM221" s="48" t="n">
        <v>108</v>
      </c>
      <c r="AN221" s="48" t="n">
        <v>13</v>
      </c>
      <c r="AO221" s="48" t="n">
        <v>78</v>
      </c>
      <c r="AP221" s="48" t="n">
        <v>142</v>
      </c>
      <c r="AQ221" s="48" t="n">
        <v>138</v>
      </c>
      <c r="AR221" s="48" t="n">
        <v>228</v>
      </c>
      <c r="AS221" s="48" t="n">
        <v>375</v>
      </c>
      <c r="AT221" s="48" t="n">
        <v>147</v>
      </c>
      <c r="AU221" s="48" t="n">
        <v>358</v>
      </c>
      <c r="AV221" s="48" t="n">
        <v>674</v>
      </c>
      <c r="AW221" s="48" t="n">
        <v>140</v>
      </c>
      <c r="AX221" s="48" t="n">
        <v>158</v>
      </c>
      <c r="AY221" s="48" t="n">
        <v>173</v>
      </c>
      <c r="AZ221" s="48" t="n">
        <v>214</v>
      </c>
      <c r="BA221" s="48" t="n">
        <v>55</v>
      </c>
      <c r="BB221" s="48" t="n">
        <v>363</v>
      </c>
      <c r="BC221" s="48" t="n">
        <v>259</v>
      </c>
      <c r="BD221" s="48" t="n">
        <v>527</v>
      </c>
      <c r="BE221" s="48" t="n">
        <v>69</v>
      </c>
      <c r="BF221" s="48" t="n">
        <v>377</v>
      </c>
      <c r="BG221" s="49" t="n">
        <v>1.25</v>
      </c>
    </row>
    <row r="222" customFormat="false" ht="15" hidden="false" customHeight="false" outlineLevel="0" collapsed="false">
      <c r="A222" s="43" t="s">
        <v>680</v>
      </c>
      <c r="B222" s="43" t="s">
        <v>681</v>
      </c>
      <c r="C222" s="44" t="str">
        <f aca="false">IF(A222="","",IFERROR(INDEX(Assumptions!$B$41:$B$55,MATCH(TRUE(),INDEX(ISNUMBER(SEARCH(" "&amp;Assumptions!$A$41:$A$55&amp;" "," "&amp;SUBSTITUTE(SUBSTITUTE(SUBSTITUTE(SUBSTITUTE(B222,"-"," "),","," "),"/"," "),"."," ")&amp;" ")),0),0)),"Other"))</f>
        <v>Other</v>
      </c>
      <c r="D222" s="45" t="n">
        <f aca="false">IF(A222="","",BG222*(1-Assumptions!$B$18))</f>
        <v>0.75</v>
      </c>
      <c r="E222" s="46" t="n">
        <f aca="false">IF(A222="","",INDEX(Assumptions!$B$23:$B$26,MOD(VALUE(LEFT(A222,5)),4)+1))</f>
        <v>2</v>
      </c>
      <c r="F222" s="47" t="n">
        <v>1074</v>
      </c>
      <c r="G222" s="48" t="n">
        <v>0</v>
      </c>
      <c r="H222" s="48" t="n">
        <v>0</v>
      </c>
      <c r="I222" s="48" t="n">
        <v>0</v>
      </c>
      <c r="J222" s="48" t="n">
        <v>0</v>
      </c>
      <c r="K222" s="48" t="n">
        <v>0</v>
      </c>
      <c r="L222" s="48" t="n">
        <v>0</v>
      </c>
      <c r="M222" s="48" t="n">
        <v>0</v>
      </c>
      <c r="N222" s="48" t="n">
        <v>0</v>
      </c>
      <c r="O222" s="48" t="n">
        <v>0</v>
      </c>
      <c r="P222" s="48" t="n">
        <v>0</v>
      </c>
      <c r="Q222" s="48" t="n">
        <v>0</v>
      </c>
      <c r="R222" s="48" t="n">
        <v>0</v>
      </c>
      <c r="S222" s="48" t="n">
        <v>0</v>
      </c>
      <c r="T222" s="48" t="n">
        <v>0</v>
      </c>
      <c r="U222" s="48" t="n">
        <v>0</v>
      </c>
      <c r="V222" s="48" t="n">
        <v>72</v>
      </c>
      <c r="W222" s="48" t="n">
        <v>291</v>
      </c>
      <c r="X222" s="48" t="n">
        <v>600</v>
      </c>
      <c r="Y222" s="48" t="n">
        <v>336</v>
      </c>
      <c r="Z222" s="48" t="n">
        <v>120</v>
      </c>
      <c r="AA222" s="48" t="n">
        <v>144</v>
      </c>
      <c r="AB222" s="48" t="n">
        <v>218</v>
      </c>
      <c r="AC222" s="48" t="n">
        <v>264</v>
      </c>
      <c r="AD222" s="48" t="n">
        <v>120</v>
      </c>
      <c r="AE222" s="48" t="n">
        <v>264</v>
      </c>
      <c r="AF222" s="48" t="n">
        <v>168</v>
      </c>
      <c r="AG222" s="48" t="n">
        <v>193</v>
      </c>
      <c r="AH222" s="48" t="n">
        <v>120</v>
      </c>
      <c r="AI222" s="48" t="n">
        <v>168</v>
      </c>
      <c r="AJ222" s="48" t="n">
        <v>0</v>
      </c>
      <c r="AK222" s="48" t="n">
        <v>216</v>
      </c>
      <c r="AL222" s="48" t="n">
        <v>288</v>
      </c>
      <c r="AM222" s="48" t="n">
        <v>192</v>
      </c>
      <c r="AN222" s="48" t="n">
        <v>192</v>
      </c>
      <c r="AO222" s="48" t="n">
        <v>264</v>
      </c>
      <c r="AP222" s="48" t="n">
        <v>120</v>
      </c>
      <c r="AQ222" s="48" t="n">
        <v>192</v>
      </c>
      <c r="AR222" s="48" t="n">
        <v>144</v>
      </c>
      <c r="AS222" s="48" t="n">
        <v>149</v>
      </c>
      <c r="AT222" s="48" t="n">
        <v>120</v>
      </c>
      <c r="AU222" s="48" t="n">
        <v>96</v>
      </c>
      <c r="AV222" s="48" t="n">
        <v>192</v>
      </c>
      <c r="AW222" s="48" t="n">
        <v>168</v>
      </c>
      <c r="AX222" s="48" t="n">
        <v>432</v>
      </c>
      <c r="AY222" s="48" t="n">
        <v>242</v>
      </c>
      <c r="AZ222" s="48" t="n">
        <v>312</v>
      </c>
      <c r="BA222" s="48" t="n">
        <v>243</v>
      </c>
      <c r="BB222" s="48" t="n">
        <v>240</v>
      </c>
      <c r="BC222" s="48" t="n">
        <v>567</v>
      </c>
      <c r="BD222" s="48" t="n">
        <v>122</v>
      </c>
      <c r="BE222" s="48" t="n">
        <v>136</v>
      </c>
      <c r="BF222" s="48" t="n">
        <v>271</v>
      </c>
      <c r="BG222" s="49" t="n">
        <v>1.25</v>
      </c>
    </row>
    <row r="223" customFormat="false" ht="15" hidden="false" customHeight="false" outlineLevel="0" collapsed="false">
      <c r="A223" s="43" t="s">
        <v>682</v>
      </c>
      <c r="B223" s="43" t="s">
        <v>683</v>
      </c>
      <c r="C223" s="44" t="str">
        <f aca="false">IF(A223="","",IFERROR(INDEX(Assumptions!$B$41:$B$55,MATCH(TRUE(),INDEX(ISNUMBER(SEARCH(" "&amp;Assumptions!$A$41:$A$55&amp;" "," "&amp;SUBSTITUTE(SUBSTITUTE(SUBSTITUTE(SUBSTITUTE(B223,"-"," "),","," "),"/"," "),"."," ")&amp;" ")),0),0)),"Other"))</f>
        <v>Other</v>
      </c>
      <c r="D223" s="45" t="n">
        <f aca="false">IF(A223="","",BG223*(1-Assumptions!$B$18))</f>
        <v>4.77</v>
      </c>
      <c r="E223" s="46" t="n">
        <f aca="false">IF(A223="","",INDEX(Assumptions!$B$23:$B$26,MOD(VALUE(LEFT(A223,5)),4)+1))</f>
        <v>6</v>
      </c>
      <c r="F223" s="47" t="n">
        <v>921</v>
      </c>
      <c r="G223" s="48" t="n">
        <v>21</v>
      </c>
      <c r="H223" s="48" t="n">
        <v>6</v>
      </c>
      <c r="I223" s="48" t="n">
        <v>5</v>
      </c>
      <c r="J223" s="48" t="n">
        <v>0</v>
      </c>
      <c r="K223" s="48" t="n">
        <v>2</v>
      </c>
      <c r="L223" s="48" t="n">
        <v>14</v>
      </c>
      <c r="M223" s="48" t="n">
        <v>14</v>
      </c>
      <c r="N223" s="48" t="n">
        <v>6</v>
      </c>
      <c r="O223" s="48" t="n">
        <v>27</v>
      </c>
      <c r="P223" s="48" t="n">
        <v>11</v>
      </c>
      <c r="Q223" s="48" t="n">
        <v>14</v>
      </c>
      <c r="R223" s="48" t="n">
        <v>30</v>
      </c>
      <c r="S223" s="48" t="n">
        <v>10</v>
      </c>
      <c r="T223" s="48" t="n">
        <v>38</v>
      </c>
      <c r="U223" s="48" t="n">
        <v>16</v>
      </c>
      <c r="V223" s="48" t="n">
        <v>3</v>
      </c>
      <c r="W223" s="48" t="n">
        <v>15</v>
      </c>
      <c r="X223" s="48" t="n">
        <v>17</v>
      </c>
      <c r="Y223" s="48" t="n">
        <v>21</v>
      </c>
      <c r="Z223" s="48" t="n">
        <v>7</v>
      </c>
      <c r="AA223" s="48" t="n">
        <v>6</v>
      </c>
      <c r="AB223" s="48" t="n">
        <v>25</v>
      </c>
      <c r="AC223" s="48" t="n">
        <v>7</v>
      </c>
      <c r="AD223" s="48" t="n">
        <v>127</v>
      </c>
      <c r="AE223" s="48" t="n">
        <v>17</v>
      </c>
      <c r="AF223" s="48" t="n">
        <v>13</v>
      </c>
      <c r="AG223" s="48" t="n">
        <v>509</v>
      </c>
      <c r="AH223" s="48" t="n">
        <v>19</v>
      </c>
      <c r="AI223" s="48" t="n">
        <v>9</v>
      </c>
      <c r="AJ223" s="48" t="n">
        <v>4</v>
      </c>
      <c r="AK223" s="48" t="n">
        <v>25</v>
      </c>
      <c r="AL223" s="48" t="n">
        <v>24</v>
      </c>
      <c r="AM223" s="48" t="n">
        <v>7</v>
      </c>
      <c r="AN223" s="48" t="n">
        <v>39</v>
      </c>
      <c r="AO223" s="48" t="n">
        <v>20</v>
      </c>
      <c r="AP223" s="48" t="n">
        <v>11</v>
      </c>
      <c r="AQ223" s="48" t="n">
        <v>28</v>
      </c>
      <c r="AR223" s="48" t="n">
        <v>5</v>
      </c>
      <c r="AS223" s="48" t="n">
        <v>4</v>
      </c>
      <c r="AT223" s="48" t="n">
        <v>10</v>
      </c>
      <c r="AU223" s="48" t="n">
        <v>238</v>
      </c>
      <c r="AV223" s="48" t="n">
        <v>11</v>
      </c>
      <c r="AW223" s="48" t="n">
        <v>7</v>
      </c>
      <c r="AX223" s="48" t="n">
        <v>16</v>
      </c>
      <c r="AY223" s="48" t="n">
        <v>34</v>
      </c>
      <c r="AZ223" s="48" t="n">
        <v>21</v>
      </c>
      <c r="BA223" s="48" t="n">
        <v>4</v>
      </c>
      <c r="BB223" s="48" t="n">
        <v>24</v>
      </c>
      <c r="BC223" s="48" t="n">
        <v>8</v>
      </c>
      <c r="BD223" s="48" t="n">
        <v>27</v>
      </c>
      <c r="BE223" s="48" t="n">
        <v>9</v>
      </c>
      <c r="BF223" s="48" t="n">
        <v>12</v>
      </c>
      <c r="BG223" s="49" t="n">
        <v>7.95</v>
      </c>
    </row>
    <row r="224" customFormat="false" ht="15" hidden="false" customHeight="false" outlineLevel="0" collapsed="false">
      <c r="A224" s="43" t="s">
        <v>684</v>
      </c>
      <c r="B224" s="43" t="s">
        <v>685</v>
      </c>
      <c r="C224" s="44" t="str">
        <f aca="false">IF(A224="","",IFERROR(INDEX(Assumptions!$B$41:$B$55,MATCH(TRUE(),INDEX(ISNUMBER(SEARCH(" "&amp;Assumptions!$A$41:$A$55&amp;" "," "&amp;SUBSTITUTE(SUBSTITUTE(SUBSTITUTE(SUBSTITUTE(B224,"-"," "),","," "),"/"," "),"."," ")&amp;" ")),0),0)),"Other"))</f>
        <v>Kitchen</v>
      </c>
      <c r="D224" s="45" t="n">
        <f aca="false">IF(A224="","",BG224*(1-Assumptions!$B$18))</f>
        <v>2.25</v>
      </c>
      <c r="E224" s="46" t="n">
        <f aca="false">IF(A224="","",INDEX(Assumptions!$B$23:$B$26,MOD(VALUE(LEFT(A224,5)),4)+1))</f>
        <v>6</v>
      </c>
      <c r="F224" s="47" t="n">
        <v>732</v>
      </c>
      <c r="G224" s="48" t="n">
        <v>48</v>
      </c>
      <c r="H224" s="48" t="n">
        <v>28</v>
      </c>
      <c r="I224" s="48" t="n">
        <v>62</v>
      </c>
      <c r="J224" s="48" t="n">
        <v>0</v>
      </c>
      <c r="K224" s="48" t="n">
        <v>8</v>
      </c>
      <c r="L224" s="48" t="n">
        <v>154</v>
      </c>
      <c r="M224" s="48" t="n">
        <v>12</v>
      </c>
      <c r="N224" s="48" t="n">
        <v>6</v>
      </c>
      <c r="O224" s="48" t="n">
        <v>49</v>
      </c>
      <c r="P224" s="48" t="n">
        <v>225</v>
      </c>
      <c r="Q224" s="48" t="n">
        <v>108</v>
      </c>
      <c r="R224" s="48" t="n">
        <v>38</v>
      </c>
      <c r="S224" s="48" t="n">
        <v>140</v>
      </c>
      <c r="T224" s="48" t="n">
        <v>31</v>
      </c>
      <c r="U224" s="48" t="n">
        <v>14</v>
      </c>
      <c r="V224" s="48" t="n">
        <v>36</v>
      </c>
      <c r="W224" s="48" t="n">
        <v>25</v>
      </c>
      <c r="X224" s="48" t="n">
        <v>127</v>
      </c>
      <c r="Y224" s="48" t="n">
        <v>54</v>
      </c>
      <c r="Z224" s="48" t="n">
        <v>6</v>
      </c>
      <c r="AA224" s="48" t="n">
        <v>15</v>
      </c>
      <c r="AB224" s="48" t="n">
        <v>58</v>
      </c>
      <c r="AC224" s="48" t="n">
        <v>83</v>
      </c>
      <c r="AD224" s="48" t="n">
        <v>18</v>
      </c>
      <c r="AE224" s="48" t="n">
        <v>72</v>
      </c>
      <c r="AF224" s="48" t="n">
        <v>17</v>
      </c>
      <c r="AG224" s="48" t="n">
        <v>5</v>
      </c>
      <c r="AH224" s="48" t="n">
        <v>10</v>
      </c>
      <c r="AI224" s="48" t="n">
        <v>4</v>
      </c>
      <c r="AJ224" s="48" t="n">
        <v>80</v>
      </c>
      <c r="AK224" s="48" t="n">
        <v>15</v>
      </c>
      <c r="AL224" s="48" t="n">
        <v>15</v>
      </c>
      <c r="AM224" s="48" t="n">
        <v>17</v>
      </c>
      <c r="AN224" s="48" t="n">
        <v>76</v>
      </c>
      <c r="AO224" s="48" t="n">
        <v>36</v>
      </c>
      <c r="AP224" s="48" t="n">
        <v>79</v>
      </c>
      <c r="AQ224" s="48" t="n">
        <v>26</v>
      </c>
      <c r="AR224" s="48" t="n">
        <v>94</v>
      </c>
      <c r="AS224" s="48" t="n">
        <v>31</v>
      </c>
      <c r="AT224" s="48" t="n">
        <v>58</v>
      </c>
      <c r="AU224" s="48" t="n">
        <v>11</v>
      </c>
      <c r="AV224" s="48" t="n">
        <v>10</v>
      </c>
      <c r="AW224" s="48" t="n">
        <v>15</v>
      </c>
      <c r="AX224" s="48" t="n">
        <v>11</v>
      </c>
      <c r="AY224" s="48" t="n">
        <v>21</v>
      </c>
      <c r="AZ224" s="48" t="n">
        <v>11</v>
      </c>
      <c r="BA224" s="48" t="n">
        <v>25</v>
      </c>
      <c r="BB224" s="48" t="n">
        <v>24</v>
      </c>
      <c r="BC224" s="48" t="n">
        <v>64</v>
      </c>
      <c r="BD224" s="48" t="n">
        <v>81</v>
      </c>
      <c r="BE224" s="48" t="n">
        <v>88</v>
      </c>
      <c r="BF224" s="48" t="n">
        <v>37</v>
      </c>
      <c r="BG224" s="49" t="n">
        <v>3.75</v>
      </c>
    </row>
    <row r="225" customFormat="false" ht="15" hidden="false" customHeight="false" outlineLevel="0" collapsed="false">
      <c r="A225" s="43" t="s">
        <v>686</v>
      </c>
      <c r="B225" s="43" t="s">
        <v>687</v>
      </c>
      <c r="C225" s="44" t="str">
        <f aca="false">IF(A225="","",IFERROR(INDEX(Assumptions!$B$41:$B$55,MATCH(TRUE(),INDEX(ISNUMBER(SEARCH(" "&amp;Assumptions!$A$41:$A$55&amp;" "," "&amp;SUBSTITUTE(SUBSTITUTE(SUBSTITUTE(SUBSTITUTE(B225,"-"," "),","," "),"/"," "),"."," ")&amp;" ")),0),0)),"Other"))</f>
        <v>Cards/Gifts</v>
      </c>
      <c r="D225" s="45" t="n">
        <f aca="false">IF(A225="","",BG225*(1-Assumptions!$B$18))</f>
        <v>0.75</v>
      </c>
      <c r="E225" s="46" t="n">
        <f aca="false">IF(A225="","",INDEX(Assumptions!$B$23:$B$26,MOD(VALUE(LEFT(A225,5)),4)+1))</f>
        <v>8</v>
      </c>
      <c r="F225" s="47" t="n">
        <v>833</v>
      </c>
      <c r="G225" s="48" t="n">
        <v>608</v>
      </c>
      <c r="H225" s="48" t="n">
        <v>135</v>
      </c>
      <c r="I225" s="48" t="n">
        <v>4</v>
      </c>
      <c r="J225" s="48" t="n">
        <v>0</v>
      </c>
      <c r="K225" s="48" t="n">
        <v>88</v>
      </c>
      <c r="L225" s="48" t="n">
        <v>66</v>
      </c>
      <c r="M225" s="48" t="n">
        <v>47</v>
      </c>
      <c r="N225" s="48" t="n">
        <v>169</v>
      </c>
      <c r="O225" s="48" t="n">
        <v>38</v>
      </c>
      <c r="P225" s="48" t="n">
        <v>51</v>
      </c>
      <c r="Q225" s="48" t="n">
        <v>66</v>
      </c>
      <c r="R225" s="48" t="n">
        <v>138</v>
      </c>
      <c r="S225" s="48" t="n">
        <v>45</v>
      </c>
      <c r="T225" s="48" t="n">
        <v>3</v>
      </c>
      <c r="U225" s="48" t="n">
        <v>203</v>
      </c>
      <c r="V225" s="48" t="n">
        <v>54</v>
      </c>
      <c r="W225" s="48" t="n">
        <v>206</v>
      </c>
      <c r="X225" s="48" t="n">
        <v>50</v>
      </c>
      <c r="Y225" s="48" t="n">
        <v>114</v>
      </c>
      <c r="Z225" s="48" t="n">
        <v>39</v>
      </c>
      <c r="AA225" s="48" t="n">
        <v>31</v>
      </c>
      <c r="AB225" s="48" t="n">
        <v>13</v>
      </c>
      <c r="AC225" s="48" t="n">
        <v>82</v>
      </c>
      <c r="AD225" s="48" t="n">
        <v>266</v>
      </c>
      <c r="AE225" s="48" t="n">
        <v>3</v>
      </c>
      <c r="AF225" s="48" t="n">
        <v>39</v>
      </c>
      <c r="AG225" s="48" t="n">
        <v>93</v>
      </c>
      <c r="AH225" s="48" t="n">
        <v>129</v>
      </c>
      <c r="AI225" s="48" t="n">
        <v>55</v>
      </c>
      <c r="AJ225" s="48" t="n">
        <v>77</v>
      </c>
      <c r="AK225" s="48" t="n">
        <v>55</v>
      </c>
      <c r="AL225" s="48" t="n">
        <v>10</v>
      </c>
      <c r="AM225" s="48" t="n">
        <v>59</v>
      </c>
      <c r="AN225" s="48" t="n">
        <v>59</v>
      </c>
      <c r="AO225" s="48" t="n">
        <v>695</v>
      </c>
      <c r="AP225" s="48" t="n">
        <v>179</v>
      </c>
      <c r="AQ225" s="48" t="n">
        <v>127</v>
      </c>
      <c r="AR225" s="48" t="n">
        <v>85</v>
      </c>
      <c r="AS225" s="48" t="n">
        <v>239</v>
      </c>
      <c r="AT225" s="48" t="n">
        <v>148</v>
      </c>
      <c r="AU225" s="48" t="n">
        <v>53</v>
      </c>
      <c r="AV225" s="48" t="n">
        <v>190</v>
      </c>
      <c r="AW225" s="48" t="n">
        <v>79</v>
      </c>
      <c r="AX225" s="48" t="n">
        <v>224</v>
      </c>
      <c r="AY225" s="48" t="n">
        <v>127</v>
      </c>
      <c r="AZ225" s="48" t="n">
        <v>211</v>
      </c>
      <c r="BA225" s="48" t="n">
        <v>81</v>
      </c>
      <c r="BB225" s="48" t="n">
        <v>161</v>
      </c>
      <c r="BC225" s="48" t="n">
        <v>494</v>
      </c>
      <c r="BD225" s="48" t="n">
        <v>586</v>
      </c>
      <c r="BE225" s="48" t="n">
        <v>245</v>
      </c>
      <c r="BF225" s="48" t="n">
        <v>197</v>
      </c>
      <c r="BG225" s="49" t="n">
        <v>1.25</v>
      </c>
    </row>
    <row r="226" customFormat="false" ht="15" hidden="false" customHeight="false" outlineLevel="0" collapsed="false">
      <c r="A226" s="43" t="s">
        <v>688</v>
      </c>
      <c r="B226" s="43" t="s">
        <v>689</v>
      </c>
      <c r="C226" s="44" t="str">
        <f aca="false">IF(A226="","",IFERROR(INDEX(Assumptions!$B$41:$B$55,MATCH(TRUE(),INDEX(ISNUMBER(SEARCH(" "&amp;Assumptions!$A$41:$A$55&amp;" "," "&amp;SUBSTITUTE(SUBSTITUTE(SUBSTITUTE(SUBSTITUTE(B226,"-"," "),","," "),"/"," "),"."," ")&amp;" ")),0),0)),"Other"))</f>
        <v>Kitchen</v>
      </c>
      <c r="D226" s="45" t="n">
        <f aca="false">IF(A226="","",BG226*(1-Assumptions!$B$18))</f>
        <v>0.99</v>
      </c>
      <c r="E226" s="46" t="n">
        <f aca="false">IF(A226="","",INDEX(Assumptions!$B$23:$B$26,MOD(VALUE(LEFT(A226,5)),4)+1))</f>
        <v>2</v>
      </c>
      <c r="F226" s="47" t="n">
        <v>1245</v>
      </c>
      <c r="G226" s="48" t="n">
        <v>171</v>
      </c>
      <c r="H226" s="48" t="n">
        <v>123</v>
      </c>
      <c r="I226" s="48" t="n">
        <v>53</v>
      </c>
      <c r="J226" s="48" t="n">
        <v>0</v>
      </c>
      <c r="K226" s="48" t="n">
        <v>100</v>
      </c>
      <c r="L226" s="48" t="n">
        <v>92</v>
      </c>
      <c r="M226" s="48" t="n">
        <v>85</v>
      </c>
      <c r="N226" s="48" t="n">
        <v>208</v>
      </c>
      <c r="O226" s="48" t="n">
        <v>48</v>
      </c>
      <c r="P226" s="48" t="n">
        <v>56</v>
      </c>
      <c r="Q226" s="48" t="n">
        <v>133</v>
      </c>
      <c r="R226" s="48" t="n">
        <v>77</v>
      </c>
      <c r="S226" s="48" t="n">
        <v>272</v>
      </c>
      <c r="T226" s="48" t="n">
        <v>44</v>
      </c>
      <c r="U226" s="48" t="n">
        <v>112</v>
      </c>
      <c r="V226" s="48" t="n">
        <v>102</v>
      </c>
      <c r="W226" s="48" t="n">
        <v>296</v>
      </c>
      <c r="X226" s="48" t="n">
        <v>79</v>
      </c>
      <c r="Y226" s="48" t="n">
        <v>122</v>
      </c>
      <c r="Z226" s="48" t="n">
        <v>62</v>
      </c>
      <c r="AA226" s="48" t="n">
        <v>50</v>
      </c>
      <c r="AB226" s="48" t="n">
        <v>86</v>
      </c>
      <c r="AC226" s="48" t="n">
        <v>87</v>
      </c>
      <c r="AD226" s="48" t="n">
        <v>84</v>
      </c>
      <c r="AE226" s="48" t="n">
        <v>116</v>
      </c>
      <c r="AF226" s="48" t="n">
        <v>72</v>
      </c>
      <c r="AG226" s="48" t="n">
        <v>40</v>
      </c>
      <c r="AH226" s="48" t="n">
        <v>84</v>
      </c>
      <c r="AI226" s="48" t="n">
        <v>67</v>
      </c>
      <c r="AJ226" s="48" t="n">
        <v>152</v>
      </c>
      <c r="AK226" s="48" t="n">
        <v>110</v>
      </c>
      <c r="AL226" s="48" t="n">
        <v>49</v>
      </c>
      <c r="AM226" s="48" t="n">
        <v>50</v>
      </c>
      <c r="AN226" s="48" t="n">
        <v>185</v>
      </c>
      <c r="AO226" s="48" t="n">
        <v>50</v>
      </c>
      <c r="AP226" s="48" t="n">
        <v>113</v>
      </c>
      <c r="AQ226" s="48" t="n">
        <v>88</v>
      </c>
      <c r="AR226" s="48" t="n">
        <v>89</v>
      </c>
      <c r="AS226" s="48" t="n">
        <v>88</v>
      </c>
      <c r="AT226" s="48" t="n">
        <v>160</v>
      </c>
      <c r="AU226" s="48" t="n">
        <v>114</v>
      </c>
      <c r="AV226" s="48" t="n">
        <v>233</v>
      </c>
      <c r="AW226" s="48" t="n">
        <v>100</v>
      </c>
      <c r="AX226" s="48" t="n">
        <v>100</v>
      </c>
      <c r="AY226" s="48" t="n">
        <v>116</v>
      </c>
      <c r="AZ226" s="48" t="n">
        <v>156</v>
      </c>
      <c r="BA226" s="48" t="n">
        <v>201</v>
      </c>
      <c r="BB226" s="48" t="n">
        <v>117</v>
      </c>
      <c r="BC226" s="48" t="n">
        <v>115</v>
      </c>
      <c r="BD226" s="48" t="n">
        <v>142</v>
      </c>
      <c r="BE226" s="48" t="n">
        <v>305</v>
      </c>
      <c r="BF226" s="48" t="n">
        <v>131</v>
      </c>
      <c r="BG226" s="49" t="n">
        <v>1.65</v>
      </c>
    </row>
    <row r="227" customFormat="false" ht="15" hidden="false" customHeight="false" outlineLevel="0" collapsed="false">
      <c r="A227" s="43" t="s">
        <v>690</v>
      </c>
      <c r="B227" s="43" t="s">
        <v>691</v>
      </c>
      <c r="C227" s="44" t="str">
        <f aca="false">IF(A227="","",IFERROR(INDEX(Assumptions!$B$41:$B$55,MATCH(TRUE(),INDEX(ISNUMBER(SEARCH(" "&amp;Assumptions!$A$41:$A$55&amp;" "," "&amp;SUBSTITUTE(SUBSTITUTE(SUBSTITUTE(SUBSTITUTE(B227,"-"," "),","," "),"/"," "),"."," ")&amp;" ")),0),0)),"Other"))</f>
        <v>Other</v>
      </c>
      <c r="D227" s="45" t="n">
        <f aca="false">IF(A227="","",BG227*(1-Assumptions!$B$18))</f>
        <v>1.77</v>
      </c>
      <c r="E227" s="46" t="n">
        <f aca="false">IF(A227="","",INDEX(Assumptions!$B$23:$B$26,MOD(VALUE(LEFT(A227,5)),4)+1))</f>
        <v>6</v>
      </c>
      <c r="F227" s="47" t="n">
        <v>2617</v>
      </c>
      <c r="G227" s="48" t="n">
        <v>58</v>
      </c>
      <c r="H227" s="48" t="n">
        <v>51</v>
      </c>
      <c r="I227" s="48" t="n">
        <v>14</v>
      </c>
      <c r="J227" s="48" t="n">
        <v>0</v>
      </c>
      <c r="K227" s="48" t="n">
        <v>62</v>
      </c>
      <c r="L227" s="48" t="n">
        <v>137</v>
      </c>
      <c r="M227" s="48" t="n">
        <v>89</v>
      </c>
      <c r="N227" s="48" t="n">
        <v>100</v>
      </c>
      <c r="O227" s="48" t="n">
        <v>159</v>
      </c>
      <c r="P227" s="48" t="n">
        <v>17</v>
      </c>
      <c r="Q227" s="48" t="n">
        <v>12</v>
      </c>
      <c r="R227" s="48" t="n">
        <v>64</v>
      </c>
      <c r="S227" s="48" t="n">
        <v>32</v>
      </c>
      <c r="T227" s="48" t="n">
        <v>88</v>
      </c>
      <c r="U227" s="48" t="n">
        <v>125</v>
      </c>
      <c r="V227" s="48" t="n">
        <v>17</v>
      </c>
      <c r="W227" s="48" t="n">
        <v>53</v>
      </c>
      <c r="X227" s="48" t="n">
        <v>86</v>
      </c>
      <c r="Y227" s="48" t="n">
        <v>82</v>
      </c>
      <c r="Z227" s="48" t="n">
        <v>53</v>
      </c>
      <c r="AA227" s="48" t="n">
        <v>19</v>
      </c>
      <c r="AB227" s="48" t="n">
        <v>23</v>
      </c>
      <c r="AC227" s="48" t="n">
        <v>45</v>
      </c>
      <c r="AD227" s="48" t="n">
        <v>33</v>
      </c>
      <c r="AE227" s="48" t="n">
        <v>34</v>
      </c>
      <c r="AF227" s="48" t="n">
        <v>22</v>
      </c>
      <c r="AG227" s="48" t="n">
        <v>43</v>
      </c>
      <c r="AH227" s="48" t="n">
        <v>35</v>
      </c>
      <c r="AI227" s="48" t="n">
        <v>21</v>
      </c>
      <c r="AJ227" s="48" t="n">
        <v>31</v>
      </c>
      <c r="AK227" s="48" t="n">
        <v>72</v>
      </c>
      <c r="AL227" s="48" t="n">
        <v>51</v>
      </c>
      <c r="AM227" s="48" t="n">
        <v>42</v>
      </c>
      <c r="AN227" s="48" t="n">
        <v>58</v>
      </c>
      <c r="AO227" s="48" t="n">
        <v>48</v>
      </c>
      <c r="AP227" s="48" t="n">
        <v>17</v>
      </c>
      <c r="AQ227" s="48" t="n">
        <v>26</v>
      </c>
      <c r="AR227" s="48" t="n">
        <v>36</v>
      </c>
      <c r="AS227" s="48" t="n">
        <v>31</v>
      </c>
      <c r="AT227" s="48" t="n">
        <v>139</v>
      </c>
      <c r="AU227" s="48" t="n">
        <v>36</v>
      </c>
      <c r="AV227" s="48" t="n">
        <v>497</v>
      </c>
      <c r="AW227" s="48" t="n">
        <v>85</v>
      </c>
      <c r="AX227" s="48" t="n">
        <v>47</v>
      </c>
      <c r="AY227" s="48" t="n">
        <v>49</v>
      </c>
      <c r="AZ227" s="48" t="n">
        <v>30</v>
      </c>
      <c r="BA227" s="48" t="n">
        <v>58</v>
      </c>
      <c r="BB227" s="48" t="n">
        <v>92</v>
      </c>
      <c r="BC227" s="48" t="n">
        <v>94</v>
      </c>
      <c r="BD227" s="48" t="n">
        <v>32</v>
      </c>
      <c r="BE227" s="48" t="n">
        <v>66</v>
      </c>
      <c r="BF227" s="48" t="n">
        <v>29</v>
      </c>
      <c r="BG227" s="49" t="n">
        <v>2.95</v>
      </c>
    </row>
    <row r="228" customFormat="false" ht="15" hidden="false" customHeight="false" outlineLevel="0" collapsed="false">
      <c r="A228" s="43" t="s">
        <v>692</v>
      </c>
      <c r="B228" s="43" t="s">
        <v>693</v>
      </c>
      <c r="C228" s="44" t="str">
        <f aca="false">IF(A228="","",IFERROR(INDEX(Assumptions!$B$41:$B$55,MATCH(TRUE(),INDEX(ISNUMBER(SEARCH(" "&amp;Assumptions!$A$41:$A$55&amp;" "," "&amp;SUBSTITUTE(SUBSTITUTE(SUBSTITUTE(SUBSTITUTE(B228,"-"," "),","," "),"/"," "),"."," ")&amp;" ")),0),0)),"Other"))</f>
        <v>Other</v>
      </c>
      <c r="D228" s="45" t="n">
        <f aca="false">IF(A228="","",BG228*(1-Assumptions!$B$18))</f>
        <v>5.1</v>
      </c>
      <c r="E228" s="46" t="n">
        <f aca="false">IF(A228="","",INDEX(Assumptions!$B$23:$B$26,MOD(VALUE(LEFT(A228,5)),4)+1))</f>
        <v>4</v>
      </c>
      <c r="F228" s="47" t="n">
        <v>22</v>
      </c>
      <c r="G228" s="48" t="n">
        <v>41</v>
      </c>
      <c r="H228" s="48" t="n">
        <v>26</v>
      </c>
      <c r="I228" s="48" t="n">
        <v>10</v>
      </c>
      <c r="J228" s="48" t="n">
        <v>0</v>
      </c>
      <c r="K228" s="48" t="n">
        <v>13</v>
      </c>
      <c r="L228" s="48" t="n">
        <v>36</v>
      </c>
      <c r="M228" s="48" t="n">
        <v>10</v>
      </c>
      <c r="N228" s="48" t="n">
        <v>23</v>
      </c>
      <c r="O228" s="48" t="n">
        <v>12</v>
      </c>
      <c r="P228" s="48" t="n">
        <v>9</v>
      </c>
      <c r="Q228" s="48" t="n">
        <v>4</v>
      </c>
      <c r="R228" s="48" t="n">
        <v>10</v>
      </c>
      <c r="S228" s="48" t="n">
        <v>19</v>
      </c>
      <c r="T228" s="48" t="n">
        <v>1</v>
      </c>
      <c r="U228" s="48" t="n">
        <v>17</v>
      </c>
      <c r="V228" s="48" t="n">
        <v>41</v>
      </c>
      <c r="W228" s="48" t="n">
        <v>22</v>
      </c>
      <c r="X228" s="48" t="n">
        <v>6</v>
      </c>
      <c r="Y228" s="48" t="n">
        <v>22</v>
      </c>
      <c r="Z228" s="48" t="n">
        <v>9</v>
      </c>
      <c r="AA228" s="48" t="n">
        <v>5</v>
      </c>
      <c r="AB228" s="48" t="n">
        <v>14</v>
      </c>
      <c r="AC228" s="48" t="n">
        <v>22</v>
      </c>
      <c r="AD228" s="48" t="n">
        <v>10</v>
      </c>
      <c r="AE228" s="48" t="n">
        <v>7</v>
      </c>
      <c r="AF228" s="48" t="n">
        <v>9</v>
      </c>
      <c r="AG228" s="48" t="n">
        <v>21</v>
      </c>
      <c r="AH228" s="48" t="n">
        <v>36</v>
      </c>
      <c r="AI228" s="48" t="n">
        <v>32</v>
      </c>
      <c r="AJ228" s="48" t="n">
        <v>11</v>
      </c>
      <c r="AK228" s="48" t="n">
        <v>7</v>
      </c>
      <c r="AL228" s="48" t="n">
        <v>16</v>
      </c>
      <c r="AM228" s="48" t="n">
        <v>28</v>
      </c>
      <c r="AN228" s="48" t="n">
        <v>20</v>
      </c>
      <c r="AO228" s="48" t="n">
        <v>27</v>
      </c>
      <c r="AP228" s="48" t="n">
        <v>22</v>
      </c>
      <c r="AQ228" s="48" t="n">
        <v>20</v>
      </c>
      <c r="AR228" s="48" t="n">
        <v>8</v>
      </c>
      <c r="AS228" s="48" t="n">
        <v>23</v>
      </c>
      <c r="AT228" s="48" t="n">
        <v>33</v>
      </c>
      <c r="AU228" s="48" t="n">
        <v>27</v>
      </c>
      <c r="AV228" s="48" t="n">
        <v>146</v>
      </c>
      <c r="AW228" s="48" t="n">
        <v>11</v>
      </c>
      <c r="AX228" s="48" t="n">
        <v>22</v>
      </c>
      <c r="AY228" s="48" t="n">
        <v>39</v>
      </c>
      <c r="AZ228" s="48" t="n">
        <v>18</v>
      </c>
      <c r="BA228" s="48" t="n">
        <v>21</v>
      </c>
      <c r="BB228" s="48" t="n">
        <v>22</v>
      </c>
      <c r="BC228" s="48" t="n">
        <v>18</v>
      </c>
      <c r="BD228" s="48" t="n">
        <v>9</v>
      </c>
      <c r="BE228" s="48" t="n">
        <v>67</v>
      </c>
      <c r="BF228" s="48" t="n">
        <v>16</v>
      </c>
      <c r="BG228" s="49" t="n">
        <v>8.5</v>
      </c>
    </row>
    <row r="229" customFormat="false" ht="15" hidden="false" customHeight="false" outlineLevel="0" collapsed="false">
      <c r="A229" s="43" t="s">
        <v>694</v>
      </c>
      <c r="B229" s="43" t="s">
        <v>695</v>
      </c>
      <c r="C229" s="44" t="str">
        <f aca="false">IF(A229="","",IFERROR(INDEX(Assumptions!$B$41:$B$55,MATCH(TRUE(),INDEX(ISNUMBER(SEARCH(" "&amp;Assumptions!$A$41:$A$55&amp;" "," "&amp;SUBSTITUTE(SUBSTITUTE(SUBSTITUTE(SUBSTITUTE(B229,"-"," "),","," "),"/"," "),"."," ")&amp;" ")),0),0)),"Other"))</f>
        <v>Other</v>
      </c>
      <c r="D229" s="45" t="n">
        <f aca="false">IF(A229="","",BG229*(1-Assumptions!$B$18))</f>
        <v>0.75</v>
      </c>
      <c r="E229" s="46" t="n">
        <f aca="false">IF(A229="","",INDEX(Assumptions!$B$23:$B$26,MOD(VALUE(LEFT(A229,5)),4)+1))</f>
        <v>6</v>
      </c>
      <c r="F229" s="47" t="n">
        <v>1834</v>
      </c>
      <c r="G229" s="48" t="n">
        <v>241</v>
      </c>
      <c r="H229" s="48" t="n">
        <v>185</v>
      </c>
      <c r="I229" s="48" t="n">
        <v>3</v>
      </c>
      <c r="J229" s="48" t="n">
        <v>0</v>
      </c>
      <c r="K229" s="48" t="n">
        <v>262</v>
      </c>
      <c r="L229" s="48" t="n">
        <v>24</v>
      </c>
      <c r="M229" s="48" t="n">
        <v>41</v>
      </c>
      <c r="N229" s="48" t="n">
        <v>50</v>
      </c>
      <c r="O229" s="48" t="n">
        <v>111</v>
      </c>
      <c r="P229" s="48" t="n">
        <v>13</v>
      </c>
      <c r="Q229" s="48" t="n">
        <v>27</v>
      </c>
      <c r="R229" s="48" t="n">
        <v>62</v>
      </c>
      <c r="S229" s="48" t="n">
        <v>264</v>
      </c>
      <c r="T229" s="48" t="n">
        <v>70</v>
      </c>
      <c r="U229" s="48" t="n">
        <v>132</v>
      </c>
      <c r="V229" s="48" t="n">
        <v>115</v>
      </c>
      <c r="W229" s="48" t="n">
        <v>135</v>
      </c>
      <c r="X229" s="48" t="n">
        <v>115</v>
      </c>
      <c r="Y229" s="48" t="n">
        <v>0</v>
      </c>
      <c r="Z229" s="48" t="n">
        <v>77</v>
      </c>
      <c r="AA229" s="48" t="n">
        <v>24</v>
      </c>
      <c r="AB229" s="48" t="n">
        <v>90</v>
      </c>
      <c r="AC229" s="48" t="n">
        <v>369</v>
      </c>
      <c r="AD229" s="48" t="n">
        <v>120</v>
      </c>
      <c r="AE229" s="48" t="n">
        <v>73</v>
      </c>
      <c r="AF229" s="48" t="n">
        <v>24</v>
      </c>
      <c r="AG229" s="48" t="n">
        <v>48</v>
      </c>
      <c r="AH229" s="48" t="n">
        <v>214</v>
      </c>
      <c r="AI229" s="48" t="n">
        <v>13</v>
      </c>
      <c r="AJ229" s="48" t="n">
        <v>40</v>
      </c>
      <c r="AK229" s="48" t="n">
        <v>45</v>
      </c>
      <c r="AL229" s="48" t="n">
        <v>13</v>
      </c>
      <c r="AM229" s="48" t="n">
        <v>217</v>
      </c>
      <c r="AN229" s="48" t="n">
        <v>160</v>
      </c>
      <c r="AO229" s="48" t="n">
        <v>96</v>
      </c>
      <c r="AP229" s="48" t="n">
        <v>32</v>
      </c>
      <c r="AQ229" s="48" t="n">
        <v>264</v>
      </c>
      <c r="AR229" s="48" t="n">
        <v>78</v>
      </c>
      <c r="AS229" s="48" t="n">
        <v>39</v>
      </c>
      <c r="AT229" s="48" t="n">
        <v>201</v>
      </c>
      <c r="AU229" s="48" t="n">
        <v>160</v>
      </c>
      <c r="AV229" s="48" t="n">
        <v>228</v>
      </c>
      <c r="AW229" s="48" t="n">
        <v>217</v>
      </c>
      <c r="AX229" s="48" t="n">
        <v>264</v>
      </c>
      <c r="AY229" s="48" t="n">
        <v>200</v>
      </c>
      <c r="AZ229" s="48" t="n">
        <v>149</v>
      </c>
      <c r="BA229" s="48" t="n">
        <v>237</v>
      </c>
      <c r="BB229" s="48" t="n">
        <v>120</v>
      </c>
      <c r="BC229" s="48" t="n">
        <v>244</v>
      </c>
      <c r="BD229" s="48" t="n">
        <v>588</v>
      </c>
      <c r="BE229" s="48" t="n">
        <v>483</v>
      </c>
      <c r="BF229" s="48" t="n">
        <v>358</v>
      </c>
      <c r="BG229" s="49" t="n">
        <v>1.25</v>
      </c>
    </row>
    <row r="230" customFormat="false" ht="15" hidden="false" customHeight="false" outlineLevel="0" collapsed="false">
      <c r="A230" s="43" t="s">
        <v>696</v>
      </c>
      <c r="B230" s="43" t="s">
        <v>697</v>
      </c>
      <c r="C230" s="44" t="str">
        <f aca="false">IF(A230="","",IFERROR(INDEX(Assumptions!$B$41:$B$55,MATCH(TRUE(),INDEX(ISNUMBER(SEARCH(" "&amp;Assumptions!$A$41:$A$55&amp;" "," "&amp;SUBSTITUTE(SUBSTITUTE(SUBSTITUTE(SUBSTITUTE(B230,"-"," "),","," "),"/"," "),"."," ")&amp;" ")),0),0)),"Other"))</f>
        <v>Other</v>
      </c>
      <c r="D230" s="45" t="n">
        <f aca="false">IF(A230="","",BG230*(1-Assumptions!$B$18))</f>
        <v>0.99</v>
      </c>
      <c r="E230" s="46" t="n">
        <f aca="false">IF(A230="","",INDEX(Assumptions!$B$23:$B$26,MOD(VALUE(LEFT(A230,5)),4)+1))</f>
        <v>4</v>
      </c>
      <c r="F230" s="47" t="n">
        <v>1815</v>
      </c>
      <c r="G230" s="48" t="n">
        <v>146</v>
      </c>
      <c r="H230" s="48" t="n">
        <v>101</v>
      </c>
      <c r="I230" s="48" t="n">
        <v>19</v>
      </c>
      <c r="J230" s="48" t="n">
        <v>0</v>
      </c>
      <c r="K230" s="48" t="n">
        <v>12</v>
      </c>
      <c r="L230" s="48" t="n">
        <v>75</v>
      </c>
      <c r="M230" s="48" t="n">
        <v>3</v>
      </c>
      <c r="N230" s="48" t="n">
        <v>30</v>
      </c>
      <c r="O230" s="48" t="n">
        <v>159</v>
      </c>
      <c r="P230" s="48" t="n">
        <v>22</v>
      </c>
      <c r="Q230" s="48" t="n">
        <v>61</v>
      </c>
      <c r="R230" s="48" t="n">
        <v>60</v>
      </c>
      <c r="S230" s="48" t="n">
        <v>77</v>
      </c>
      <c r="T230" s="48" t="n">
        <v>74</v>
      </c>
      <c r="U230" s="48" t="n">
        <v>92</v>
      </c>
      <c r="V230" s="48" t="n">
        <v>60</v>
      </c>
      <c r="W230" s="48" t="n">
        <v>213</v>
      </c>
      <c r="X230" s="48" t="n">
        <v>40</v>
      </c>
      <c r="Y230" s="48" t="n">
        <v>132</v>
      </c>
      <c r="Z230" s="48" t="n">
        <v>104</v>
      </c>
      <c r="AA230" s="48" t="n">
        <v>72</v>
      </c>
      <c r="AB230" s="48" t="n">
        <v>68</v>
      </c>
      <c r="AC230" s="48" t="n">
        <v>91</v>
      </c>
      <c r="AD230" s="48" t="n">
        <v>153</v>
      </c>
      <c r="AE230" s="48" t="n">
        <v>100</v>
      </c>
      <c r="AF230" s="48" t="n">
        <v>42</v>
      </c>
      <c r="AG230" s="48" t="n">
        <v>80</v>
      </c>
      <c r="AH230" s="48" t="n">
        <v>47</v>
      </c>
      <c r="AI230" s="48" t="n">
        <v>38</v>
      </c>
      <c r="AJ230" s="48" t="n">
        <v>20</v>
      </c>
      <c r="AK230" s="48" t="n">
        <v>33</v>
      </c>
      <c r="AL230" s="48" t="n">
        <v>81</v>
      </c>
      <c r="AM230" s="48" t="n">
        <v>19</v>
      </c>
      <c r="AN230" s="48" t="n">
        <v>230</v>
      </c>
      <c r="AO230" s="48" t="n">
        <v>158</v>
      </c>
      <c r="AP230" s="48" t="n">
        <v>169</v>
      </c>
      <c r="AQ230" s="48" t="n">
        <v>79</v>
      </c>
      <c r="AR230" s="48" t="n">
        <v>124</v>
      </c>
      <c r="AS230" s="48" t="n">
        <v>80</v>
      </c>
      <c r="AT230" s="48" t="n">
        <v>86</v>
      </c>
      <c r="AU230" s="48" t="n">
        <v>164</v>
      </c>
      <c r="AV230" s="48" t="n">
        <v>116</v>
      </c>
      <c r="AW230" s="48" t="n">
        <v>80</v>
      </c>
      <c r="AX230" s="48" t="n">
        <v>185</v>
      </c>
      <c r="AY230" s="48" t="n">
        <v>210</v>
      </c>
      <c r="AZ230" s="48" t="n">
        <v>173</v>
      </c>
      <c r="BA230" s="48" t="n">
        <v>165</v>
      </c>
      <c r="BB230" s="48" t="n">
        <v>284</v>
      </c>
      <c r="BC230" s="48" t="n">
        <v>271</v>
      </c>
      <c r="BD230" s="48" t="n">
        <v>551</v>
      </c>
      <c r="BE230" s="48" t="n">
        <v>255</v>
      </c>
      <c r="BF230" s="48" t="n">
        <v>196</v>
      </c>
      <c r="BG230" s="49" t="n">
        <v>1.65</v>
      </c>
    </row>
    <row r="231" customFormat="false" ht="15" hidden="false" customHeight="false" outlineLevel="0" collapsed="false">
      <c r="A231" s="43" t="s">
        <v>698</v>
      </c>
      <c r="B231" s="43" t="s">
        <v>699</v>
      </c>
      <c r="C231" s="44" t="str">
        <f aca="false">IF(A231="","",IFERROR(INDEX(Assumptions!$B$41:$B$55,MATCH(TRUE(),INDEX(ISNUMBER(SEARCH(" "&amp;Assumptions!$A$41:$A$55&amp;" "," "&amp;SUBSTITUTE(SUBSTITUTE(SUBSTITUTE(SUBSTITUTE(B231,"-"," "),","," "),"/"," "),"."," ")&amp;" ")),0),0)),"Other"))</f>
        <v>Other</v>
      </c>
      <c r="D231" s="45" t="n">
        <f aca="false">IF(A231="","",BG231*(1-Assumptions!$B$18))</f>
        <v>1.53</v>
      </c>
      <c r="E231" s="46" t="n">
        <f aca="false">IF(A231="","",INDEX(Assumptions!$B$23:$B$26,MOD(VALUE(LEFT(A231,5)),4)+1))</f>
        <v>8</v>
      </c>
      <c r="F231" s="47" t="n">
        <v>819</v>
      </c>
      <c r="G231" s="48" t="n">
        <v>56</v>
      </c>
      <c r="H231" s="48" t="n">
        <v>83</v>
      </c>
      <c r="I231" s="48" t="n">
        <v>9</v>
      </c>
      <c r="J231" s="48" t="n">
        <v>0</v>
      </c>
      <c r="K231" s="48" t="n">
        <v>39</v>
      </c>
      <c r="L231" s="48" t="n">
        <v>30</v>
      </c>
      <c r="M231" s="48" t="n">
        <v>149</v>
      </c>
      <c r="N231" s="48" t="n">
        <v>120</v>
      </c>
      <c r="O231" s="48" t="n">
        <v>40</v>
      </c>
      <c r="P231" s="48" t="n">
        <v>20</v>
      </c>
      <c r="Q231" s="48" t="n">
        <v>92</v>
      </c>
      <c r="R231" s="48" t="n">
        <v>127</v>
      </c>
      <c r="S231" s="48" t="n">
        <v>47</v>
      </c>
      <c r="T231" s="48" t="n">
        <v>38</v>
      </c>
      <c r="U231" s="48" t="n">
        <v>83</v>
      </c>
      <c r="V231" s="48" t="n">
        <v>55</v>
      </c>
      <c r="W231" s="48" t="n">
        <v>235</v>
      </c>
      <c r="X231" s="48" t="n">
        <v>49</v>
      </c>
      <c r="Y231" s="48" t="n">
        <v>54</v>
      </c>
      <c r="Z231" s="48" t="n">
        <v>39</v>
      </c>
      <c r="AA231" s="48" t="n">
        <v>82</v>
      </c>
      <c r="AB231" s="48" t="n">
        <v>44</v>
      </c>
      <c r="AC231" s="48" t="n">
        <v>218</v>
      </c>
      <c r="AD231" s="48" t="n">
        <v>33</v>
      </c>
      <c r="AE231" s="48" t="n">
        <v>259</v>
      </c>
      <c r="AF231" s="48" t="n">
        <v>63</v>
      </c>
      <c r="AG231" s="48" t="n">
        <v>85</v>
      </c>
      <c r="AH231" s="48" t="n">
        <v>33</v>
      </c>
      <c r="AI231" s="48" t="n">
        <v>80</v>
      </c>
      <c r="AJ231" s="48" t="n">
        <v>152</v>
      </c>
      <c r="AK231" s="48" t="n">
        <v>40</v>
      </c>
      <c r="AL231" s="48" t="n">
        <v>34</v>
      </c>
      <c r="AM231" s="48" t="n">
        <v>84</v>
      </c>
      <c r="AN231" s="48" t="n">
        <v>28</v>
      </c>
      <c r="AO231" s="48" t="n">
        <v>76</v>
      </c>
      <c r="AP231" s="48" t="n">
        <v>154</v>
      </c>
      <c r="AQ231" s="48" t="n">
        <v>33</v>
      </c>
      <c r="AR231" s="48" t="n">
        <v>15</v>
      </c>
      <c r="AS231" s="48" t="n">
        <v>42</v>
      </c>
      <c r="AT231" s="48" t="n">
        <v>34</v>
      </c>
      <c r="AU231" s="48" t="n">
        <v>19</v>
      </c>
      <c r="AV231" s="48" t="n">
        <v>177</v>
      </c>
      <c r="AW231" s="48" t="n">
        <v>21</v>
      </c>
      <c r="AX231" s="48" t="n">
        <v>154</v>
      </c>
      <c r="AY231" s="48" t="n">
        <v>66</v>
      </c>
      <c r="AZ231" s="48" t="n">
        <v>139</v>
      </c>
      <c r="BA231" s="48" t="n">
        <v>71</v>
      </c>
      <c r="BB231" s="48" t="n">
        <v>76</v>
      </c>
      <c r="BC231" s="48" t="n">
        <v>17</v>
      </c>
      <c r="BD231" s="48" t="n">
        <v>93</v>
      </c>
      <c r="BE231" s="48" t="n">
        <v>57</v>
      </c>
      <c r="BF231" s="48" t="n">
        <v>28</v>
      </c>
      <c r="BG231" s="49" t="n">
        <v>2.55</v>
      </c>
    </row>
    <row r="232" customFormat="false" ht="15" hidden="false" customHeight="false" outlineLevel="0" collapsed="false">
      <c r="A232" s="43" t="s">
        <v>700</v>
      </c>
      <c r="B232" s="43" t="s">
        <v>701</v>
      </c>
      <c r="C232" s="44" t="str">
        <f aca="false">IF(A232="","",IFERROR(INDEX(Assumptions!$B$41:$B$55,MATCH(TRUE(),INDEX(ISNUMBER(SEARCH(" "&amp;Assumptions!$A$41:$A$55&amp;" "," "&amp;SUBSTITUTE(SUBSTITUTE(SUBSTITUTE(SUBSTITUTE(B232,"-"," "),","," "),"/"," "),"."," ")&amp;" ")),0),0)),"Other"))</f>
        <v>Other</v>
      </c>
      <c r="D232" s="45" t="n">
        <f aca="false">IF(A232="","",BG232*(1-Assumptions!$B$18))</f>
        <v>2.25</v>
      </c>
      <c r="E232" s="46" t="n">
        <f aca="false">IF(A232="","",INDEX(Assumptions!$B$23:$B$26,MOD(VALUE(LEFT(A232,5)),4)+1))</f>
        <v>6</v>
      </c>
      <c r="F232" s="47" t="n">
        <v>662</v>
      </c>
      <c r="G232" s="48" t="n">
        <v>0</v>
      </c>
      <c r="H232" s="48" t="n">
        <v>0</v>
      </c>
      <c r="I232" s="48" t="n">
        <v>0</v>
      </c>
      <c r="J232" s="48" t="n">
        <v>0</v>
      </c>
      <c r="K232" s="48" t="n">
        <v>0</v>
      </c>
      <c r="L232" s="48" t="n">
        <v>0</v>
      </c>
      <c r="M232" s="48" t="n">
        <v>0</v>
      </c>
      <c r="N232" s="48" t="n">
        <v>0</v>
      </c>
      <c r="O232" s="48" t="n">
        <v>0</v>
      </c>
      <c r="P232" s="48" t="n">
        <v>0</v>
      </c>
      <c r="Q232" s="48" t="n">
        <v>33</v>
      </c>
      <c r="R232" s="48" t="n">
        <v>58</v>
      </c>
      <c r="S232" s="48" t="n">
        <v>128</v>
      </c>
      <c r="T232" s="48" t="n">
        <v>92</v>
      </c>
      <c r="U232" s="48" t="n">
        <v>57</v>
      </c>
      <c r="V232" s="48" t="n">
        <v>52</v>
      </c>
      <c r="W232" s="48" t="n">
        <v>53</v>
      </c>
      <c r="X232" s="48" t="n">
        <v>43</v>
      </c>
      <c r="Y232" s="48" t="n">
        <v>14</v>
      </c>
      <c r="Z232" s="48" t="n">
        <v>26</v>
      </c>
      <c r="AA232" s="48" t="n">
        <v>12</v>
      </c>
      <c r="AB232" s="48" t="n">
        <v>57</v>
      </c>
      <c r="AC232" s="48" t="n">
        <v>24</v>
      </c>
      <c r="AD232" s="48" t="n">
        <v>42</v>
      </c>
      <c r="AE232" s="48" t="n">
        <v>14</v>
      </c>
      <c r="AF232" s="48" t="n">
        <v>12</v>
      </c>
      <c r="AG232" s="48" t="n">
        <v>7</v>
      </c>
      <c r="AH232" s="48" t="n">
        <v>223</v>
      </c>
      <c r="AI232" s="48" t="n">
        <v>3</v>
      </c>
      <c r="AJ232" s="48" t="n">
        <v>4</v>
      </c>
      <c r="AK232" s="48" t="n">
        <v>37</v>
      </c>
      <c r="AL232" s="48" t="n">
        <v>14</v>
      </c>
      <c r="AM232" s="48" t="n">
        <v>51</v>
      </c>
      <c r="AN232" s="48" t="n">
        <v>50</v>
      </c>
      <c r="AO232" s="48" t="n">
        <v>49</v>
      </c>
      <c r="AP232" s="48" t="n">
        <v>15</v>
      </c>
      <c r="AQ232" s="48" t="n">
        <v>186</v>
      </c>
      <c r="AR232" s="48" t="n">
        <v>15</v>
      </c>
      <c r="AS232" s="48" t="n">
        <v>85</v>
      </c>
      <c r="AT232" s="48" t="n">
        <v>2</v>
      </c>
      <c r="AU232" s="48" t="n">
        <v>1</v>
      </c>
      <c r="AV232" s="48" t="n">
        <v>726</v>
      </c>
      <c r="AW232" s="48" t="n">
        <v>63</v>
      </c>
      <c r="AX232" s="48" t="n">
        <v>69</v>
      </c>
      <c r="AY232" s="48" t="n">
        <v>24</v>
      </c>
      <c r="AZ232" s="48" t="n">
        <v>9</v>
      </c>
      <c r="BA232" s="48" t="n">
        <v>16</v>
      </c>
      <c r="BB232" s="48" t="n">
        <v>20</v>
      </c>
      <c r="BC232" s="48" t="n">
        <v>16</v>
      </c>
      <c r="BD232" s="48" t="n">
        <v>19</v>
      </c>
      <c r="BE232" s="48" t="n">
        <v>31</v>
      </c>
      <c r="BF232" s="48" t="n">
        <v>6</v>
      </c>
      <c r="BG232" s="49" t="n">
        <v>3.75</v>
      </c>
    </row>
    <row r="233" customFormat="false" ht="15" hidden="false" customHeight="false" outlineLevel="0" collapsed="false">
      <c r="A233" s="43" t="s">
        <v>702</v>
      </c>
      <c r="B233" s="43" t="s">
        <v>703</v>
      </c>
      <c r="C233" s="44" t="str">
        <f aca="false">IF(A233="","",IFERROR(INDEX(Assumptions!$B$41:$B$55,MATCH(TRUE(),INDEX(ISNUMBER(SEARCH(" "&amp;Assumptions!$A$41:$A$55&amp;" "," "&amp;SUBSTITUTE(SUBSTITUTE(SUBSTITUTE(SUBSTITUTE(B233,"-"," "),","," "),"/"," "),"."," ")&amp;" ")),0),0)),"Other"))</f>
        <v>Other</v>
      </c>
      <c r="D233" s="45" t="n">
        <f aca="false">IF(A233="","",BG233*(1-Assumptions!$B$18))</f>
        <v>1.95</v>
      </c>
      <c r="E233" s="46" t="n">
        <f aca="false">IF(A233="","",INDEX(Assumptions!$B$23:$B$26,MOD(VALUE(LEFT(A233,5)),4)+1))</f>
        <v>8</v>
      </c>
      <c r="F233" s="47" t="n">
        <v>847</v>
      </c>
      <c r="G233" s="48" t="n">
        <v>0</v>
      </c>
      <c r="H233" s="48" t="n">
        <v>0</v>
      </c>
      <c r="I233" s="48" t="n">
        <v>0</v>
      </c>
      <c r="J233" s="48" t="n">
        <v>0</v>
      </c>
      <c r="K233" s="48" t="n">
        <v>0</v>
      </c>
      <c r="L233" s="48" t="n">
        <v>0</v>
      </c>
      <c r="M233" s="48" t="n">
        <v>0</v>
      </c>
      <c r="N233" s="48" t="n">
        <v>0</v>
      </c>
      <c r="O233" s="48" t="n">
        <v>0</v>
      </c>
      <c r="P233" s="48" t="n">
        <v>0</v>
      </c>
      <c r="Q233" s="48" t="n">
        <v>0</v>
      </c>
      <c r="R233" s="48" t="n">
        <v>0</v>
      </c>
      <c r="S233" s="48" t="n">
        <v>0</v>
      </c>
      <c r="T233" s="48" t="n">
        <v>0</v>
      </c>
      <c r="U233" s="48" t="n">
        <v>0</v>
      </c>
      <c r="V233" s="48" t="n">
        <v>0</v>
      </c>
      <c r="W233" s="48" t="n">
        <v>0</v>
      </c>
      <c r="X233" s="48" t="n">
        <v>0</v>
      </c>
      <c r="Y233" s="48" t="n">
        <v>0</v>
      </c>
      <c r="Z233" s="48" t="n">
        <v>0</v>
      </c>
      <c r="AA233" s="48" t="n">
        <v>0</v>
      </c>
      <c r="AB233" s="48" t="n">
        <v>0</v>
      </c>
      <c r="AC233" s="48" t="n">
        <v>190</v>
      </c>
      <c r="AD233" s="48" t="n">
        <v>273</v>
      </c>
      <c r="AE233" s="48" t="n">
        <v>124</v>
      </c>
      <c r="AF233" s="48" t="n">
        <v>139</v>
      </c>
      <c r="AG233" s="48" t="n">
        <v>46</v>
      </c>
      <c r="AH233" s="48" t="n">
        <v>119</v>
      </c>
      <c r="AI233" s="48" t="n">
        <v>61</v>
      </c>
      <c r="AJ233" s="48" t="n">
        <v>713</v>
      </c>
      <c r="AK233" s="48" t="n">
        <v>61</v>
      </c>
      <c r="AL233" s="48" t="n">
        <v>78</v>
      </c>
      <c r="AM233" s="48" t="n">
        <v>68</v>
      </c>
      <c r="AN233" s="48" t="n">
        <v>465</v>
      </c>
      <c r="AO233" s="48" t="n">
        <v>82</v>
      </c>
      <c r="AP233" s="48" t="n">
        <v>10</v>
      </c>
      <c r="AQ233" s="48" t="n">
        <v>0</v>
      </c>
      <c r="AR233" s="48" t="n">
        <v>0</v>
      </c>
      <c r="AS233" s="48" t="n">
        <v>2</v>
      </c>
      <c r="AT233" s="48" t="n">
        <v>60</v>
      </c>
      <c r="AU233" s="48" t="n">
        <v>134</v>
      </c>
      <c r="AV233" s="48" t="n">
        <v>55</v>
      </c>
      <c r="AW233" s="48" t="n">
        <v>119</v>
      </c>
      <c r="AX233" s="48" t="n">
        <v>48</v>
      </c>
      <c r="AY233" s="48" t="n">
        <v>45</v>
      </c>
      <c r="AZ233" s="48" t="n">
        <v>58</v>
      </c>
      <c r="BA233" s="48" t="n">
        <v>15</v>
      </c>
      <c r="BB233" s="48" t="n">
        <v>45</v>
      </c>
      <c r="BC233" s="48" t="n">
        <v>13</v>
      </c>
      <c r="BD233" s="48" t="n">
        <v>70</v>
      </c>
      <c r="BE233" s="48" t="n">
        <v>24</v>
      </c>
      <c r="BF233" s="48" t="n">
        <v>30</v>
      </c>
      <c r="BG233" s="49" t="n">
        <v>3.25</v>
      </c>
    </row>
    <row r="234" customFormat="false" ht="15" hidden="false" customHeight="false" outlineLevel="0" collapsed="false">
      <c r="A234" s="43" t="s">
        <v>704</v>
      </c>
      <c r="B234" s="43" t="s">
        <v>705</v>
      </c>
      <c r="C234" s="44" t="str">
        <f aca="false">IF(A234="","",IFERROR(INDEX(Assumptions!$B$41:$B$55,MATCH(TRUE(),INDEX(ISNUMBER(SEARCH(" "&amp;Assumptions!$A$41:$A$55&amp;" "," "&amp;SUBSTITUTE(SUBSTITUTE(SUBSTITUTE(SUBSTITUTE(B234,"-"," "),","," "),"/"," "),"."," ")&amp;" ")),0),0)),"Other"))</f>
        <v>Kitchen</v>
      </c>
      <c r="D234" s="45" t="n">
        <f aca="false">IF(A234="","",BG234*(1-Assumptions!$B$18))</f>
        <v>8.97</v>
      </c>
      <c r="E234" s="46" t="n">
        <f aca="false">IF(A234="","",INDEX(Assumptions!$B$23:$B$26,MOD(VALUE(LEFT(A234,5)),4)+1))</f>
        <v>6</v>
      </c>
      <c r="F234" s="47" t="n">
        <v>156</v>
      </c>
      <c r="G234" s="48" t="n">
        <v>8</v>
      </c>
      <c r="H234" s="48" t="n">
        <v>8</v>
      </c>
      <c r="I234" s="48" t="n">
        <v>2</v>
      </c>
      <c r="J234" s="48" t="n">
        <v>0</v>
      </c>
      <c r="K234" s="48" t="n">
        <v>1</v>
      </c>
      <c r="L234" s="48" t="n">
        <v>100</v>
      </c>
      <c r="M234" s="48" t="n">
        <v>13</v>
      </c>
      <c r="N234" s="48" t="n">
        <v>12</v>
      </c>
      <c r="O234" s="48" t="n">
        <v>11</v>
      </c>
      <c r="P234" s="48" t="n">
        <v>6</v>
      </c>
      <c r="Q234" s="48" t="n">
        <v>20</v>
      </c>
      <c r="R234" s="48" t="n">
        <v>13</v>
      </c>
      <c r="S234" s="48" t="n">
        <v>121</v>
      </c>
      <c r="T234" s="48" t="n">
        <v>11</v>
      </c>
      <c r="U234" s="48" t="n">
        <v>0</v>
      </c>
      <c r="V234" s="48" t="n">
        <v>0</v>
      </c>
      <c r="W234" s="48" t="n">
        <v>0</v>
      </c>
      <c r="X234" s="48" t="n">
        <v>0</v>
      </c>
      <c r="Y234" s="48" t="n">
        <v>0</v>
      </c>
      <c r="Z234" s="48" t="n">
        <v>0</v>
      </c>
      <c r="AA234" s="48" t="n">
        <v>0</v>
      </c>
      <c r="AB234" s="48" t="n">
        <v>49</v>
      </c>
      <c r="AC234" s="48" t="n">
        <v>12</v>
      </c>
      <c r="AD234" s="48" t="n">
        <v>29</v>
      </c>
      <c r="AE234" s="48" t="n">
        <v>0</v>
      </c>
      <c r="AF234" s="48" t="n">
        <v>10</v>
      </c>
      <c r="AG234" s="48" t="n">
        <v>15</v>
      </c>
      <c r="AH234" s="48" t="n">
        <v>2</v>
      </c>
      <c r="AI234" s="48" t="n">
        <v>3</v>
      </c>
      <c r="AJ234" s="48" t="n">
        <v>0</v>
      </c>
      <c r="AK234" s="48" t="n">
        <v>0</v>
      </c>
      <c r="AL234" s="48" t="n">
        <v>1</v>
      </c>
      <c r="AM234" s="48" t="n">
        <v>16</v>
      </c>
      <c r="AN234" s="48" t="n">
        <v>2</v>
      </c>
      <c r="AO234" s="48" t="n">
        <v>5</v>
      </c>
      <c r="AP234" s="48" t="n">
        <v>7</v>
      </c>
      <c r="AQ234" s="48" t="n">
        <v>2</v>
      </c>
      <c r="AR234" s="48" t="n">
        <v>1</v>
      </c>
      <c r="AS234" s="48" t="n">
        <v>1</v>
      </c>
      <c r="AT234" s="48" t="n">
        <v>13</v>
      </c>
      <c r="AU234" s="48" t="n">
        <v>12</v>
      </c>
      <c r="AV234" s="48" t="n">
        <v>45</v>
      </c>
      <c r="AW234" s="48" t="n">
        <v>1</v>
      </c>
      <c r="AX234" s="48" t="n">
        <v>3</v>
      </c>
      <c r="AY234" s="48" t="n">
        <v>9</v>
      </c>
      <c r="AZ234" s="48" t="n">
        <v>7</v>
      </c>
      <c r="BA234" s="48" t="n">
        <v>7</v>
      </c>
      <c r="BB234" s="48" t="n">
        <v>9</v>
      </c>
      <c r="BC234" s="48" t="n">
        <v>16</v>
      </c>
      <c r="BD234" s="48" t="n">
        <v>61</v>
      </c>
      <c r="BE234" s="48" t="n">
        <v>4</v>
      </c>
      <c r="BF234" s="48" t="n">
        <v>7</v>
      </c>
      <c r="BG234" s="49" t="n">
        <v>14.95</v>
      </c>
    </row>
    <row r="235" customFormat="false" ht="15" hidden="false" customHeight="false" outlineLevel="0" collapsed="false">
      <c r="A235" s="43" t="s">
        <v>706</v>
      </c>
      <c r="B235" s="43" t="s">
        <v>707</v>
      </c>
      <c r="C235" s="44" t="str">
        <f aca="false">IF(A235="","",IFERROR(INDEX(Assumptions!$B$41:$B$55,MATCH(TRUE(),INDEX(ISNUMBER(SEARCH(" "&amp;Assumptions!$A$41:$A$55&amp;" "," "&amp;SUBSTITUTE(SUBSTITUTE(SUBSTITUTE(SUBSTITUTE(B235,"-"," "),","," "),"/"," "),"."," ")&amp;" ")),0),0)),"Other"))</f>
        <v>Lighting</v>
      </c>
      <c r="D235" s="45" t="n">
        <f aca="false">IF(A235="","",BG235*(1-Assumptions!$B$18))</f>
        <v>0.75</v>
      </c>
      <c r="E235" s="46" t="n">
        <f aca="false">IF(A235="","",INDEX(Assumptions!$B$23:$B$26,MOD(VALUE(LEFT(A235,5)),4)+1))</f>
        <v>8</v>
      </c>
      <c r="F235" s="47" t="n">
        <v>879</v>
      </c>
      <c r="G235" s="48" t="n">
        <v>279</v>
      </c>
      <c r="H235" s="48" t="n">
        <v>242</v>
      </c>
      <c r="I235" s="48" t="n">
        <v>33</v>
      </c>
      <c r="J235" s="48" t="n">
        <v>0</v>
      </c>
      <c r="K235" s="48" t="n">
        <v>255</v>
      </c>
      <c r="L235" s="48" t="n">
        <v>18</v>
      </c>
      <c r="M235" s="48" t="n">
        <v>16</v>
      </c>
      <c r="N235" s="48" t="n">
        <v>137</v>
      </c>
      <c r="O235" s="48" t="n">
        <v>122</v>
      </c>
      <c r="P235" s="48" t="n">
        <v>131</v>
      </c>
      <c r="Q235" s="48" t="n">
        <v>93</v>
      </c>
      <c r="R235" s="48" t="n">
        <v>96</v>
      </c>
      <c r="S235" s="48" t="n">
        <v>268</v>
      </c>
      <c r="T235" s="48" t="n">
        <v>12</v>
      </c>
      <c r="U235" s="48" t="n">
        <v>105</v>
      </c>
      <c r="V235" s="48" t="n">
        <v>1</v>
      </c>
      <c r="W235" s="48" t="n">
        <v>0</v>
      </c>
      <c r="X235" s="48" t="n">
        <v>0</v>
      </c>
      <c r="Y235" s="48" t="n">
        <v>0</v>
      </c>
      <c r="Z235" s="48" t="n">
        <v>0</v>
      </c>
      <c r="AA235" s="48" t="n">
        <v>0</v>
      </c>
      <c r="AB235" s="48" t="n">
        <v>3</v>
      </c>
      <c r="AC235" s="48" t="n">
        <v>72</v>
      </c>
      <c r="AD235" s="48" t="n">
        <v>565</v>
      </c>
      <c r="AE235" s="48" t="n">
        <v>0</v>
      </c>
      <c r="AF235" s="48" t="n">
        <v>161</v>
      </c>
      <c r="AG235" s="48" t="n">
        <v>182</v>
      </c>
      <c r="AH235" s="48" t="n">
        <v>56</v>
      </c>
      <c r="AI235" s="48" t="n">
        <v>83</v>
      </c>
      <c r="AJ235" s="48" t="n">
        <v>240</v>
      </c>
      <c r="AK235" s="48" t="n">
        <v>250</v>
      </c>
      <c r="AL235" s="48" t="n">
        <v>88</v>
      </c>
      <c r="AM235" s="48" t="n">
        <v>216</v>
      </c>
      <c r="AN235" s="48" t="n">
        <v>189</v>
      </c>
      <c r="AO235" s="48" t="n">
        <v>293</v>
      </c>
      <c r="AP235" s="48" t="n">
        <v>24</v>
      </c>
      <c r="AQ235" s="48" t="n">
        <v>120</v>
      </c>
      <c r="AR235" s="48" t="n">
        <v>108</v>
      </c>
      <c r="AS235" s="48" t="n">
        <v>247</v>
      </c>
      <c r="AT235" s="48" t="n">
        <v>125</v>
      </c>
      <c r="AU235" s="48" t="n">
        <v>142</v>
      </c>
      <c r="AV235" s="48" t="n">
        <v>391</v>
      </c>
      <c r="AW235" s="48" t="n">
        <v>66</v>
      </c>
      <c r="AX235" s="48" t="n">
        <v>141</v>
      </c>
      <c r="AY235" s="48" t="n">
        <v>120</v>
      </c>
      <c r="AZ235" s="48" t="n">
        <v>201</v>
      </c>
      <c r="BA235" s="48" t="n">
        <v>93</v>
      </c>
      <c r="BB235" s="48" t="n">
        <v>360</v>
      </c>
      <c r="BC235" s="48" t="n">
        <v>320</v>
      </c>
      <c r="BD235" s="48" t="n">
        <v>293</v>
      </c>
      <c r="BE235" s="48" t="n">
        <v>271</v>
      </c>
      <c r="BF235" s="48" t="n">
        <v>387</v>
      </c>
      <c r="BG235" s="49" t="n">
        <v>1.25</v>
      </c>
    </row>
    <row r="236" customFormat="false" ht="15" hidden="false" customHeight="false" outlineLevel="0" collapsed="false">
      <c r="A236" s="43" t="s">
        <v>708</v>
      </c>
      <c r="B236" s="43" t="s">
        <v>709</v>
      </c>
      <c r="C236" s="44" t="str">
        <f aca="false">IF(A236="","",IFERROR(INDEX(Assumptions!$B$41:$B$55,MATCH(TRUE(),INDEX(ISNUMBER(SEARCH(" "&amp;Assumptions!$A$41:$A$55&amp;" "," "&amp;SUBSTITUTE(SUBSTITUTE(SUBSTITUTE(SUBSTITUTE(B236,"-"," "),","," "),"/"," "),"."," ")&amp;" ")),0),0)),"Other"))</f>
        <v>Other</v>
      </c>
      <c r="D236" s="45" t="n">
        <f aca="false">IF(A236="","",BG236*(1-Assumptions!$B$18))</f>
        <v>5.1</v>
      </c>
      <c r="E236" s="46" t="n">
        <f aca="false">IF(A236="","",INDEX(Assumptions!$B$23:$B$26,MOD(VALUE(LEFT(A236,5)),4)+1))</f>
        <v>2</v>
      </c>
      <c r="F236" s="47" t="n">
        <v>526</v>
      </c>
      <c r="G236" s="48" t="n">
        <v>16</v>
      </c>
      <c r="H236" s="48" t="n">
        <v>19</v>
      </c>
      <c r="I236" s="48" t="n">
        <v>4</v>
      </c>
      <c r="J236" s="48" t="n">
        <v>0</v>
      </c>
      <c r="K236" s="48" t="n">
        <v>6</v>
      </c>
      <c r="L236" s="48" t="n">
        <v>25</v>
      </c>
      <c r="M236" s="48" t="n">
        <v>21</v>
      </c>
      <c r="N236" s="48" t="n">
        <v>20</v>
      </c>
      <c r="O236" s="48" t="n">
        <v>12</v>
      </c>
      <c r="P236" s="48" t="n">
        <v>2</v>
      </c>
      <c r="Q236" s="48" t="n">
        <v>22</v>
      </c>
      <c r="R236" s="48" t="n">
        <v>16</v>
      </c>
      <c r="S236" s="48" t="n">
        <v>28</v>
      </c>
      <c r="T236" s="48" t="n">
        <v>20</v>
      </c>
      <c r="U236" s="48" t="n">
        <v>39</v>
      </c>
      <c r="V236" s="48" t="n">
        <v>18</v>
      </c>
      <c r="W236" s="48" t="n">
        <v>18</v>
      </c>
      <c r="X236" s="48" t="n">
        <v>16</v>
      </c>
      <c r="Y236" s="48" t="n">
        <v>24</v>
      </c>
      <c r="Z236" s="48" t="n">
        <v>7</v>
      </c>
      <c r="AA236" s="48" t="n">
        <v>6</v>
      </c>
      <c r="AB236" s="48" t="n">
        <v>16</v>
      </c>
      <c r="AC236" s="48" t="n">
        <v>22</v>
      </c>
      <c r="AD236" s="48" t="n">
        <v>51</v>
      </c>
      <c r="AE236" s="48" t="n">
        <v>14</v>
      </c>
      <c r="AF236" s="48" t="n">
        <v>47</v>
      </c>
      <c r="AG236" s="48" t="n">
        <v>16</v>
      </c>
      <c r="AH236" s="48" t="n">
        <v>20</v>
      </c>
      <c r="AI236" s="48" t="n">
        <v>14</v>
      </c>
      <c r="AJ236" s="48" t="n">
        <v>5</v>
      </c>
      <c r="AK236" s="48" t="n">
        <v>18</v>
      </c>
      <c r="AL236" s="48" t="n">
        <v>10</v>
      </c>
      <c r="AM236" s="48" t="n">
        <v>65</v>
      </c>
      <c r="AN236" s="48" t="n">
        <v>14</v>
      </c>
      <c r="AO236" s="48" t="n">
        <v>22</v>
      </c>
      <c r="AP236" s="48" t="n">
        <v>18</v>
      </c>
      <c r="AQ236" s="48" t="n">
        <v>45</v>
      </c>
      <c r="AR236" s="48" t="n">
        <v>16</v>
      </c>
      <c r="AS236" s="48" t="n">
        <v>9</v>
      </c>
      <c r="AT236" s="48" t="n">
        <v>19</v>
      </c>
      <c r="AU236" s="48" t="n">
        <v>15</v>
      </c>
      <c r="AV236" s="48" t="n">
        <v>17</v>
      </c>
      <c r="AW236" s="48" t="n">
        <v>7</v>
      </c>
      <c r="AX236" s="48" t="n">
        <v>17</v>
      </c>
      <c r="AY236" s="48" t="n">
        <v>16</v>
      </c>
      <c r="AZ236" s="48" t="n">
        <v>3</v>
      </c>
      <c r="BA236" s="48" t="n">
        <v>12</v>
      </c>
      <c r="BB236" s="48" t="n">
        <v>17</v>
      </c>
      <c r="BC236" s="48" t="n">
        <v>20</v>
      </c>
      <c r="BD236" s="48" t="n">
        <v>16</v>
      </c>
      <c r="BE236" s="48" t="n">
        <v>40</v>
      </c>
      <c r="BF236" s="48" t="n">
        <v>16</v>
      </c>
      <c r="BG236" s="49" t="n">
        <v>8.5</v>
      </c>
    </row>
    <row r="237" customFormat="false" ht="15" hidden="false" customHeight="false" outlineLevel="0" collapsed="false">
      <c r="A237" s="43" t="s">
        <v>710</v>
      </c>
      <c r="B237" s="43" t="s">
        <v>711</v>
      </c>
      <c r="C237" s="44" t="str">
        <f aca="false">IF(A237="","",IFERROR(INDEX(Assumptions!$B$41:$B$55,MATCH(TRUE(),INDEX(ISNUMBER(SEARCH(" "&amp;Assumptions!$A$41:$A$55&amp;" "," "&amp;SUBSTITUTE(SUBSTITUTE(SUBSTITUTE(SUBSTITUTE(B237,"-"," "),","," "),"/"," "),"."," ")&amp;" ")),0),0)),"Other"))</f>
        <v>Other</v>
      </c>
      <c r="D237" s="45" t="n">
        <f aca="false">IF(A237="","",BG237*(1-Assumptions!$B$18))</f>
        <v>0.99</v>
      </c>
      <c r="E237" s="46" t="n">
        <f aca="false">IF(A237="","",INDEX(Assumptions!$B$23:$B$26,MOD(VALUE(LEFT(A237,5)),4)+1))</f>
        <v>4</v>
      </c>
      <c r="F237" s="47" t="n">
        <v>109</v>
      </c>
      <c r="G237" s="48" t="n">
        <v>182</v>
      </c>
      <c r="H237" s="48" t="n">
        <v>28</v>
      </c>
      <c r="I237" s="48" t="n">
        <v>3</v>
      </c>
      <c r="J237" s="48" t="n">
        <v>0</v>
      </c>
      <c r="K237" s="48" t="n">
        <v>36</v>
      </c>
      <c r="L237" s="48" t="n">
        <v>25</v>
      </c>
      <c r="M237" s="48" t="n">
        <v>43</v>
      </c>
      <c r="N237" s="48" t="n">
        <v>75</v>
      </c>
      <c r="O237" s="48" t="n">
        <v>55</v>
      </c>
      <c r="P237" s="48" t="n">
        <v>5</v>
      </c>
      <c r="Q237" s="48" t="n">
        <v>6</v>
      </c>
      <c r="R237" s="48" t="n">
        <v>96</v>
      </c>
      <c r="S237" s="48" t="n">
        <v>64</v>
      </c>
      <c r="T237" s="48" t="n">
        <v>49</v>
      </c>
      <c r="U237" s="48" t="n">
        <v>158</v>
      </c>
      <c r="V237" s="48" t="n">
        <v>122</v>
      </c>
      <c r="W237" s="48" t="n">
        <v>48</v>
      </c>
      <c r="X237" s="48" t="n">
        <v>134</v>
      </c>
      <c r="Y237" s="48" t="n">
        <v>78</v>
      </c>
      <c r="Z237" s="48" t="n">
        <v>304</v>
      </c>
      <c r="AA237" s="48" t="n">
        <v>15</v>
      </c>
      <c r="AB237" s="48" t="n">
        <v>56</v>
      </c>
      <c r="AC237" s="48" t="n">
        <v>66</v>
      </c>
      <c r="AD237" s="48" t="n">
        <v>125</v>
      </c>
      <c r="AE237" s="48" t="n">
        <v>83</v>
      </c>
      <c r="AF237" s="48" t="n">
        <v>14</v>
      </c>
      <c r="AG237" s="48" t="n">
        <v>32</v>
      </c>
      <c r="AH237" s="48" t="n">
        <v>50</v>
      </c>
      <c r="AI237" s="48" t="n">
        <v>25</v>
      </c>
      <c r="AJ237" s="48" t="n">
        <v>6</v>
      </c>
      <c r="AK237" s="48" t="n">
        <v>26</v>
      </c>
      <c r="AL237" s="48" t="n">
        <v>35</v>
      </c>
      <c r="AM237" s="48" t="n">
        <v>60</v>
      </c>
      <c r="AN237" s="48" t="n">
        <v>126</v>
      </c>
      <c r="AO237" s="48" t="n">
        <v>493</v>
      </c>
      <c r="AP237" s="48" t="n">
        <v>529</v>
      </c>
      <c r="AQ237" s="48" t="n">
        <v>93</v>
      </c>
      <c r="AR237" s="48" t="n">
        <v>59</v>
      </c>
      <c r="AS237" s="48" t="n">
        <v>200</v>
      </c>
      <c r="AT237" s="48" t="n">
        <v>117</v>
      </c>
      <c r="AU237" s="48" t="n">
        <v>103</v>
      </c>
      <c r="AV237" s="48" t="n">
        <v>151</v>
      </c>
      <c r="AW237" s="48" t="n">
        <v>118</v>
      </c>
      <c r="AX237" s="48" t="n">
        <v>118</v>
      </c>
      <c r="AY237" s="48" t="n">
        <v>141</v>
      </c>
      <c r="AZ237" s="48" t="n">
        <v>138</v>
      </c>
      <c r="BA237" s="48" t="n">
        <v>143</v>
      </c>
      <c r="BB237" s="48" t="n">
        <v>125</v>
      </c>
      <c r="BC237" s="48" t="n">
        <v>284</v>
      </c>
      <c r="BD237" s="48" t="n">
        <v>219</v>
      </c>
      <c r="BE237" s="48" t="n">
        <v>229</v>
      </c>
      <c r="BF237" s="48" t="n">
        <v>155</v>
      </c>
      <c r="BG237" s="49" t="n">
        <v>1.65</v>
      </c>
    </row>
    <row r="238" customFormat="false" ht="15" hidden="false" customHeight="false" outlineLevel="0" collapsed="false">
      <c r="A238" s="43" t="s">
        <v>712</v>
      </c>
      <c r="B238" s="43" t="s">
        <v>713</v>
      </c>
      <c r="C238" s="44" t="str">
        <f aca="false">IF(A238="","",IFERROR(INDEX(Assumptions!$B$41:$B$55,MATCH(TRUE(),INDEX(ISNUMBER(SEARCH(" "&amp;Assumptions!$A$41:$A$55&amp;" "," "&amp;SUBSTITUTE(SUBSTITUTE(SUBSTITUTE(SUBSTITUTE(B238,"-"," "),","," "),"/"," "),"."," ")&amp;" ")),0),0)),"Other"))</f>
        <v>Bags</v>
      </c>
      <c r="D238" s="45" t="n">
        <f aca="false">IF(A238="","",BG238*(1-Assumptions!$B$18))</f>
        <v>1.248</v>
      </c>
      <c r="E238" s="46" t="n">
        <f aca="false">IF(A238="","",INDEX(Assumptions!$B$23:$B$26,MOD(VALUE(LEFT(A238,5)),4)+1))</f>
        <v>6</v>
      </c>
      <c r="F238" s="47" t="n">
        <v>2842</v>
      </c>
      <c r="G238" s="48" t="n">
        <v>0</v>
      </c>
      <c r="H238" s="48" t="n">
        <v>0</v>
      </c>
      <c r="I238" s="48" t="n">
        <v>0</v>
      </c>
      <c r="J238" s="48" t="n">
        <v>0</v>
      </c>
      <c r="K238" s="48" t="n">
        <v>0</v>
      </c>
      <c r="L238" s="48" t="n">
        <v>0</v>
      </c>
      <c r="M238" s="48" t="n">
        <v>0</v>
      </c>
      <c r="N238" s="48" t="n">
        <v>0</v>
      </c>
      <c r="O238" s="48" t="n">
        <v>0</v>
      </c>
      <c r="P238" s="48" t="n">
        <v>0</v>
      </c>
      <c r="Q238" s="48" t="n">
        <v>0</v>
      </c>
      <c r="R238" s="48" t="n">
        <v>0</v>
      </c>
      <c r="S238" s="48" t="n">
        <v>0</v>
      </c>
      <c r="T238" s="48" t="n">
        <v>0</v>
      </c>
      <c r="U238" s="48" t="n">
        <v>0</v>
      </c>
      <c r="V238" s="48" t="n">
        <v>0</v>
      </c>
      <c r="W238" s="48" t="n">
        <v>0</v>
      </c>
      <c r="X238" s="48" t="n">
        <v>0</v>
      </c>
      <c r="Y238" s="48" t="n">
        <v>0</v>
      </c>
      <c r="Z238" s="48" t="n">
        <v>0</v>
      </c>
      <c r="AA238" s="48" t="n">
        <v>0</v>
      </c>
      <c r="AB238" s="48" t="n">
        <v>0</v>
      </c>
      <c r="AC238" s="48" t="n">
        <v>0</v>
      </c>
      <c r="AD238" s="48" t="n">
        <v>0</v>
      </c>
      <c r="AE238" s="48" t="n">
        <v>0</v>
      </c>
      <c r="AF238" s="48" t="n">
        <v>0</v>
      </c>
      <c r="AG238" s="48" t="n">
        <v>0</v>
      </c>
      <c r="AH238" s="48" t="n">
        <v>0</v>
      </c>
      <c r="AI238" s="48" t="n">
        <v>0</v>
      </c>
      <c r="AJ238" s="48" t="n">
        <v>0</v>
      </c>
      <c r="AK238" s="48" t="n">
        <v>0</v>
      </c>
      <c r="AL238" s="48" t="n">
        <v>0</v>
      </c>
      <c r="AM238" s="48" t="n">
        <v>0</v>
      </c>
      <c r="AN238" s="48" t="n">
        <v>0</v>
      </c>
      <c r="AO238" s="48" t="n">
        <v>0</v>
      </c>
      <c r="AP238" s="48" t="n">
        <v>0</v>
      </c>
      <c r="AQ238" s="48" t="n">
        <v>0</v>
      </c>
      <c r="AR238" s="48" t="n">
        <v>0</v>
      </c>
      <c r="AS238" s="48" t="n">
        <v>0</v>
      </c>
      <c r="AT238" s="48" t="n">
        <v>0</v>
      </c>
      <c r="AU238" s="48" t="n">
        <v>0</v>
      </c>
      <c r="AV238" s="48" t="n">
        <v>0</v>
      </c>
      <c r="AW238" s="48" t="n">
        <v>0</v>
      </c>
      <c r="AX238" s="48" t="n">
        <v>0</v>
      </c>
      <c r="AY238" s="48" t="n">
        <v>0</v>
      </c>
      <c r="AZ238" s="48" t="n">
        <v>0</v>
      </c>
      <c r="BA238" s="48" t="n">
        <v>553</v>
      </c>
      <c r="BB238" s="48" t="n">
        <v>372</v>
      </c>
      <c r="BC238" s="48" t="n">
        <v>802</v>
      </c>
      <c r="BD238" s="48" t="n">
        <v>475</v>
      </c>
      <c r="BE238" s="48" t="n">
        <v>303</v>
      </c>
      <c r="BF238" s="48" t="n">
        <v>1842</v>
      </c>
      <c r="BG238" s="49" t="n">
        <v>2.08</v>
      </c>
    </row>
    <row r="239" customFormat="false" ht="15" hidden="false" customHeight="false" outlineLevel="0" collapsed="false">
      <c r="A239" s="43" t="s">
        <v>714</v>
      </c>
      <c r="B239" s="43" t="s">
        <v>715</v>
      </c>
      <c r="C239" s="44" t="str">
        <f aca="false">IF(A239="","",IFERROR(INDEX(Assumptions!$B$41:$B$55,MATCH(TRUE(),INDEX(ISNUMBER(SEARCH(" "&amp;Assumptions!$A$41:$A$55&amp;" "," "&amp;SUBSTITUTE(SUBSTITUTE(SUBSTITUTE(SUBSTITUTE(B239,"-"," "),","," "),"/"," "),"."," ")&amp;" ")),0),0)),"Other"))</f>
        <v>Kitchen</v>
      </c>
      <c r="D239" s="45" t="n">
        <f aca="false">IF(A239="","",BG239*(1-Assumptions!$B$18))</f>
        <v>0.99</v>
      </c>
      <c r="E239" s="46" t="n">
        <f aca="false">IF(A239="","",INDEX(Assumptions!$B$23:$B$26,MOD(VALUE(LEFT(A239,5)),4)+1))</f>
        <v>8</v>
      </c>
      <c r="F239" s="47" t="n">
        <v>3845</v>
      </c>
      <c r="G239" s="48" t="n">
        <v>174</v>
      </c>
      <c r="H239" s="48" t="n">
        <v>116</v>
      </c>
      <c r="I239" s="48" t="n">
        <v>135</v>
      </c>
      <c r="J239" s="48" t="n">
        <v>0</v>
      </c>
      <c r="K239" s="48" t="n">
        <v>30</v>
      </c>
      <c r="L239" s="48" t="n">
        <v>42</v>
      </c>
      <c r="M239" s="48" t="n">
        <v>41</v>
      </c>
      <c r="N239" s="48" t="n">
        <v>156</v>
      </c>
      <c r="O239" s="48" t="n">
        <v>210</v>
      </c>
      <c r="P239" s="48" t="n">
        <v>32</v>
      </c>
      <c r="Q239" s="48" t="n">
        <v>134</v>
      </c>
      <c r="R239" s="48" t="n">
        <v>46</v>
      </c>
      <c r="S239" s="48" t="n">
        <v>301</v>
      </c>
      <c r="T239" s="48" t="n">
        <v>123</v>
      </c>
      <c r="U239" s="48" t="n">
        <v>77</v>
      </c>
      <c r="V239" s="48" t="n">
        <v>69</v>
      </c>
      <c r="W239" s="48" t="n">
        <v>400</v>
      </c>
      <c r="X239" s="48" t="n">
        <v>47</v>
      </c>
      <c r="Y239" s="48" t="n">
        <v>50</v>
      </c>
      <c r="Z239" s="48" t="n">
        <v>27</v>
      </c>
      <c r="AA239" s="48" t="n">
        <v>30</v>
      </c>
      <c r="AB239" s="48" t="n">
        <v>66</v>
      </c>
      <c r="AC239" s="48" t="n">
        <v>42</v>
      </c>
      <c r="AD239" s="48" t="n">
        <v>101</v>
      </c>
      <c r="AE239" s="48" t="n">
        <v>156</v>
      </c>
      <c r="AF239" s="48" t="n">
        <v>47</v>
      </c>
      <c r="AG239" s="48" t="n">
        <v>38</v>
      </c>
      <c r="AH239" s="48" t="n">
        <v>337</v>
      </c>
      <c r="AI239" s="48" t="n">
        <v>39</v>
      </c>
      <c r="AJ239" s="48" t="n">
        <v>97</v>
      </c>
      <c r="AK239" s="48" t="n">
        <v>50</v>
      </c>
      <c r="AL239" s="48" t="n">
        <v>73</v>
      </c>
      <c r="AM239" s="48" t="n">
        <v>19</v>
      </c>
      <c r="AN239" s="48" t="n">
        <v>60</v>
      </c>
      <c r="AO239" s="48" t="n">
        <v>74</v>
      </c>
      <c r="AP239" s="48" t="n">
        <v>125</v>
      </c>
      <c r="AQ239" s="48" t="n">
        <v>63</v>
      </c>
      <c r="AR239" s="48" t="n">
        <v>65</v>
      </c>
      <c r="AS239" s="48" t="n">
        <v>256</v>
      </c>
      <c r="AT239" s="48" t="n">
        <v>56</v>
      </c>
      <c r="AU239" s="48" t="n">
        <v>95</v>
      </c>
      <c r="AV239" s="48" t="n">
        <v>182</v>
      </c>
      <c r="AW239" s="48" t="n">
        <v>166</v>
      </c>
      <c r="AX239" s="48" t="n">
        <v>115</v>
      </c>
      <c r="AY239" s="48" t="n">
        <v>173</v>
      </c>
      <c r="AZ239" s="48" t="n">
        <v>110</v>
      </c>
      <c r="BA239" s="48" t="n">
        <v>129</v>
      </c>
      <c r="BB239" s="48" t="n">
        <v>82</v>
      </c>
      <c r="BC239" s="48" t="n">
        <v>197</v>
      </c>
      <c r="BD239" s="48" t="n">
        <v>126</v>
      </c>
      <c r="BE239" s="48" t="n">
        <v>176</v>
      </c>
      <c r="BF239" s="48" t="n">
        <v>157</v>
      </c>
      <c r="BG239" s="49" t="n">
        <v>1.65</v>
      </c>
    </row>
    <row r="240" customFormat="false" ht="15" hidden="false" customHeight="false" outlineLevel="0" collapsed="false">
      <c r="A240" s="43" t="s">
        <v>716</v>
      </c>
      <c r="B240" s="43" t="s">
        <v>717</v>
      </c>
      <c r="C240" s="44" t="str">
        <f aca="false">IF(A240="","",IFERROR(INDEX(Assumptions!$B$41:$B$55,MATCH(TRUE(),INDEX(ISNUMBER(SEARCH(" "&amp;Assumptions!$A$41:$A$55&amp;" "," "&amp;SUBSTITUTE(SUBSTITUTE(SUBSTITUTE(SUBSTITUTE(B240,"-"," "),","," "),"/"," "),"."," ")&amp;" ")),0),0)),"Other"))</f>
        <v>Other</v>
      </c>
      <c r="D240" s="45" t="n">
        <f aca="false">IF(A240="","",BG240*(1-Assumptions!$B$18))</f>
        <v>2.97</v>
      </c>
      <c r="E240" s="46" t="n">
        <f aca="false">IF(A240="","",INDEX(Assumptions!$B$23:$B$26,MOD(VALUE(LEFT(A240,5)),4)+1))</f>
        <v>2</v>
      </c>
      <c r="F240" s="47" t="n">
        <v>359</v>
      </c>
      <c r="G240" s="48" t="n">
        <v>34</v>
      </c>
      <c r="H240" s="48" t="n">
        <v>37</v>
      </c>
      <c r="I240" s="48" t="n">
        <v>34</v>
      </c>
      <c r="J240" s="48" t="n">
        <v>0</v>
      </c>
      <c r="K240" s="48" t="n">
        <v>12</v>
      </c>
      <c r="L240" s="48" t="n">
        <v>27</v>
      </c>
      <c r="M240" s="48" t="n">
        <v>6</v>
      </c>
      <c r="N240" s="48" t="n">
        <v>26</v>
      </c>
      <c r="O240" s="48" t="n">
        <v>52</v>
      </c>
      <c r="P240" s="48" t="n">
        <v>23</v>
      </c>
      <c r="Q240" s="48" t="n">
        <v>43</v>
      </c>
      <c r="R240" s="48" t="n">
        <v>50</v>
      </c>
      <c r="S240" s="48" t="n">
        <v>20</v>
      </c>
      <c r="T240" s="48" t="n">
        <v>54</v>
      </c>
      <c r="U240" s="48" t="n">
        <v>26</v>
      </c>
      <c r="V240" s="48" t="n">
        <v>61</v>
      </c>
      <c r="W240" s="48" t="n">
        <v>12</v>
      </c>
      <c r="X240" s="48" t="n">
        <v>67</v>
      </c>
      <c r="Y240" s="48" t="n">
        <v>30</v>
      </c>
      <c r="Z240" s="48" t="n">
        <v>7</v>
      </c>
      <c r="AA240" s="48" t="n">
        <v>37</v>
      </c>
      <c r="AB240" s="48" t="n">
        <v>38</v>
      </c>
      <c r="AC240" s="48" t="n">
        <v>57</v>
      </c>
      <c r="AD240" s="48" t="n">
        <v>18</v>
      </c>
      <c r="AE240" s="48" t="n">
        <v>26</v>
      </c>
      <c r="AF240" s="48" t="n">
        <v>34</v>
      </c>
      <c r="AG240" s="48" t="n">
        <v>34</v>
      </c>
      <c r="AH240" s="48" t="n">
        <v>15</v>
      </c>
      <c r="AI240" s="48" t="n">
        <v>18</v>
      </c>
      <c r="AJ240" s="48" t="n">
        <v>8</v>
      </c>
      <c r="AK240" s="48" t="n">
        <v>7</v>
      </c>
      <c r="AL240" s="48" t="n">
        <v>47</v>
      </c>
      <c r="AM240" s="48" t="n">
        <v>37</v>
      </c>
      <c r="AN240" s="48" t="n">
        <v>61</v>
      </c>
      <c r="AO240" s="48" t="n">
        <v>11</v>
      </c>
      <c r="AP240" s="48" t="n">
        <v>52</v>
      </c>
      <c r="AQ240" s="48" t="n">
        <v>30</v>
      </c>
      <c r="AR240" s="48" t="n">
        <v>27</v>
      </c>
      <c r="AS240" s="48" t="n">
        <v>37</v>
      </c>
      <c r="AT240" s="48" t="n">
        <v>44</v>
      </c>
      <c r="AU240" s="48" t="n">
        <v>51</v>
      </c>
      <c r="AV240" s="48" t="n">
        <v>16</v>
      </c>
      <c r="AW240" s="48" t="n">
        <v>23</v>
      </c>
      <c r="AX240" s="48" t="n">
        <v>35</v>
      </c>
      <c r="AY240" s="48" t="n">
        <v>42</v>
      </c>
      <c r="AZ240" s="48" t="n">
        <v>38</v>
      </c>
      <c r="BA240" s="48" t="n">
        <v>51</v>
      </c>
      <c r="BB240" s="48" t="n">
        <v>47</v>
      </c>
      <c r="BC240" s="48" t="n">
        <v>30</v>
      </c>
      <c r="BD240" s="48" t="n">
        <v>24</v>
      </c>
      <c r="BE240" s="48" t="n">
        <v>59</v>
      </c>
      <c r="BF240" s="48" t="n">
        <v>24</v>
      </c>
      <c r="BG240" s="49" t="n">
        <v>4.95</v>
      </c>
    </row>
    <row r="241" customFormat="false" ht="15" hidden="false" customHeight="false" outlineLevel="0" collapsed="false">
      <c r="A241" s="43" t="s">
        <v>718</v>
      </c>
      <c r="B241" s="43" t="s">
        <v>719</v>
      </c>
      <c r="C241" s="44" t="str">
        <f aca="false">IF(A241="","",IFERROR(INDEX(Assumptions!$B$41:$B$55,MATCH(TRUE(),INDEX(ISNUMBER(SEARCH(" "&amp;Assumptions!$A$41:$A$55&amp;" "," "&amp;SUBSTITUTE(SUBSTITUTE(SUBSTITUTE(SUBSTITUTE(B241,"-"," "),","," "),"/"," "),"."," ")&amp;" ")),0),0)),"Other"))</f>
        <v>Other</v>
      </c>
      <c r="D241" s="45" t="n">
        <f aca="false">IF(A241="","",BG241*(1-Assumptions!$B$18))</f>
        <v>3.57</v>
      </c>
      <c r="E241" s="46" t="n">
        <f aca="false">IF(A241="","",INDEX(Assumptions!$B$23:$B$26,MOD(VALUE(LEFT(A241,5)),4)+1))</f>
        <v>8</v>
      </c>
      <c r="F241" s="47" t="n">
        <v>1517</v>
      </c>
      <c r="G241" s="48" t="n">
        <v>27</v>
      </c>
      <c r="H241" s="48" t="n">
        <v>29</v>
      </c>
      <c r="I241" s="48" t="n">
        <v>3</v>
      </c>
      <c r="J241" s="48" t="n">
        <v>0</v>
      </c>
      <c r="K241" s="48" t="n">
        <v>43</v>
      </c>
      <c r="L241" s="48" t="n">
        <v>13</v>
      </c>
      <c r="M241" s="48" t="n">
        <v>82</v>
      </c>
      <c r="N241" s="48" t="n">
        <v>6</v>
      </c>
      <c r="O241" s="48" t="n">
        <v>43</v>
      </c>
      <c r="P241" s="48" t="n">
        <v>5</v>
      </c>
      <c r="Q241" s="48" t="n">
        <v>8</v>
      </c>
      <c r="R241" s="48" t="n">
        <v>21</v>
      </c>
      <c r="S241" s="48" t="n">
        <v>6</v>
      </c>
      <c r="T241" s="48" t="n">
        <v>5</v>
      </c>
      <c r="U241" s="48" t="n">
        <v>40</v>
      </c>
      <c r="V241" s="48" t="n">
        <v>21</v>
      </c>
      <c r="W241" s="48" t="n">
        <v>20</v>
      </c>
      <c r="X241" s="48" t="n">
        <v>5</v>
      </c>
      <c r="Y241" s="48" t="n">
        <v>13</v>
      </c>
      <c r="Z241" s="48" t="n">
        <v>7</v>
      </c>
      <c r="AA241" s="48" t="n">
        <v>12</v>
      </c>
      <c r="AB241" s="48" t="n">
        <v>64</v>
      </c>
      <c r="AC241" s="48" t="n">
        <v>76</v>
      </c>
      <c r="AD241" s="48" t="n">
        <v>29</v>
      </c>
      <c r="AE241" s="48" t="n">
        <v>3</v>
      </c>
      <c r="AF241" s="48" t="n">
        <v>6</v>
      </c>
      <c r="AG241" s="48" t="n">
        <v>3</v>
      </c>
      <c r="AH241" s="48" t="n">
        <v>10</v>
      </c>
      <c r="AI241" s="48" t="n">
        <v>25</v>
      </c>
      <c r="AJ241" s="48" t="n">
        <v>11</v>
      </c>
      <c r="AK241" s="48" t="n">
        <v>31</v>
      </c>
      <c r="AL241" s="48" t="n">
        <v>91</v>
      </c>
      <c r="AM241" s="48" t="n">
        <v>24</v>
      </c>
      <c r="AN241" s="48" t="n">
        <v>12</v>
      </c>
      <c r="AO241" s="48" t="n">
        <v>15</v>
      </c>
      <c r="AP241" s="48" t="n">
        <v>7</v>
      </c>
      <c r="AQ241" s="48" t="n">
        <v>146</v>
      </c>
      <c r="AR241" s="48" t="n">
        <v>44</v>
      </c>
      <c r="AS241" s="48" t="n">
        <v>16</v>
      </c>
      <c r="AT241" s="48" t="n">
        <v>21</v>
      </c>
      <c r="AU241" s="48" t="n">
        <v>46</v>
      </c>
      <c r="AV241" s="48" t="n">
        <v>21</v>
      </c>
      <c r="AW241" s="48" t="n">
        <v>44</v>
      </c>
      <c r="AX241" s="48" t="n">
        <v>10</v>
      </c>
      <c r="AY241" s="48" t="n">
        <v>35</v>
      </c>
      <c r="AZ241" s="48" t="n">
        <v>53</v>
      </c>
      <c r="BA241" s="48" t="n">
        <v>93</v>
      </c>
      <c r="BB241" s="48" t="n">
        <v>95</v>
      </c>
      <c r="BC241" s="48" t="n">
        <v>57</v>
      </c>
      <c r="BD241" s="48" t="n">
        <v>63</v>
      </c>
      <c r="BE241" s="48" t="n">
        <v>9</v>
      </c>
      <c r="BF241" s="48" t="n">
        <v>9</v>
      </c>
      <c r="BG241" s="49" t="n">
        <v>5.95</v>
      </c>
    </row>
    <row r="242" customFormat="false" ht="15" hidden="false" customHeight="false" outlineLevel="0" collapsed="false">
      <c r="A242" s="43" t="s">
        <v>720</v>
      </c>
      <c r="B242" s="43" t="s">
        <v>721</v>
      </c>
      <c r="C242" s="44" t="str">
        <f aca="false">IF(A242="","",IFERROR(INDEX(Assumptions!$B$41:$B$55,MATCH(TRUE(),INDEX(ISNUMBER(SEARCH(" "&amp;Assumptions!$A$41:$A$55&amp;" "," "&amp;SUBSTITUTE(SUBSTITUTE(SUBSTITUTE(SUBSTITUTE(B242,"-"," "),","," "),"/"," "),"."," ")&amp;" ")),0),0)),"Other"))</f>
        <v>Other</v>
      </c>
      <c r="D242" s="45" t="n">
        <f aca="false">IF(A242="","",BG242*(1-Assumptions!$B$18))</f>
        <v>3.57</v>
      </c>
      <c r="E242" s="46" t="n">
        <f aca="false">IF(A242="","",INDEX(Assumptions!$B$23:$B$26,MOD(VALUE(LEFT(A242,5)),4)+1))</f>
        <v>6</v>
      </c>
      <c r="F242" s="47" t="n">
        <v>378</v>
      </c>
      <c r="G242" s="48" t="n">
        <v>119</v>
      </c>
      <c r="H242" s="48" t="n">
        <v>83</v>
      </c>
      <c r="I242" s="48" t="n">
        <v>45</v>
      </c>
      <c r="J242" s="48" t="n">
        <v>0</v>
      </c>
      <c r="K242" s="48" t="n">
        <v>32</v>
      </c>
      <c r="L242" s="48" t="n">
        <v>24</v>
      </c>
      <c r="M242" s="48" t="n">
        <v>28</v>
      </c>
      <c r="N242" s="48" t="n">
        <v>8</v>
      </c>
      <c r="O242" s="48" t="n">
        <v>5</v>
      </c>
      <c r="P242" s="48" t="n">
        <v>40</v>
      </c>
      <c r="Q242" s="48" t="n">
        <v>88</v>
      </c>
      <c r="R242" s="48" t="n">
        <v>31</v>
      </c>
      <c r="S242" s="48" t="n">
        <v>96</v>
      </c>
      <c r="T242" s="48" t="n">
        <v>48</v>
      </c>
      <c r="U242" s="48" t="n">
        <v>93</v>
      </c>
      <c r="V242" s="48" t="n">
        <v>11</v>
      </c>
      <c r="W242" s="48" t="n">
        <v>13</v>
      </c>
      <c r="X242" s="48" t="n">
        <v>21</v>
      </c>
      <c r="Y242" s="48" t="n">
        <v>14</v>
      </c>
      <c r="Z242" s="48" t="n">
        <v>4</v>
      </c>
      <c r="AA242" s="48" t="n">
        <v>13</v>
      </c>
      <c r="AB242" s="48" t="n">
        <v>5</v>
      </c>
      <c r="AC242" s="48" t="n">
        <v>9</v>
      </c>
      <c r="AD242" s="48" t="n">
        <v>6</v>
      </c>
      <c r="AE242" s="48" t="n">
        <v>1</v>
      </c>
      <c r="AF242" s="48" t="n">
        <v>1</v>
      </c>
      <c r="AG242" s="48" t="n">
        <v>8</v>
      </c>
      <c r="AH242" s="48" t="n">
        <v>7</v>
      </c>
      <c r="AI242" s="48" t="n">
        <v>8</v>
      </c>
      <c r="AJ242" s="48" t="n">
        <v>3</v>
      </c>
      <c r="AK242" s="48" t="n">
        <v>6</v>
      </c>
      <c r="AL242" s="48" t="n">
        <v>6</v>
      </c>
      <c r="AM242" s="48" t="n">
        <v>6</v>
      </c>
      <c r="AN242" s="48" t="n">
        <v>9</v>
      </c>
      <c r="AO242" s="48" t="n">
        <v>18</v>
      </c>
      <c r="AP242" s="48" t="n">
        <v>2</v>
      </c>
      <c r="AQ242" s="48" t="n">
        <v>10</v>
      </c>
      <c r="AR242" s="48" t="n">
        <v>6</v>
      </c>
      <c r="AS242" s="48" t="n">
        <v>16</v>
      </c>
      <c r="AT242" s="48" t="n">
        <v>8</v>
      </c>
      <c r="AU242" s="48" t="n">
        <v>32</v>
      </c>
      <c r="AV242" s="48" t="n">
        <v>41</v>
      </c>
      <c r="AW242" s="48" t="n">
        <v>9</v>
      </c>
      <c r="AX242" s="48" t="n">
        <v>37</v>
      </c>
      <c r="AY242" s="48" t="n">
        <v>10</v>
      </c>
      <c r="AZ242" s="48" t="n">
        <v>24</v>
      </c>
      <c r="BA242" s="48" t="n">
        <v>14</v>
      </c>
      <c r="BB242" s="48" t="n">
        <v>12</v>
      </c>
      <c r="BC242" s="48" t="n">
        <v>17</v>
      </c>
      <c r="BD242" s="48" t="n">
        <v>75</v>
      </c>
      <c r="BE242" s="48" t="n">
        <v>69</v>
      </c>
      <c r="BF242" s="48" t="n">
        <v>19</v>
      </c>
      <c r="BG242" s="49" t="n">
        <v>5.95</v>
      </c>
    </row>
    <row r="243" customFormat="false" ht="15" hidden="false" customHeight="false" outlineLevel="0" collapsed="false">
      <c r="A243" s="43" t="s">
        <v>722</v>
      </c>
      <c r="B243" s="43" t="s">
        <v>723</v>
      </c>
      <c r="C243" s="44" t="str">
        <f aca="false">IF(A243="","",IFERROR(INDEX(Assumptions!$B$41:$B$55,MATCH(TRUE(),INDEX(ISNUMBER(SEARCH(" "&amp;Assumptions!$A$41:$A$55&amp;" "," "&amp;SUBSTITUTE(SUBSTITUTE(SUBSTITUTE(SUBSTITUTE(B243,"-"," "),","," "),"/"," "),"."," ")&amp;" ")),0),0)),"Other"))</f>
        <v>Other</v>
      </c>
      <c r="D243" s="45" t="n">
        <f aca="false">IF(A243="","",BG243*(1-Assumptions!$B$18))</f>
        <v>1.53</v>
      </c>
      <c r="E243" s="46" t="n">
        <f aca="false">IF(A243="","",INDEX(Assumptions!$B$23:$B$26,MOD(VALUE(LEFT(A243,5)),4)+1))</f>
        <v>6</v>
      </c>
      <c r="F243" s="47" t="n">
        <v>152</v>
      </c>
      <c r="G243" s="48" t="n">
        <v>160</v>
      </c>
      <c r="H243" s="48" t="n">
        <v>396</v>
      </c>
      <c r="I243" s="48" t="n">
        <v>23</v>
      </c>
      <c r="J243" s="48" t="n">
        <v>0</v>
      </c>
      <c r="K243" s="48" t="n">
        <v>53</v>
      </c>
      <c r="L243" s="48" t="n">
        <v>12</v>
      </c>
      <c r="M243" s="48" t="n">
        <v>187</v>
      </c>
      <c r="N243" s="48" t="n">
        <v>35</v>
      </c>
      <c r="O243" s="48" t="n">
        <v>225</v>
      </c>
      <c r="P243" s="48" t="n">
        <v>34</v>
      </c>
      <c r="Q243" s="48" t="n">
        <v>71</v>
      </c>
      <c r="R243" s="48" t="n">
        <v>0</v>
      </c>
      <c r="S243" s="48" t="n">
        <v>61</v>
      </c>
      <c r="T243" s="48" t="n">
        <v>125</v>
      </c>
      <c r="U243" s="48" t="n">
        <v>88</v>
      </c>
      <c r="V243" s="48" t="n">
        <v>244</v>
      </c>
      <c r="W243" s="48" t="n">
        <v>137</v>
      </c>
      <c r="X243" s="48" t="n">
        <v>48</v>
      </c>
      <c r="Y243" s="48" t="n">
        <v>158</v>
      </c>
      <c r="Z243" s="48" t="n">
        <v>56</v>
      </c>
      <c r="AA243" s="48" t="n">
        <v>63</v>
      </c>
      <c r="AB243" s="48" t="n">
        <v>62</v>
      </c>
      <c r="AC243" s="48" t="n">
        <v>124</v>
      </c>
      <c r="AD243" s="48" t="n">
        <v>250</v>
      </c>
      <c r="AE243" s="48" t="n">
        <v>5</v>
      </c>
      <c r="AF243" s="48" t="n">
        <v>0</v>
      </c>
      <c r="AG243" s="48" t="n">
        <v>0</v>
      </c>
      <c r="AH243" s="48" t="n">
        <v>0</v>
      </c>
      <c r="AI243" s="48" t="n">
        <v>0</v>
      </c>
      <c r="AJ243" s="48" t="n">
        <v>0</v>
      </c>
      <c r="AK243" s="48" t="n">
        <v>0</v>
      </c>
      <c r="AL243" s="48" t="n">
        <v>0</v>
      </c>
      <c r="AM243" s="48" t="n">
        <v>0</v>
      </c>
      <c r="AN243" s="48" t="n">
        <v>0</v>
      </c>
      <c r="AO243" s="48" t="n">
        <v>0</v>
      </c>
      <c r="AP243" s="48" t="n">
        <v>0</v>
      </c>
      <c r="AQ243" s="48" t="n">
        <v>1</v>
      </c>
      <c r="AR243" s="48" t="n">
        <v>0</v>
      </c>
      <c r="AS243" s="48" t="n">
        <v>0</v>
      </c>
      <c r="AT243" s="48" t="n">
        <v>422</v>
      </c>
      <c r="AU243" s="48" t="n">
        <v>73</v>
      </c>
      <c r="AV243" s="48" t="n">
        <v>81</v>
      </c>
      <c r="AW243" s="48" t="n">
        <v>104</v>
      </c>
      <c r="AX243" s="48" t="n">
        <v>59</v>
      </c>
      <c r="AY243" s="48" t="n">
        <v>49</v>
      </c>
      <c r="AZ243" s="48" t="n">
        <v>29</v>
      </c>
      <c r="BA243" s="48" t="n">
        <v>93</v>
      </c>
      <c r="BB243" s="48" t="n">
        <v>146</v>
      </c>
      <c r="BC243" s="48" t="n">
        <v>53</v>
      </c>
      <c r="BD243" s="48" t="n">
        <v>52</v>
      </c>
      <c r="BE243" s="48" t="n">
        <v>101</v>
      </c>
      <c r="BF243" s="48" t="n">
        <v>68</v>
      </c>
      <c r="BG243" s="49" t="n">
        <v>2.55</v>
      </c>
    </row>
    <row r="244" customFormat="false" ht="15" hidden="false" customHeight="false" outlineLevel="0" collapsed="false">
      <c r="A244" s="43" t="s">
        <v>724</v>
      </c>
      <c r="B244" s="43" t="s">
        <v>725</v>
      </c>
      <c r="C244" s="44" t="str">
        <f aca="false">IF(A244="","",IFERROR(INDEX(Assumptions!$B$41:$B$55,MATCH(TRUE(),INDEX(ISNUMBER(SEARCH(" "&amp;Assumptions!$A$41:$A$55&amp;" "," "&amp;SUBSTITUTE(SUBSTITUTE(SUBSTITUTE(SUBSTITUTE(B244,"-"," "),","," "),"/"," "),"."," ")&amp;" ")),0),0)),"Other"))</f>
        <v>Bags</v>
      </c>
      <c r="D244" s="45" t="n">
        <f aca="false">IF(A244="","",BG244*(1-Assumptions!$B$18))</f>
        <v>1.53</v>
      </c>
      <c r="E244" s="46" t="n">
        <f aca="false">IF(A244="","",INDEX(Assumptions!$B$23:$B$26,MOD(VALUE(LEFT(A244,5)),4)+1))</f>
        <v>8</v>
      </c>
      <c r="F244" s="47" t="n">
        <v>2085</v>
      </c>
      <c r="G244" s="48" t="n">
        <v>101</v>
      </c>
      <c r="H244" s="48" t="n">
        <v>26</v>
      </c>
      <c r="I244" s="48" t="n">
        <v>13</v>
      </c>
      <c r="J244" s="48" t="n">
        <v>0</v>
      </c>
      <c r="K244" s="48" t="n">
        <v>37</v>
      </c>
      <c r="L244" s="48" t="n">
        <v>23</v>
      </c>
      <c r="M244" s="48" t="n">
        <v>44</v>
      </c>
      <c r="N244" s="48" t="n">
        <v>24</v>
      </c>
      <c r="O244" s="48" t="n">
        <v>32</v>
      </c>
      <c r="P244" s="48" t="n">
        <v>11</v>
      </c>
      <c r="Q244" s="48" t="n">
        <v>54</v>
      </c>
      <c r="R244" s="48" t="n">
        <v>54</v>
      </c>
      <c r="S244" s="48" t="n">
        <v>297</v>
      </c>
      <c r="T244" s="48" t="n">
        <v>43</v>
      </c>
      <c r="U244" s="48" t="n">
        <v>51</v>
      </c>
      <c r="V244" s="48" t="n">
        <v>50</v>
      </c>
      <c r="W244" s="48" t="n">
        <v>152</v>
      </c>
      <c r="X244" s="48" t="n">
        <v>38</v>
      </c>
      <c r="Y244" s="48" t="n">
        <v>100</v>
      </c>
      <c r="Z244" s="48" t="n">
        <v>28</v>
      </c>
      <c r="AA244" s="48" t="n">
        <v>50</v>
      </c>
      <c r="AB244" s="48" t="n">
        <v>79</v>
      </c>
      <c r="AC244" s="48" t="n">
        <v>117</v>
      </c>
      <c r="AD244" s="48" t="n">
        <v>128</v>
      </c>
      <c r="AE244" s="48" t="n">
        <v>40</v>
      </c>
      <c r="AF244" s="48" t="n">
        <v>35</v>
      </c>
      <c r="AG244" s="48" t="n">
        <v>59</v>
      </c>
      <c r="AH244" s="48" t="n">
        <v>228</v>
      </c>
      <c r="AI244" s="48" t="n">
        <v>42</v>
      </c>
      <c r="AJ244" s="48" t="n">
        <v>24</v>
      </c>
      <c r="AK244" s="48" t="n">
        <v>48</v>
      </c>
      <c r="AL244" s="48" t="n">
        <v>42</v>
      </c>
      <c r="AM244" s="48" t="n">
        <v>71</v>
      </c>
      <c r="AN244" s="48" t="n">
        <v>31</v>
      </c>
      <c r="AO244" s="48" t="n">
        <v>74</v>
      </c>
      <c r="AP244" s="48" t="n">
        <v>35</v>
      </c>
      <c r="AQ244" s="48" t="n">
        <v>64</v>
      </c>
      <c r="AR244" s="48" t="n">
        <v>44</v>
      </c>
      <c r="AS244" s="48" t="n">
        <v>40</v>
      </c>
      <c r="AT244" s="48" t="n">
        <v>71</v>
      </c>
      <c r="AU244" s="48" t="n">
        <v>36</v>
      </c>
      <c r="AV244" s="48" t="n">
        <v>54</v>
      </c>
      <c r="AW244" s="48" t="n">
        <v>32</v>
      </c>
      <c r="AX244" s="48" t="n">
        <v>76</v>
      </c>
      <c r="AY244" s="48" t="n">
        <v>48</v>
      </c>
      <c r="AZ244" s="48" t="n">
        <v>44</v>
      </c>
      <c r="BA244" s="48" t="n">
        <v>39</v>
      </c>
      <c r="BB244" s="48" t="n">
        <v>35</v>
      </c>
      <c r="BC244" s="48" t="n">
        <v>88</v>
      </c>
      <c r="BD244" s="48" t="n">
        <v>48</v>
      </c>
      <c r="BE244" s="48" t="n">
        <v>44</v>
      </c>
      <c r="BF244" s="48" t="n">
        <v>53</v>
      </c>
      <c r="BG244" s="49" t="n">
        <v>2.55</v>
      </c>
    </row>
    <row r="245" customFormat="false" ht="15" hidden="false" customHeight="false" outlineLevel="0" collapsed="false">
      <c r="A245" s="43" t="s">
        <v>726</v>
      </c>
      <c r="B245" s="43" t="s">
        <v>727</v>
      </c>
      <c r="C245" s="44" t="str">
        <f aca="false">IF(A245="","",IFERROR(INDEX(Assumptions!$B$41:$B$55,MATCH(TRUE(),INDEX(ISNUMBER(SEARCH(" "&amp;Assumptions!$A$41:$A$55&amp;" "," "&amp;SUBSTITUTE(SUBSTITUTE(SUBSTITUTE(SUBSTITUTE(B245,"-"," "),","," "),"/"," "),"."," ")&amp;" ")),0),0)),"Other"))</f>
        <v>Other</v>
      </c>
      <c r="D245" s="45" t="n">
        <f aca="false">IF(A245="","",BG245*(1-Assumptions!$B$18))</f>
        <v>1.26</v>
      </c>
      <c r="E245" s="46" t="n">
        <f aca="false">IF(A245="","",INDEX(Assumptions!$B$23:$B$26,MOD(VALUE(LEFT(A245,5)),4)+1))</f>
        <v>6</v>
      </c>
      <c r="F245" s="47" t="n">
        <v>982</v>
      </c>
      <c r="G245" s="48" t="n">
        <v>133</v>
      </c>
      <c r="H245" s="48" t="n">
        <v>283</v>
      </c>
      <c r="I245" s="48" t="n">
        <v>6</v>
      </c>
      <c r="J245" s="48" t="n">
        <v>0</v>
      </c>
      <c r="K245" s="48" t="n">
        <v>86</v>
      </c>
      <c r="L245" s="48" t="n">
        <v>82</v>
      </c>
      <c r="M245" s="48" t="n">
        <v>39</v>
      </c>
      <c r="N245" s="48" t="n">
        <v>64</v>
      </c>
      <c r="O245" s="48" t="n">
        <v>169</v>
      </c>
      <c r="P245" s="48" t="n">
        <v>37</v>
      </c>
      <c r="Q245" s="48" t="n">
        <v>109</v>
      </c>
      <c r="R245" s="48" t="n">
        <v>73</v>
      </c>
      <c r="S245" s="48" t="n">
        <v>141</v>
      </c>
      <c r="T245" s="48" t="n">
        <v>18</v>
      </c>
      <c r="U245" s="48" t="n">
        <v>82</v>
      </c>
      <c r="V245" s="48" t="n">
        <v>55</v>
      </c>
      <c r="W245" s="48" t="n">
        <v>68</v>
      </c>
      <c r="X245" s="48" t="n">
        <v>98</v>
      </c>
      <c r="Y245" s="48" t="n">
        <v>32</v>
      </c>
      <c r="Z245" s="48" t="n">
        <v>88</v>
      </c>
      <c r="AA245" s="48" t="n">
        <v>78</v>
      </c>
      <c r="AB245" s="48" t="n">
        <v>55</v>
      </c>
      <c r="AC245" s="48" t="n">
        <v>53</v>
      </c>
      <c r="AD245" s="48" t="n">
        <v>69</v>
      </c>
      <c r="AE245" s="48" t="n">
        <v>22</v>
      </c>
      <c r="AF245" s="48" t="n">
        <v>22</v>
      </c>
      <c r="AG245" s="48" t="n">
        <v>135</v>
      </c>
      <c r="AH245" s="48" t="n">
        <v>37</v>
      </c>
      <c r="AI245" s="48" t="n">
        <v>57</v>
      </c>
      <c r="AJ245" s="48" t="n">
        <v>42</v>
      </c>
      <c r="AK245" s="48" t="n">
        <v>34</v>
      </c>
      <c r="AL245" s="48" t="n">
        <v>71</v>
      </c>
      <c r="AM245" s="48" t="n">
        <v>92</v>
      </c>
      <c r="AN245" s="48" t="n">
        <v>42</v>
      </c>
      <c r="AO245" s="48" t="n">
        <v>47</v>
      </c>
      <c r="AP245" s="48" t="n">
        <v>132</v>
      </c>
      <c r="AQ245" s="48" t="n">
        <v>24</v>
      </c>
      <c r="AR245" s="48" t="n">
        <v>19</v>
      </c>
      <c r="AS245" s="48" t="n">
        <v>34</v>
      </c>
      <c r="AT245" s="48" t="n">
        <v>117</v>
      </c>
      <c r="AU245" s="48" t="n">
        <v>127</v>
      </c>
      <c r="AV245" s="48" t="n">
        <v>180</v>
      </c>
      <c r="AW245" s="48" t="n">
        <v>38</v>
      </c>
      <c r="AX245" s="48" t="n">
        <v>36</v>
      </c>
      <c r="AY245" s="48" t="n">
        <v>32</v>
      </c>
      <c r="AZ245" s="48" t="n">
        <v>46</v>
      </c>
      <c r="BA245" s="48" t="n">
        <v>148</v>
      </c>
      <c r="BB245" s="48" t="n">
        <v>96</v>
      </c>
      <c r="BC245" s="48" t="n">
        <v>62</v>
      </c>
      <c r="BD245" s="48" t="n">
        <v>131</v>
      </c>
      <c r="BE245" s="48" t="n">
        <v>88</v>
      </c>
      <c r="BF245" s="48" t="n">
        <v>98</v>
      </c>
      <c r="BG245" s="49" t="n">
        <v>2.1</v>
      </c>
    </row>
    <row r="246" customFormat="false" ht="15" hidden="false" customHeight="false" outlineLevel="0" collapsed="false">
      <c r="A246" s="43" t="s">
        <v>728</v>
      </c>
      <c r="B246" s="43" t="s">
        <v>729</v>
      </c>
      <c r="C246" s="44" t="str">
        <f aca="false">IF(A246="","",IFERROR(INDEX(Assumptions!$B$41:$B$55,MATCH(TRUE(),INDEX(ISNUMBER(SEARCH(" "&amp;Assumptions!$A$41:$A$55&amp;" "," "&amp;SUBSTITUTE(SUBSTITUTE(SUBSTITUTE(SUBSTITUTE(B246,"-"," "),","," "),"/"," "),"."," ")&amp;" ")),0),0)),"Other"))</f>
        <v>Other</v>
      </c>
      <c r="D246" s="45" t="n">
        <f aca="false">IF(A246="","",BG246*(1-Assumptions!$B$18))</f>
        <v>1.014</v>
      </c>
      <c r="E246" s="46" t="n">
        <f aca="false">IF(A246="","",INDEX(Assumptions!$B$23:$B$26,MOD(VALUE(LEFT(A246,5)),4)+1))</f>
        <v>6</v>
      </c>
      <c r="F246" s="47" t="n">
        <v>653</v>
      </c>
      <c r="G246" s="48" t="n">
        <v>25</v>
      </c>
      <c r="H246" s="48" t="n">
        <v>5</v>
      </c>
      <c r="I246" s="48" t="n">
        <v>20</v>
      </c>
      <c r="J246" s="48" t="n">
        <v>0</v>
      </c>
      <c r="K246" s="48" t="n">
        <v>7</v>
      </c>
      <c r="L246" s="48" t="n">
        <v>6</v>
      </c>
      <c r="M246" s="48" t="n">
        <v>0</v>
      </c>
      <c r="N246" s="48" t="n">
        <v>3</v>
      </c>
      <c r="O246" s="48" t="n">
        <v>1</v>
      </c>
      <c r="P246" s="48" t="n">
        <v>3</v>
      </c>
      <c r="Q246" s="48" t="n">
        <v>0</v>
      </c>
      <c r="R246" s="48" t="n">
        <v>1</v>
      </c>
      <c r="S246" s="48" t="n">
        <v>1</v>
      </c>
      <c r="T246" s="48" t="n">
        <v>1</v>
      </c>
      <c r="U246" s="48" t="n">
        <v>2</v>
      </c>
      <c r="V246" s="48" t="n">
        <v>1</v>
      </c>
      <c r="W246" s="48" t="n">
        <v>1</v>
      </c>
      <c r="X246" s="48" t="n">
        <v>0</v>
      </c>
      <c r="Y246" s="48" t="n">
        <v>1</v>
      </c>
      <c r="Z246" s="48" t="n">
        <v>0</v>
      </c>
      <c r="AA246" s="48" t="n">
        <v>1</v>
      </c>
      <c r="AB246" s="48" t="n">
        <v>1</v>
      </c>
      <c r="AC246" s="48" t="n">
        <v>3</v>
      </c>
      <c r="AD246" s="48" t="n">
        <v>0</v>
      </c>
      <c r="AE246" s="48" t="n">
        <v>9</v>
      </c>
      <c r="AF246" s="48" t="n">
        <v>0</v>
      </c>
      <c r="AG246" s="48" t="n">
        <v>3</v>
      </c>
      <c r="AH246" s="48" t="n">
        <v>6</v>
      </c>
      <c r="AI246" s="48" t="n">
        <v>2</v>
      </c>
      <c r="AJ246" s="48" t="n">
        <v>15</v>
      </c>
      <c r="AK246" s="48" t="n">
        <v>40</v>
      </c>
      <c r="AL246" s="48" t="n">
        <v>12</v>
      </c>
      <c r="AM246" s="48" t="n">
        <v>77</v>
      </c>
      <c r="AN246" s="48" t="n">
        <v>84</v>
      </c>
      <c r="AO246" s="48" t="n">
        <v>7</v>
      </c>
      <c r="AP246" s="48" t="n">
        <v>12</v>
      </c>
      <c r="AQ246" s="48" t="n">
        <v>19</v>
      </c>
      <c r="AR246" s="48" t="n">
        <v>100</v>
      </c>
      <c r="AS246" s="48" t="n">
        <v>4</v>
      </c>
      <c r="AT246" s="48" t="n">
        <v>188</v>
      </c>
      <c r="AU246" s="48" t="n">
        <v>319</v>
      </c>
      <c r="AV246" s="48" t="n">
        <v>303</v>
      </c>
      <c r="AW246" s="48" t="n">
        <v>184</v>
      </c>
      <c r="AX246" s="48" t="n">
        <v>281</v>
      </c>
      <c r="AY246" s="48" t="n">
        <v>260</v>
      </c>
      <c r="AZ246" s="48" t="n">
        <v>420</v>
      </c>
      <c r="BA246" s="48" t="n">
        <v>291</v>
      </c>
      <c r="BB246" s="48" t="n">
        <v>416</v>
      </c>
      <c r="BC246" s="48" t="n">
        <v>574</v>
      </c>
      <c r="BD246" s="48" t="n">
        <v>432</v>
      </c>
      <c r="BE246" s="48" t="n">
        <v>393</v>
      </c>
      <c r="BF246" s="48" t="n">
        <v>319</v>
      </c>
      <c r="BG246" s="49" t="n">
        <v>1.69</v>
      </c>
    </row>
    <row r="247" customFormat="false" ht="15" hidden="false" customHeight="false" outlineLevel="0" collapsed="false">
      <c r="A247" s="43" t="s">
        <v>730</v>
      </c>
      <c r="B247" s="43" t="s">
        <v>731</v>
      </c>
      <c r="C247" s="44" t="str">
        <f aca="false">IF(A247="","",IFERROR(INDEX(Assumptions!$B$41:$B$55,MATCH(TRUE(),INDEX(ISNUMBER(SEARCH(" "&amp;Assumptions!$A$41:$A$55&amp;" "," "&amp;SUBSTITUTE(SUBSTITUTE(SUBSTITUTE(SUBSTITUTE(B247,"-"," "),","," "),"/"," "),"."," ")&amp;" ")),0),0)),"Other"))</f>
        <v>Other</v>
      </c>
      <c r="D247" s="45" t="n">
        <f aca="false">IF(A247="","",BG247*(1-Assumptions!$B$18))</f>
        <v>1.248</v>
      </c>
      <c r="E247" s="46" t="n">
        <f aca="false">IF(A247="","",INDEX(Assumptions!$B$23:$B$26,MOD(VALUE(LEFT(A247,5)),4)+1))</f>
        <v>6</v>
      </c>
      <c r="F247" s="47" t="n">
        <v>2930</v>
      </c>
      <c r="G247" s="48" t="n">
        <v>91</v>
      </c>
      <c r="H247" s="48" t="n">
        <v>31</v>
      </c>
      <c r="I247" s="48" t="n">
        <v>22</v>
      </c>
      <c r="J247" s="48" t="n">
        <v>0</v>
      </c>
      <c r="K247" s="48" t="n">
        <v>30</v>
      </c>
      <c r="L247" s="48" t="n">
        <v>79</v>
      </c>
      <c r="M247" s="48" t="n">
        <v>7</v>
      </c>
      <c r="N247" s="48" t="n">
        <v>8</v>
      </c>
      <c r="O247" s="48" t="n">
        <v>8</v>
      </c>
      <c r="P247" s="48" t="n">
        <v>35</v>
      </c>
      <c r="Q247" s="48" t="n">
        <v>120</v>
      </c>
      <c r="R247" s="48" t="n">
        <v>58</v>
      </c>
      <c r="S247" s="48" t="n">
        <v>50</v>
      </c>
      <c r="T247" s="48" t="n">
        <v>58</v>
      </c>
      <c r="U247" s="48" t="n">
        <v>30</v>
      </c>
      <c r="V247" s="48" t="n">
        <v>57</v>
      </c>
      <c r="W247" s="48" t="n">
        <v>54</v>
      </c>
      <c r="X247" s="48" t="n">
        <v>27</v>
      </c>
      <c r="Y247" s="48" t="n">
        <v>52</v>
      </c>
      <c r="Z247" s="48" t="n">
        <v>50</v>
      </c>
      <c r="AA247" s="48" t="n">
        <v>39</v>
      </c>
      <c r="AB247" s="48" t="n">
        <v>61</v>
      </c>
      <c r="AC247" s="48" t="n">
        <v>114</v>
      </c>
      <c r="AD247" s="48" t="n">
        <v>107</v>
      </c>
      <c r="AE247" s="48" t="n">
        <v>25</v>
      </c>
      <c r="AF247" s="48" t="n">
        <v>35</v>
      </c>
      <c r="AG247" s="48" t="n">
        <v>97</v>
      </c>
      <c r="AH247" s="48" t="n">
        <v>140</v>
      </c>
      <c r="AI247" s="48" t="n">
        <v>23</v>
      </c>
      <c r="AJ247" s="48" t="n">
        <v>28</v>
      </c>
      <c r="AK247" s="48" t="n">
        <v>46</v>
      </c>
      <c r="AL247" s="48" t="n">
        <v>220</v>
      </c>
      <c r="AM247" s="48" t="n">
        <v>22</v>
      </c>
      <c r="AN247" s="48" t="n">
        <v>32</v>
      </c>
      <c r="AO247" s="48" t="n">
        <v>35</v>
      </c>
      <c r="AP247" s="48" t="n">
        <v>79</v>
      </c>
      <c r="AQ247" s="48" t="n">
        <v>82</v>
      </c>
      <c r="AR247" s="48" t="n">
        <v>66</v>
      </c>
      <c r="AS247" s="48" t="n">
        <v>34</v>
      </c>
      <c r="AT247" s="48" t="n">
        <v>117</v>
      </c>
      <c r="AU247" s="48" t="n">
        <v>70</v>
      </c>
      <c r="AV247" s="48" t="n">
        <v>386</v>
      </c>
      <c r="AW247" s="48" t="n">
        <v>83</v>
      </c>
      <c r="AX247" s="48" t="n">
        <v>221</v>
      </c>
      <c r="AY247" s="48" t="n">
        <v>42</v>
      </c>
      <c r="AZ247" s="48" t="n">
        <v>53</v>
      </c>
      <c r="BA247" s="48" t="n">
        <v>130</v>
      </c>
      <c r="BB247" s="48" t="n">
        <v>120</v>
      </c>
      <c r="BC247" s="48" t="n">
        <v>7</v>
      </c>
      <c r="BD247" s="48" t="n">
        <v>101</v>
      </c>
      <c r="BE247" s="48" t="n">
        <v>17</v>
      </c>
      <c r="BF247" s="48" t="n">
        <v>510</v>
      </c>
      <c r="BG247" s="49" t="n">
        <v>2.08</v>
      </c>
    </row>
    <row r="248" customFormat="false" ht="15" hidden="false" customHeight="false" outlineLevel="0" collapsed="false">
      <c r="A248" s="43" t="s">
        <v>732</v>
      </c>
      <c r="B248" s="43" t="s">
        <v>733</v>
      </c>
      <c r="C248" s="44" t="str">
        <f aca="false">IF(A248="","",IFERROR(INDEX(Assumptions!$B$41:$B$55,MATCH(TRUE(),INDEX(ISNUMBER(SEARCH(" "&amp;Assumptions!$A$41:$A$55&amp;" "," "&amp;SUBSTITUTE(SUBSTITUTE(SUBSTITUTE(SUBSTITUTE(B248,"-"," "),","," "),"/"," "),"."," ")&amp;" ")),0),0)),"Other"))</f>
        <v>Other</v>
      </c>
      <c r="D248" s="45" t="n">
        <f aca="false">IF(A248="","",BG248*(1-Assumptions!$B$18))</f>
        <v>1.26</v>
      </c>
      <c r="E248" s="46" t="n">
        <f aca="false">IF(A248="","",INDEX(Assumptions!$B$23:$B$26,MOD(VALUE(LEFT(A248,5)),4)+1))</f>
        <v>2</v>
      </c>
      <c r="F248" s="47" t="n">
        <v>2054</v>
      </c>
      <c r="G248" s="48" t="n">
        <v>194</v>
      </c>
      <c r="H248" s="48" t="n">
        <v>48</v>
      </c>
      <c r="I248" s="48" t="n">
        <v>2</v>
      </c>
      <c r="J248" s="48" t="n">
        <v>0</v>
      </c>
      <c r="K248" s="48" t="n">
        <v>1</v>
      </c>
      <c r="L248" s="48" t="n">
        <v>2</v>
      </c>
      <c r="M248" s="48" t="n">
        <v>1</v>
      </c>
      <c r="N248" s="48" t="n">
        <v>4</v>
      </c>
      <c r="O248" s="48" t="n">
        <v>1</v>
      </c>
      <c r="P248" s="48" t="n">
        <v>4</v>
      </c>
      <c r="Q248" s="48" t="n">
        <v>0</v>
      </c>
      <c r="R248" s="48" t="n">
        <v>0</v>
      </c>
      <c r="S248" s="48" t="n">
        <v>0</v>
      </c>
      <c r="T248" s="48" t="n">
        <v>0</v>
      </c>
      <c r="U248" s="48" t="n">
        <v>1</v>
      </c>
      <c r="V248" s="48" t="n">
        <v>1</v>
      </c>
      <c r="W248" s="48" t="n">
        <v>0</v>
      </c>
      <c r="X248" s="48" t="n">
        <v>0</v>
      </c>
      <c r="Y248" s="48" t="n">
        <v>0</v>
      </c>
      <c r="Z248" s="48" t="n">
        <v>0</v>
      </c>
      <c r="AA248" s="48" t="n">
        <v>0</v>
      </c>
      <c r="AB248" s="48" t="n">
        <v>0</v>
      </c>
      <c r="AC248" s="48" t="n">
        <v>0</v>
      </c>
      <c r="AD248" s="48" t="n">
        <v>6</v>
      </c>
      <c r="AE248" s="48" t="n">
        <v>1</v>
      </c>
      <c r="AF248" s="48" t="n">
        <v>0</v>
      </c>
      <c r="AG248" s="48" t="n">
        <v>80</v>
      </c>
      <c r="AH248" s="48" t="n">
        <v>0</v>
      </c>
      <c r="AI248" s="48" t="n">
        <v>0</v>
      </c>
      <c r="AJ248" s="48" t="n">
        <v>3</v>
      </c>
      <c r="AK248" s="48" t="n">
        <v>4</v>
      </c>
      <c r="AL248" s="48" t="n">
        <v>13</v>
      </c>
      <c r="AM248" s="48" t="n">
        <v>14</v>
      </c>
      <c r="AN248" s="48" t="n">
        <v>117</v>
      </c>
      <c r="AO248" s="48" t="n">
        <v>38</v>
      </c>
      <c r="AP248" s="48" t="n">
        <v>71</v>
      </c>
      <c r="AQ248" s="48" t="n">
        <v>1</v>
      </c>
      <c r="AR248" s="48" t="n">
        <v>28</v>
      </c>
      <c r="AS248" s="48" t="n">
        <v>21</v>
      </c>
      <c r="AT248" s="48" t="n">
        <v>70</v>
      </c>
      <c r="AU248" s="48" t="n">
        <v>120</v>
      </c>
      <c r="AV248" s="48" t="n">
        <v>223</v>
      </c>
      <c r="AW248" s="48" t="n">
        <v>129</v>
      </c>
      <c r="AX248" s="48" t="n">
        <v>242</v>
      </c>
      <c r="AY248" s="48" t="n">
        <v>235</v>
      </c>
      <c r="AZ248" s="48" t="n">
        <v>225</v>
      </c>
      <c r="BA248" s="48" t="n">
        <v>230</v>
      </c>
      <c r="BB248" s="48" t="n">
        <v>439</v>
      </c>
      <c r="BC248" s="48" t="n">
        <v>318</v>
      </c>
      <c r="BD248" s="48" t="n">
        <v>384</v>
      </c>
      <c r="BE248" s="48" t="n">
        <v>305</v>
      </c>
      <c r="BF248" s="48" t="n">
        <v>239</v>
      </c>
      <c r="BG248" s="49" t="n">
        <v>2.1</v>
      </c>
    </row>
    <row r="249" customFormat="false" ht="15" hidden="false" customHeight="false" outlineLevel="0" collapsed="false">
      <c r="A249" s="43" t="s">
        <v>734</v>
      </c>
      <c r="B249" s="43" t="s">
        <v>735</v>
      </c>
      <c r="C249" s="44" t="str">
        <f aca="false">IF(A249="","",IFERROR(INDEX(Assumptions!$B$41:$B$55,MATCH(TRUE(),INDEX(ISNUMBER(SEARCH(" "&amp;Assumptions!$A$41:$A$55&amp;" "," "&amp;SUBSTITUTE(SUBSTITUTE(SUBSTITUTE(SUBSTITUTE(B249,"-"," "),","," "),"/"," "),"."," ")&amp;" ")),0),0)),"Other"))</f>
        <v>Kitchen</v>
      </c>
      <c r="D249" s="45" t="n">
        <f aca="false">IF(A249="","",BG249*(1-Assumptions!$B$18))</f>
        <v>0.33</v>
      </c>
      <c r="E249" s="46" t="n">
        <f aca="false">IF(A249="","",INDEX(Assumptions!$B$23:$B$26,MOD(VALUE(LEFT(A249,5)),4)+1))</f>
        <v>8</v>
      </c>
      <c r="F249" s="47" t="n">
        <v>2058</v>
      </c>
      <c r="G249" s="48" t="n">
        <v>266</v>
      </c>
      <c r="H249" s="48" t="n">
        <v>429</v>
      </c>
      <c r="I249" s="48" t="n">
        <v>607</v>
      </c>
      <c r="J249" s="48" t="n">
        <v>0</v>
      </c>
      <c r="K249" s="48" t="n">
        <v>170</v>
      </c>
      <c r="L249" s="48" t="n">
        <v>294</v>
      </c>
      <c r="M249" s="48" t="n">
        <v>274</v>
      </c>
      <c r="N249" s="48" t="n">
        <v>172</v>
      </c>
      <c r="O249" s="48" t="n">
        <v>385</v>
      </c>
      <c r="P249" s="48" t="n">
        <v>83</v>
      </c>
      <c r="Q249" s="48" t="n">
        <v>259</v>
      </c>
      <c r="R249" s="48" t="n">
        <v>194</v>
      </c>
      <c r="S249" s="48" t="n">
        <v>134</v>
      </c>
      <c r="T249" s="48" t="n">
        <v>598</v>
      </c>
      <c r="U249" s="48" t="n">
        <v>538</v>
      </c>
      <c r="V249" s="48" t="n">
        <v>239</v>
      </c>
      <c r="W249" s="48" t="n">
        <v>736</v>
      </c>
      <c r="X249" s="48" t="n">
        <v>271</v>
      </c>
      <c r="Y249" s="48" t="n">
        <v>477</v>
      </c>
      <c r="Z249" s="48" t="n">
        <v>1182</v>
      </c>
      <c r="AA249" s="48" t="n">
        <v>246</v>
      </c>
      <c r="AB249" s="48" t="n">
        <v>265</v>
      </c>
      <c r="AC249" s="48" t="n">
        <v>532</v>
      </c>
      <c r="AD249" s="48" t="n">
        <v>232</v>
      </c>
      <c r="AE249" s="48" t="n">
        <v>301</v>
      </c>
      <c r="AF249" s="48" t="n">
        <v>136</v>
      </c>
      <c r="AG249" s="48" t="n">
        <v>90</v>
      </c>
      <c r="AH249" s="48" t="n">
        <v>304</v>
      </c>
      <c r="AI249" s="48" t="n">
        <v>94</v>
      </c>
      <c r="AJ249" s="48" t="n">
        <v>185</v>
      </c>
      <c r="AK249" s="48" t="n">
        <v>645</v>
      </c>
      <c r="AL249" s="48" t="n">
        <v>133</v>
      </c>
      <c r="AM249" s="48" t="n">
        <v>124</v>
      </c>
      <c r="AN249" s="48" t="n">
        <v>402</v>
      </c>
      <c r="AO249" s="48" t="n">
        <v>248</v>
      </c>
      <c r="AP249" s="48" t="n">
        <v>340</v>
      </c>
      <c r="AQ249" s="48" t="n">
        <v>648</v>
      </c>
      <c r="AR249" s="48" t="n">
        <v>155</v>
      </c>
      <c r="AS249" s="48" t="n">
        <v>141</v>
      </c>
      <c r="AT249" s="48" t="n">
        <v>910</v>
      </c>
      <c r="AU249" s="48" t="n">
        <v>733</v>
      </c>
      <c r="AV249" s="48" t="n">
        <v>426</v>
      </c>
      <c r="AW249" s="48" t="n">
        <v>220</v>
      </c>
      <c r="AX249" s="48" t="n">
        <v>157</v>
      </c>
      <c r="AY249" s="48" t="n">
        <v>193</v>
      </c>
      <c r="AZ249" s="48" t="n">
        <v>729</v>
      </c>
      <c r="BA249" s="48" t="n">
        <v>440</v>
      </c>
      <c r="BB249" s="48" t="n">
        <v>263</v>
      </c>
      <c r="BC249" s="48" t="n">
        <v>197</v>
      </c>
      <c r="BD249" s="48" t="n">
        <v>547</v>
      </c>
      <c r="BE249" s="48" t="n">
        <v>360</v>
      </c>
      <c r="BF249" s="48" t="n">
        <v>136</v>
      </c>
      <c r="BG249" s="49" t="n">
        <v>0.55</v>
      </c>
    </row>
    <row r="250" customFormat="false" ht="15" hidden="false" customHeight="false" outlineLevel="0" collapsed="false">
      <c r="A250" s="43" t="s">
        <v>736</v>
      </c>
      <c r="B250" s="43" t="s">
        <v>737</v>
      </c>
      <c r="C250" s="44" t="str">
        <f aca="false">IF(A250="","",IFERROR(INDEX(Assumptions!$B$41:$B$55,MATCH(TRUE(),INDEX(ISNUMBER(SEARCH(" "&amp;Assumptions!$A$41:$A$55&amp;" "," "&amp;SUBSTITUTE(SUBSTITUTE(SUBSTITUTE(SUBSTITUTE(B250,"-"," "),","," "),"/"," "),"."," ")&amp;" ")),0),0)),"Other"))</f>
        <v>Other</v>
      </c>
      <c r="D250" s="45" t="n">
        <f aca="false">IF(A250="","",BG250*(1-Assumptions!$B$18))</f>
        <v>1.494</v>
      </c>
      <c r="E250" s="46" t="n">
        <f aca="false">IF(A250="","",INDEX(Assumptions!$B$23:$B$26,MOD(VALUE(LEFT(A250,5)),4)+1))</f>
        <v>8</v>
      </c>
      <c r="F250" s="47" t="n">
        <v>628</v>
      </c>
      <c r="G250" s="48" t="n">
        <v>0</v>
      </c>
      <c r="H250" s="48" t="n">
        <v>0</v>
      </c>
      <c r="I250" s="48" t="n">
        <v>0</v>
      </c>
      <c r="J250" s="48" t="n">
        <v>0</v>
      </c>
      <c r="K250" s="48" t="n">
        <v>0</v>
      </c>
      <c r="L250" s="48" t="n">
        <v>0</v>
      </c>
      <c r="M250" s="48" t="n">
        <v>0</v>
      </c>
      <c r="N250" s="48" t="n">
        <v>0</v>
      </c>
      <c r="O250" s="48" t="n">
        <v>0</v>
      </c>
      <c r="P250" s="48" t="n">
        <v>0</v>
      </c>
      <c r="Q250" s="48" t="n">
        <v>0</v>
      </c>
      <c r="R250" s="48" t="n">
        <v>0</v>
      </c>
      <c r="S250" s="48" t="n">
        <v>0</v>
      </c>
      <c r="T250" s="48" t="n">
        <v>0</v>
      </c>
      <c r="U250" s="48" t="n">
        <v>0</v>
      </c>
      <c r="V250" s="48" t="n">
        <v>0</v>
      </c>
      <c r="W250" s="48" t="n">
        <v>0</v>
      </c>
      <c r="X250" s="48" t="n">
        <v>0</v>
      </c>
      <c r="Y250" s="48" t="n">
        <v>0</v>
      </c>
      <c r="Z250" s="48" t="n">
        <v>0</v>
      </c>
      <c r="AA250" s="48" t="n">
        <v>0</v>
      </c>
      <c r="AB250" s="48" t="n">
        <v>0</v>
      </c>
      <c r="AC250" s="48" t="n">
        <v>0</v>
      </c>
      <c r="AD250" s="48" t="n">
        <v>0</v>
      </c>
      <c r="AE250" s="48" t="n">
        <v>0</v>
      </c>
      <c r="AF250" s="48" t="n">
        <v>0</v>
      </c>
      <c r="AG250" s="48" t="n">
        <v>0</v>
      </c>
      <c r="AH250" s="48" t="n">
        <v>0</v>
      </c>
      <c r="AI250" s="48" t="n">
        <v>0</v>
      </c>
      <c r="AJ250" s="48" t="n">
        <v>0</v>
      </c>
      <c r="AK250" s="48" t="n">
        <v>12</v>
      </c>
      <c r="AL250" s="48" t="n">
        <v>7</v>
      </c>
      <c r="AM250" s="48" t="n">
        <v>6</v>
      </c>
      <c r="AN250" s="48" t="n">
        <v>72</v>
      </c>
      <c r="AO250" s="48" t="n">
        <v>71</v>
      </c>
      <c r="AP250" s="48" t="n">
        <v>18</v>
      </c>
      <c r="AQ250" s="48" t="n">
        <v>22</v>
      </c>
      <c r="AR250" s="48" t="n">
        <v>32</v>
      </c>
      <c r="AS250" s="48" t="n">
        <v>74</v>
      </c>
      <c r="AT250" s="48" t="n">
        <v>138</v>
      </c>
      <c r="AU250" s="48" t="n">
        <v>231</v>
      </c>
      <c r="AV250" s="48" t="n">
        <v>368</v>
      </c>
      <c r="AW250" s="48" t="n">
        <v>125</v>
      </c>
      <c r="AX250" s="48" t="n">
        <v>110</v>
      </c>
      <c r="AY250" s="48" t="n">
        <v>225</v>
      </c>
      <c r="AZ250" s="48" t="n">
        <v>195</v>
      </c>
      <c r="BA250" s="48" t="n">
        <v>418</v>
      </c>
      <c r="BB250" s="48" t="n">
        <v>248</v>
      </c>
      <c r="BC250" s="48" t="n">
        <v>565</v>
      </c>
      <c r="BD250" s="48" t="n">
        <v>315</v>
      </c>
      <c r="BE250" s="48" t="n">
        <v>155</v>
      </c>
      <c r="BF250" s="48" t="n">
        <v>219</v>
      </c>
      <c r="BG250" s="49" t="n">
        <v>2.49</v>
      </c>
    </row>
    <row r="251" customFormat="false" ht="15" hidden="false" customHeight="false" outlineLevel="0" collapsed="false">
      <c r="A251" s="43" t="s">
        <v>738</v>
      </c>
      <c r="B251" s="43" t="s">
        <v>739</v>
      </c>
      <c r="C251" s="44" t="str">
        <f aca="false">IF(A251="","",IFERROR(INDEX(Assumptions!$B$41:$B$55,MATCH(TRUE(),INDEX(ISNUMBER(SEARCH(" "&amp;Assumptions!$A$41:$A$55&amp;" "," "&amp;SUBSTITUTE(SUBSTITUTE(SUBSTITUTE(SUBSTITUTE(B251,"-"," "),","," "),"/"," "),"."," ")&amp;" ")),0),0)),"Other"))</f>
        <v>Other</v>
      </c>
      <c r="D251" s="45" t="n">
        <f aca="false">IF(A251="","",BG251*(1-Assumptions!$B$18))</f>
        <v>0.99</v>
      </c>
      <c r="E251" s="46" t="n">
        <f aca="false">IF(A251="","",INDEX(Assumptions!$B$23:$B$26,MOD(VALUE(LEFT(A251,5)),4)+1))</f>
        <v>8</v>
      </c>
      <c r="F251" s="47" t="n">
        <v>1135</v>
      </c>
      <c r="G251" s="48" t="n">
        <v>100</v>
      </c>
      <c r="H251" s="48" t="n">
        <v>106</v>
      </c>
      <c r="I251" s="48" t="n">
        <v>3</v>
      </c>
      <c r="J251" s="48" t="n">
        <v>0</v>
      </c>
      <c r="K251" s="48" t="n">
        <v>40</v>
      </c>
      <c r="L251" s="48" t="n">
        <v>161</v>
      </c>
      <c r="M251" s="48" t="n">
        <v>46</v>
      </c>
      <c r="N251" s="48" t="n">
        <v>26</v>
      </c>
      <c r="O251" s="48" t="n">
        <v>117</v>
      </c>
      <c r="P251" s="48" t="n">
        <v>100</v>
      </c>
      <c r="Q251" s="48" t="n">
        <v>60</v>
      </c>
      <c r="R251" s="48" t="n">
        <v>103</v>
      </c>
      <c r="S251" s="48" t="n">
        <v>37</v>
      </c>
      <c r="T251" s="48" t="n">
        <v>157</v>
      </c>
      <c r="U251" s="48" t="n">
        <v>20</v>
      </c>
      <c r="V251" s="48" t="n">
        <v>38</v>
      </c>
      <c r="W251" s="48" t="n">
        <v>138</v>
      </c>
      <c r="X251" s="48" t="n">
        <v>78</v>
      </c>
      <c r="Y251" s="48" t="n">
        <v>27</v>
      </c>
      <c r="Z251" s="48" t="n">
        <v>46</v>
      </c>
      <c r="AA251" s="48" t="n">
        <v>84</v>
      </c>
      <c r="AB251" s="48" t="n">
        <v>64</v>
      </c>
      <c r="AC251" s="48" t="n">
        <v>49</v>
      </c>
      <c r="AD251" s="48" t="n">
        <v>87</v>
      </c>
      <c r="AE251" s="48" t="n">
        <v>134</v>
      </c>
      <c r="AF251" s="48" t="n">
        <v>110</v>
      </c>
      <c r="AG251" s="48" t="n">
        <v>27</v>
      </c>
      <c r="AH251" s="48" t="n">
        <v>27</v>
      </c>
      <c r="AI251" s="48" t="n">
        <v>74</v>
      </c>
      <c r="AJ251" s="48" t="n">
        <v>110</v>
      </c>
      <c r="AK251" s="48" t="n">
        <v>20</v>
      </c>
      <c r="AL251" s="48" t="n">
        <v>13</v>
      </c>
      <c r="AM251" s="48" t="n">
        <v>40</v>
      </c>
      <c r="AN251" s="48" t="n">
        <v>41</v>
      </c>
      <c r="AO251" s="48" t="n">
        <v>164</v>
      </c>
      <c r="AP251" s="48" t="n">
        <v>20</v>
      </c>
      <c r="AQ251" s="48" t="n">
        <v>59</v>
      </c>
      <c r="AR251" s="48" t="n">
        <v>50</v>
      </c>
      <c r="AS251" s="48" t="n">
        <v>9</v>
      </c>
      <c r="AT251" s="48" t="n">
        <v>137</v>
      </c>
      <c r="AU251" s="48" t="n">
        <v>29</v>
      </c>
      <c r="AV251" s="48" t="n">
        <v>148</v>
      </c>
      <c r="AW251" s="48" t="n">
        <v>130</v>
      </c>
      <c r="AX251" s="48" t="n">
        <v>805</v>
      </c>
      <c r="AY251" s="48" t="n">
        <v>73</v>
      </c>
      <c r="AZ251" s="48" t="n">
        <v>336</v>
      </c>
      <c r="BA251" s="48" t="n">
        <v>193</v>
      </c>
      <c r="BB251" s="48" t="n">
        <v>109</v>
      </c>
      <c r="BC251" s="48" t="n">
        <v>387</v>
      </c>
      <c r="BD251" s="48" t="n">
        <v>246</v>
      </c>
      <c r="BE251" s="48" t="n">
        <v>40</v>
      </c>
      <c r="BF251" s="48" t="n">
        <v>147</v>
      </c>
      <c r="BG251" s="49" t="n">
        <v>1.65</v>
      </c>
    </row>
    <row r="252" customFormat="false" ht="15" hidden="false" customHeight="false" outlineLevel="0" collapsed="false">
      <c r="A252" s="43" t="s">
        <v>740</v>
      </c>
      <c r="B252" s="43" t="s">
        <v>741</v>
      </c>
      <c r="C252" s="44" t="str">
        <f aca="false">IF(A252="","",IFERROR(INDEX(Assumptions!$B$41:$B$55,MATCH(TRUE(),INDEX(ISNUMBER(SEARCH(" "&amp;Assumptions!$A$41:$A$55&amp;" "," "&amp;SUBSTITUTE(SUBSTITUTE(SUBSTITUTE(SUBSTITUTE(B252,"-"," "),","," "),"/"," "),"."," ")&amp;" ")),0),0)),"Other"))</f>
        <v>Other</v>
      </c>
      <c r="D252" s="45" t="n">
        <f aca="false">IF(A252="","",BG252*(1-Assumptions!$B$18))</f>
        <v>2.25</v>
      </c>
      <c r="E252" s="46" t="n">
        <f aca="false">IF(A252="","",INDEX(Assumptions!$B$23:$B$26,MOD(VALUE(LEFT(A252,5)),4)+1))</f>
        <v>4</v>
      </c>
      <c r="F252" s="47" t="n">
        <v>525</v>
      </c>
      <c r="G252" s="48" t="n">
        <v>68</v>
      </c>
      <c r="H252" s="48" t="n">
        <v>41</v>
      </c>
      <c r="I252" s="48" t="n">
        <v>36</v>
      </c>
      <c r="J252" s="48" t="n">
        <v>0</v>
      </c>
      <c r="K252" s="48" t="n">
        <v>51</v>
      </c>
      <c r="L252" s="48" t="n">
        <v>17</v>
      </c>
      <c r="M252" s="48" t="n">
        <v>23</v>
      </c>
      <c r="N252" s="48" t="n">
        <v>26</v>
      </c>
      <c r="O252" s="48" t="n">
        <v>14</v>
      </c>
      <c r="P252" s="48" t="n">
        <v>20</v>
      </c>
      <c r="Q252" s="48" t="n">
        <v>26</v>
      </c>
      <c r="R252" s="48" t="n">
        <v>26</v>
      </c>
      <c r="S252" s="48" t="n">
        <v>33</v>
      </c>
      <c r="T252" s="48" t="n">
        <v>12</v>
      </c>
      <c r="U252" s="48" t="n">
        <v>40</v>
      </c>
      <c r="V252" s="48" t="n">
        <v>29</v>
      </c>
      <c r="W252" s="48" t="n">
        <v>26</v>
      </c>
      <c r="X252" s="48" t="n">
        <v>346</v>
      </c>
      <c r="Y252" s="48" t="n">
        <v>51</v>
      </c>
      <c r="Z252" s="48" t="n">
        <v>24</v>
      </c>
      <c r="AA252" s="48" t="n">
        <v>67</v>
      </c>
      <c r="AB252" s="48" t="n">
        <v>40</v>
      </c>
      <c r="AC252" s="48" t="n">
        <v>50</v>
      </c>
      <c r="AD252" s="48" t="n">
        <v>79</v>
      </c>
      <c r="AE252" s="48" t="n">
        <v>42</v>
      </c>
      <c r="AF252" s="48" t="n">
        <v>39</v>
      </c>
      <c r="AG252" s="48" t="n">
        <v>23</v>
      </c>
      <c r="AH252" s="48" t="n">
        <v>16</v>
      </c>
      <c r="AI252" s="48" t="n">
        <v>35</v>
      </c>
      <c r="AJ252" s="48" t="n">
        <v>75</v>
      </c>
      <c r="AK252" s="48" t="n">
        <v>23</v>
      </c>
      <c r="AL252" s="48" t="n">
        <v>22</v>
      </c>
      <c r="AM252" s="48" t="n">
        <v>45</v>
      </c>
      <c r="AN252" s="48" t="n">
        <v>75</v>
      </c>
      <c r="AO252" s="48" t="n">
        <v>49</v>
      </c>
      <c r="AP252" s="48" t="n">
        <v>37</v>
      </c>
      <c r="AQ252" s="48" t="n">
        <v>58</v>
      </c>
      <c r="AR252" s="48" t="n">
        <v>135</v>
      </c>
      <c r="AS252" s="48" t="n">
        <v>39</v>
      </c>
      <c r="AT252" s="48" t="n">
        <v>91</v>
      </c>
      <c r="AU252" s="48" t="n">
        <v>87</v>
      </c>
      <c r="AV252" s="48" t="n">
        <v>38</v>
      </c>
      <c r="AW252" s="48" t="n">
        <v>36</v>
      </c>
      <c r="AX252" s="48" t="n">
        <v>114</v>
      </c>
      <c r="AY252" s="48" t="n">
        <v>12</v>
      </c>
      <c r="AZ252" s="48" t="n">
        <v>9</v>
      </c>
      <c r="BA252" s="48" t="n">
        <v>2</v>
      </c>
      <c r="BB252" s="48" t="n">
        <v>6</v>
      </c>
      <c r="BC252" s="48" t="n">
        <v>5</v>
      </c>
      <c r="BD252" s="48" t="n">
        <v>7</v>
      </c>
      <c r="BE252" s="48" t="n">
        <v>4</v>
      </c>
      <c r="BF252" s="48" t="n">
        <v>8</v>
      </c>
      <c r="BG252" s="49" t="n">
        <v>3.75</v>
      </c>
    </row>
    <row r="253" customFormat="false" ht="15" hidden="false" customHeight="false" outlineLevel="0" collapsed="false">
      <c r="A253" s="43" t="s">
        <v>742</v>
      </c>
      <c r="B253" s="43" t="s">
        <v>743</v>
      </c>
      <c r="C253" s="44" t="str">
        <f aca="false">IF(A253="","",IFERROR(INDEX(Assumptions!$B$41:$B$55,MATCH(TRUE(),INDEX(ISNUMBER(SEARCH(" "&amp;Assumptions!$A$41:$A$55&amp;" "," "&amp;SUBSTITUTE(SUBSTITUTE(SUBSTITUTE(SUBSTITUTE(B253,"-"," "),","," "),"/"," "),"."," ")&amp;" ")),0),0)),"Other"))</f>
        <v>Other</v>
      </c>
      <c r="D253" s="45" t="n">
        <f aca="false">IF(A253="","",BG253*(1-Assumptions!$B$18))</f>
        <v>4.77</v>
      </c>
      <c r="E253" s="46" t="n">
        <f aca="false">IF(A253="","",INDEX(Assumptions!$B$23:$B$26,MOD(VALUE(LEFT(A253,5)),4)+1))</f>
        <v>2</v>
      </c>
      <c r="F253" s="47" t="n">
        <v>255</v>
      </c>
      <c r="G253" s="48" t="n">
        <v>103</v>
      </c>
      <c r="H253" s="48" t="n">
        <v>22</v>
      </c>
      <c r="I253" s="48" t="n">
        <v>7</v>
      </c>
      <c r="J253" s="48" t="n">
        <v>0</v>
      </c>
      <c r="K253" s="48" t="n">
        <v>10</v>
      </c>
      <c r="L253" s="48" t="n">
        <v>19</v>
      </c>
      <c r="M253" s="48" t="n">
        <v>4</v>
      </c>
      <c r="N253" s="48" t="n">
        <v>3</v>
      </c>
      <c r="O253" s="48" t="n">
        <v>9</v>
      </c>
      <c r="P253" s="48" t="n">
        <v>5</v>
      </c>
      <c r="Q253" s="48" t="n">
        <v>10</v>
      </c>
      <c r="R253" s="48" t="n">
        <v>9</v>
      </c>
      <c r="S253" s="48" t="n">
        <v>48</v>
      </c>
      <c r="T253" s="48" t="n">
        <v>17</v>
      </c>
      <c r="U253" s="48" t="n">
        <v>25</v>
      </c>
      <c r="V253" s="48" t="n">
        <v>25</v>
      </c>
      <c r="W253" s="48" t="n">
        <v>10</v>
      </c>
      <c r="X253" s="48" t="n">
        <v>12</v>
      </c>
      <c r="Y253" s="48" t="n">
        <v>22</v>
      </c>
      <c r="Z253" s="48" t="n">
        <v>15</v>
      </c>
      <c r="AA253" s="48" t="n">
        <v>5</v>
      </c>
      <c r="AB253" s="48" t="n">
        <v>24</v>
      </c>
      <c r="AC253" s="48" t="n">
        <v>27</v>
      </c>
      <c r="AD253" s="48" t="n">
        <v>117</v>
      </c>
      <c r="AE253" s="48" t="n">
        <v>16</v>
      </c>
      <c r="AF253" s="48" t="n">
        <v>0</v>
      </c>
      <c r="AG253" s="48" t="n">
        <v>300</v>
      </c>
      <c r="AH253" s="48" t="n">
        <v>10</v>
      </c>
      <c r="AI253" s="48" t="n">
        <v>4</v>
      </c>
      <c r="AJ253" s="48" t="n">
        <v>2</v>
      </c>
      <c r="AK253" s="48" t="n">
        <v>33</v>
      </c>
      <c r="AL253" s="48" t="n">
        <v>2</v>
      </c>
      <c r="AM253" s="48" t="n">
        <v>17</v>
      </c>
      <c r="AN253" s="48" t="n">
        <v>5</v>
      </c>
      <c r="AO253" s="48" t="n">
        <v>23</v>
      </c>
      <c r="AP253" s="48" t="n">
        <v>2</v>
      </c>
      <c r="AQ253" s="48" t="n">
        <v>12</v>
      </c>
      <c r="AR253" s="48" t="n">
        <v>1</v>
      </c>
      <c r="AS253" s="48" t="n">
        <v>0</v>
      </c>
      <c r="AT253" s="48" t="n">
        <v>0</v>
      </c>
      <c r="AU253" s="48" t="n">
        <v>423</v>
      </c>
      <c r="AV253" s="48" t="n">
        <v>1</v>
      </c>
      <c r="AW253" s="48" t="n">
        <v>15</v>
      </c>
      <c r="AX253" s="48" t="n">
        <v>37</v>
      </c>
      <c r="AY253" s="48" t="n">
        <v>0</v>
      </c>
      <c r="AZ253" s="48" t="n">
        <v>1</v>
      </c>
      <c r="BA253" s="48" t="n">
        <v>0</v>
      </c>
      <c r="BB253" s="48" t="n">
        <v>0</v>
      </c>
      <c r="BC253" s="48" t="n">
        <v>10</v>
      </c>
      <c r="BD253" s="48" t="n">
        <v>3</v>
      </c>
      <c r="BE253" s="48" t="n">
        <v>5</v>
      </c>
      <c r="BF253" s="48" t="n">
        <v>4</v>
      </c>
      <c r="BG253" s="49" t="n">
        <v>7.95</v>
      </c>
    </row>
    <row r="254" customFormat="false" ht="15" hidden="false" customHeight="false" outlineLevel="0" collapsed="false">
      <c r="A254" s="43" t="s">
        <v>744</v>
      </c>
      <c r="B254" s="43" t="s">
        <v>745</v>
      </c>
      <c r="C254" s="44" t="str">
        <f aca="false">IF(A254="","",IFERROR(INDEX(Assumptions!$B$41:$B$55,MATCH(TRUE(),INDEX(ISNUMBER(SEARCH(" "&amp;Assumptions!$A$41:$A$55&amp;" "," "&amp;SUBSTITUTE(SUBSTITUTE(SUBSTITUTE(SUBSTITUTE(B254,"-"," "),","," "),"/"," "),"."," ")&amp;" ")),0),0)),"Other"))</f>
        <v>Kitchen</v>
      </c>
      <c r="D254" s="45" t="n">
        <f aca="false">IF(A254="","",BG254*(1-Assumptions!$B$18))</f>
        <v>0.33</v>
      </c>
      <c r="E254" s="46" t="n">
        <f aca="false">IF(A254="","",INDEX(Assumptions!$B$23:$B$26,MOD(VALUE(LEFT(A254,5)),4)+1))</f>
        <v>2</v>
      </c>
      <c r="F254" s="47" t="n">
        <v>14820</v>
      </c>
      <c r="G254" s="48" t="n">
        <v>406</v>
      </c>
      <c r="H254" s="48" t="n">
        <v>529</v>
      </c>
      <c r="I254" s="48" t="n">
        <v>25</v>
      </c>
      <c r="J254" s="48" t="n">
        <v>0</v>
      </c>
      <c r="K254" s="48" t="n">
        <v>6</v>
      </c>
      <c r="L254" s="48" t="n">
        <v>0</v>
      </c>
      <c r="M254" s="48" t="n">
        <v>1</v>
      </c>
      <c r="N254" s="48" t="n">
        <v>2</v>
      </c>
      <c r="O254" s="48" t="n">
        <v>0</v>
      </c>
      <c r="P254" s="48" t="n">
        <v>1</v>
      </c>
      <c r="Q254" s="48" t="n">
        <v>0</v>
      </c>
      <c r="R254" s="48" t="n">
        <v>1</v>
      </c>
      <c r="S254" s="48" t="n">
        <v>1</v>
      </c>
      <c r="T254" s="48" t="n">
        <v>0</v>
      </c>
      <c r="U254" s="48" t="n">
        <v>0</v>
      </c>
      <c r="V254" s="48" t="n">
        <v>24</v>
      </c>
      <c r="W254" s="48" t="n">
        <v>0</v>
      </c>
      <c r="X254" s="48" t="n">
        <v>1</v>
      </c>
      <c r="Y254" s="48" t="n">
        <v>0</v>
      </c>
      <c r="Z254" s="48" t="n">
        <v>0</v>
      </c>
      <c r="AA254" s="48" t="n">
        <v>1</v>
      </c>
      <c r="AB254" s="48" t="n">
        <v>0</v>
      </c>
      <c r="AC254" s="48" t="n">
        <v>1</v>
      </c>
      <c r="AD254" s="48" t="n">
        <v>0</v>
      </c>
      <c r="AE254" s="48" t="n">
        <v>0</v>
      </c>
      <c r="AF254" s="48" t="n">
        <v>0</v>
      </c>
      <c r="AG254" s="48" t="n">
        <v>0</v>
      </c>
      <c r="AH254" s="48" t="n">
        <v>2</v>
      </c>
      <c r="AI254" s="48" t="n">
        <v>3</v>
      </c>
      <c r="AJ254" s="48" t="n">
        <v>27</v>
      </c>
      <c r="AK254" s="48" t="n">
        <v>144</v>
      </c>
      <c r="AL254" s="48" t="n">
        <v>176</v>
      </c>
      <c r="AM254" s="48" t="n">
        <v>37</v>
      </c>
      <c r="AN254" s="48" t="n">
        <v>843</v>
      </c>
      <c r="AO254" s="48" t="n">
        <v>288</v>
      </c>
      <c r="AP254" s="48" t="n">
        <v>101</v>
      </c>
      <c r="AQ254" s="48" t="n">
        <v>299</v>
      </c>
      <c r="AR254" s="48" t="n">
        <v>118</v>
      </c>
      <c r="AS254" s="48" t="n">
        <v>470</v>
      </c>
      <c r="AT254" s="48" t="n">
        <v>723</v>
      </c>
      <c r="AU254" s="48" t="n">
        <v>1327</v>
      </c>
      <c r="AV254" s="48" t="n">
        <v>861</v>
      </c>
      <c r="AW254" s="48" t="n">
        <v>340</v>
      </c>
      <c r="AX254" s="48" t="n">
        <v>634</v>
      </c>
      <c r="AY254" s="48" t="n">
        <v>314</v>
      </c>
      <c r="AZ254" s="48" t="n">
        <v>1551</v>
      </c>
      <c r="BA254" s="48" t="n">
        <v>1250</v>
      </c>
      <c r="BB254" s="48" t="n">
        <v>568</v>
      </c>
      <c r="BC254" s="48" t="n">
        <v>1296</v>
      </c>
      <c r="BD254" s="48" t="n">
        <v>1088</v>
      </c>
      <c r="BE254" s="48" t="n">
        <v>619</v>
      </c>
      <c r="BF254" s="48" t="n">
        <v>1033</v>
      </c>
      <c r="BG254" s="49" t="n">
        <v>0.55</v>
      </c>
    </row>
    <row r="255" customFormat="false" ht="15" hidden="false" customHeight="false" outlineLevel="0" collapsed="false">
      <c r="A255" s="43" t="s">
        <v>746</v>
      </c>
      <c r="B255" s="43" t="s">
        <v>747</v>
      </c>
      <c r="C255" s="44" t="str">
        <f aca="false">IF(A255="","",IFERROR(INDEX(Assumptions!$B$41:$B$55,MATCH(TRUE(),INDEX(ISNUMBER(SEARCH(" "&amp;Assumptions!$A$41:$A$55&amp;" "," "&amp;SUBSTITUTE(SUBSTITUTE(SUBSTITUTE(SUBSTITUTE(B255,"-"," "),","," "),"/"," "),"."," ")&amp;" ")),0),0)),"Other"))</f>
        <v>Other</v>
      </c>
      <c r="D255" s="45" t="n">
        <f aca="false">IF(A255="","",BG255*(1-Assumptions!$B$18))</f>
        <v>1.95</v>
      </c>
      <c r="E255" s="46" t="n">
        <f aca="false">IF(A255="","",INDEX(Assumptions!$B$23:$B$26,MOD(VALUE(LEFT(A255,5)),4)+1))</f>
        <v>4</v>
      </c>
      <c r="F255" s="47" t="n">
        <v>535</v>
      </c>
      <c r="G255" s="48" t="n">
        <v>0</v>
      </c>
      <c r="H255" s="48" t="n">
        <v>0</v>
      </c>
      <c r="I255" s="48" t="n">
        <v>0</v>
      </c>
      <c r="J255" s="48" t="n">
        <v>0</v>
      </c>
      <c r="K255" s="48" t="n">
        <v>0</v>
      </c>
      <c r="L255" s="48" t="n">
        <v>0</v>
      </c>
      <c r="M255" s="48" t="n">
        <v>0</v>
      </c>
      <c r="N255" s="48" t="n">
        <v>0</v>
      </c>
      <c r="O255" s="48" t="n">
        <v>28</v>
      </c>
      <c r="P255" s="48" t="n">
        <v>79</v>
      </c>
      <c r="Q255" s="48" t="n">
        <v>260</v>
      </c>
      <c r="R255" s="48" t="n">
        <v>153</v>
      </c>
      <c r="S255" s="48" t="n">
        <v>57</v>
      </c>
      <c r="T255" s="48" t="n">
        <v>86</v>
      </c>
      <c r="U255" s="48" t="n">
        <v>142</v>
      </c>
      <c r="V255" s="48" t="n">
        <v>78</v>
      </c>
      <c r="W255" s="48" t="n">
        <v>173</v>
      </c>
      <c r="X255" s="48" t="n">
        <v>51</v>
      </c>
      <c r="Y255" s="48" t="n">
        <v>26</v>
      </c>
      <c r="Z255" s="48" t="n">
        <v>28</v>
      </c>
      <c r="AA255" s="48" t="n">
        <v>7</v>
      </c>
      <c r="AB255" s="48" t="n">
        <v>22</v>
      </c>
      <c r="AC255" s="48" t="n">
        <v>149</v>
      </c>
      <c r="AD255" s="48" t="n">
        <v>14</v>
      </c>
      <c r="AE255" s="48" t="n">
        <v>24</v>
      </c>
      <c r="AF255" s="48" t="n">
        <v>48</v>
      </c>
      <c r="AG255" s="48" t="n">
        <v>13</v>
      </c>
      <c r="AH255" s="48" t="n">
        <v>57</v>
      </c>
      <c r="AI255" s="48" t="n">
        <v>19</v>
      </c>
      <c r="AJ255" s="48" t="n">
        <v>20</v>
      </c>
      <c r="AK255" s="48" t="n">
        <v>28</v>
      </c>
      <c r="AL255" s="48" t="n">
        <v>43</v>
      </c>
      <c r="AM255" s="48" t="n">
        <v>154</v>
      </c>
      <c r="AN255" s="48" t="n">
        <v>7</v>
      </c>
      <c r="AO255" s="48" t="n">
        <v>23</v>
      </c>
      <c r="AP255" s="48" t="n">
        <v>33</v>
      </c>
      <c r="AQ255" s="48" t="n">
        <v>377</v>
      </c>
      <c r="AR255" s="48" t="n">
        <v>24</v>
      </c>
      <c r="AS255" s="48" t="n">
        <v>6</v>
      </c>
      <c r="AT255" s="48" t="n">
        <v>74</v>
      </c>
      <c r="AU255" s="48" t="n">
        <v>25</v>
      </c>
      <c r="AV255" s="48" t="n">
        <v>29</v>
      </c>
      <c r="AW255" s="48" t="n">
        <v>131</v>
      </c>
      <c r="AX255" s="48" t="n">
        <v>28</v>
      </c>
      <c r="AY255" s="48" t="n">
        <v>37</v>
      </c>
      <c r="AZ255" s="48" t="n">
        <v>13</v>
      </c>
      <c r="BA255" s="48" t="n">
        <v>81</v>
      </c>
      <c r="BB255" s="48" t="n">
        <v>30</v>
      </c>
      <c r="BC255" s="48" t="n">
        <v>24</v>
      </c>
      <c r="BD255" s="48" t="n">
        <v>33</v>
      </c>
      <c r="BE255" s="48" t="n">
        <v>30</v>
      </c>
      <c r="BF255" s="48" t="n">
        <v>18</v>
      </c>
      <c r="BG255" s="49" t="n">
        <v>3.25</v>
      </c>
    </row>
    <row r="256" customFormat="false" ht="15" hidden="false" customHeight="false" outlineLevel="0" collapsed="false">
      <c r="A256" s="43" t="s">
        <v>748</v>
      </c>
      <c r="B256" s="43" t="s">
        <v>749</v>
      </c>
      <c r="C256" s="44" t="str">
        <f aca="false">IF(A256="","",IFERROR(INDEX(Assumptions!$B$41:$B$55,MATCH(TRUE(),INDEX(ISNUMBER(SEARCH(" "&amp;Assumptions!$A$41:$A$55&amp;" "," "&amp;SUBSTITUTE(SUBSTITUTE(SUBSTITUTE(SUBSTITUTE(B256,"-"," "),","," "),"/"," "),"."," ")&amp;" ")),0),0)),"Other"))</f>
        <v>Other</v>
      </c>
      <c r="D256" s="45" t="n">
        <f aca="false">IF(A256="","",BG256*(1-Assumptions!$B$18))</f>
        <v>0.75</v>
      </c>
      <c r="E256" s="46" t="n">
        <f aca="false">IF(A256="","",INDEX(Assumptions!$B$23:$B$26,MOD(VALUE(LEFT(A256,5)),4)+1))</f>
        <v>2</v>
      </c>
      <c r="F256" s="47" t="n">
        <v>549</v>
      </c>
      <c r="G256" s="48" t="n">
        <v>126</v>
      </c>
      <c r="H256" s="48" t="n">
        <v>98</v>
      </c>
      <c r="I256" s="48" t="n">
        <v>1</v>
      </c>
      <c r="J256" s="48" t="n">
        <v>0</v>
      </c>
      <c r="K256" s="48" t="n">
        <v>38</v>
      </c>
      <c r="L256" s="48" t="n">
        <v>51</v>
      </c>
      <c r="M256" s="48" t="n">
        <v>171</v>
      </c>
      <c r="N256" s="48" t="n">
        <v>114</v>
      </c>
      <c r="O256" s="48" t="n">
        <v>231</v>
      </c>
      <c r="P256" s="48" t="n">
        <v>15</v>
      </c>
      <c r="Q256" s="48" t="n">
        <v>81</v>
      </c>
      <c r="R256" s="48" t="n">
        <v>78</v>
      </c>
      <c r="S256" s="48" t="n">
        <v>182</v>
      </c>
      <c r="T256" s="48" t="n">
        <v>137</v>
      </c>
      <c r="U256" s="48" t="n">
        <v>70</v>
      </c>
      <c r="V256" s="48" t="n">
        <v>38</v>
      </c>
      <c r="W256" s="48" t="n">
        <v>214</v>
      </c>
      <c r="X256" s="48" t="n">
        <v>28</v>
      </c>
      <c r="Y256" s="48" t="n">
        <v>106</v>
      </c>
      <c r="Z256" s="48" t="n">
        <v>60</v>
      </c>
      <c r="AA256" s="48" t="n">
        <v>72</v>
      </c>
      <c r="AB256" s="48" t="n">
        <v>75</v>
      </c>
      <c r="AC256" s="48" t="n">
        <v>56</v>
      </c>
      <c r="AD256" s="48" t="n">
        <v>107</v>
      </c>
      <c r="AE256" s="48" t="n">
        <v>246</v>
      </c>
      <c r="AF256" s="48" t="n">
        <v>89</v>
      </c>
      <c r="AG256" s="48" t="n">
        <v>87</v>
      </c>
      <c r="AH256" s="48" t="n">
        <v>80</v>
      </c>
      <c r="AI256" s="48" t="n">
        <v>41</v>
      </c>
      <c r="AJ256" s="48" t="n">
        <v>251</v>
      </c>
      <c r="AK256" s="48" t="n">
        <v>109</v>
      </c>
      <c r="AL256" s="48" t="n">
        <v>55</v>
      </c>
      <c r="AM256" s="48" t="n">
        <v>72</v>
      </c>
      <c r="AN256" s="48" t="n">
        <v>230</v>
      </c>
      <c r="AO256" s="48" t="n">
        <v>422</v>
      </c>
      <c r="AP256" s="48" t="n">
        <v>465</v>
      </c>
      <c r="AQ256" s="48" t="n">
        <v>110</v>
      </c>
      <c r="AR256" s="48" t="n">
        <v>51</v>
      </c>
      <c r="AS256" s="48" t="n">
        <v>63</v>
      </c>
      <c r="AT256" s="48" t="n">
        <v>173</v>
      </c>
      <c r="AU256" s="48" t="n">
        <v>290</v>
      </c>
      <c r="AV256" s="48" t="n">
        <v>95</v>
      </c>
      <c r="AW256" s="48" t="n">
        <v>286</v>
      </c>
      <c r="AX256" s="48" t="n">
        <v>233</v>
      </c>
      <c r="AY256" s="48" t="n">
        <v>184</v>
      </c>
      <c r="AZ256" s="48" t="n">
        <v>121</v>
      </c>
      <c r="BA256" s="48" t="n">
        <v>128</v>
      </c>
      <c r="BB256" s="48" t="n">
        <v>229</v>
      </c>
      <c r="BC256" s="48" t="n">
        <v>247</v>
      </c>
      <c r="BD256" s="48" t="n">
        <v>321</v>
      </c>
      <c r="BE256" s="48" t="n">
        <v>151</v>
      </c>
      <c r="BF256" s="48" t="n">
        <v>160</v>
      </c>
      <c r="BG256" s="49" t="n">
        <v>1.25</v>
      </c>
    </row>
    <row r="257" customFormat="false" ht="15" hidden="false" customHeight="false" outlineLevel="0" collapsed="false">
      <c r="A257" s="43" t="s">
        <v>750</v>
      </c>
      <c r="B257" s="43" t="s">
        <v>751</v>
      </c>
      <c r="C257" s="44" t="str">
        <f aca="false">IF(A257="","",IFERROR(INDEX(Assumptions!$B$41:$B$55,MATCH(TRUE(),INDEX(ISNUMBER(SEARCH(" "&amp;Assumptions!$A$41:$A$55&amp;" "," "&amp;SUBSTITUTE(SUBSTITUTE(SUBSTITUTE(SUBSTITUTE(B257,"-"," "),","," "),"/"," "),"."," ")&amp;" ")),0),0)),"Other"))</f>
        <v>Other</v>
      </c>
      <c r="D257" s="45" t="n">
        <f aca="false">IF(A257="","",BG257*(1-Assumptions!$B$18))</f>
        <v>2.25</v>
      </c>
      <c r="E257" s="46" t="n">
        <f aca="false">IF(A257="","",INDEX(Assumptions!$B$23:$B$26,MOD(VALUE(LEFT(A257,5)),4)+1))</f>
        <v>8</v>
      </c>
      <c r="F257" s="47" t="n">
        <v>382</v>
      </c>
      <c r="G257" s="48" t="n">
        <v>68</v>
      </c>
      <c r="H257" s="48" t="n">
        <v>43</v>
      </c>
      <c r="I257" s="48" t="n">
        <v>15</v>
      </c>
      <c r="J257" s="48" t="n">
        <v>0</v>
      </c>
      <c r="K257" s="48" t="n">
        <v>84</v>
      </c>
      <c r="L257" s="48" t="n">
        <v>41</v>
      </c>
      <c r="M257" s="48" t="n">
        <v>12</v>
      </c>
      <c r="N257" s="48" t="n">
        <v>5</v>
      </c>
      <c r="O257" s="48" t="n">
        <v>36</v>
      </c>
      <c r="P257" s="48" t="n">
        <v>8</v>
      </c>
      <c r="Q257" s="48" t="n">
        <v>5</v>
      </c>
      <c r="R257" s="48" t="n">
        <v>14</v>
      </c>
      <c r="S257" s="48" t="n">
        <v>97</v>
      </c>
      <c r="T257" s="48" t="n">
        <v>6</v>
      </c>
      <c r="U257" s="48" t="n">
        <v>15</v>
      </c>
      <c r="V257" s="48" t="n">
        <v>27</v>
      </c>
      <c r="W257" s="48" t="n">
        <v>34</v>
      </c>
      <c r="X257" s="48" t="n">
        <v>25</v>
      </c>
      <c r="Y257" s="48" t="n">
        <v>9</v>
      </c>
      <c r="Z257" s="48" t="n">
        <v>49</v>
      </c>
      <c r="AA257" s="48" t="n">
        <v>4</v>
      </c>
      <c r="AB257" s="48" t="n">
        <v>8</v>
      </c>
      <c r="AC257" s="48" t="n">
        <v>28</v>
      </c>
      <c r="AD257" s="48" t="n">
        <v>118</v>
      </c>
      <c r="AE257" s="48" t="n">
        <v>11</v>
      </c>
      <c r="AF257" s="48" t="n">
        <v>8</v>
      </c>
      <c r="AG257" s="48" t="n">
        <v>30</v>
      </c>
      <c r="AH257" s="48" t="n">
        <v>42</v>
      </c>
      <c r="AI257" s="48" t="n">
        <v>44</v>
      </c>
      <c r="AJ257" s="48" t="n">
        <v>17</v>
      </c>
      <c r="AK257" s="48" t="n">
        <v>13</v>
      </c>
      <c r="AL257" s="48" t="n">
        <v>34</v>
      </c>
      <c r="AM257" s="48" t="n">
        <v>39</v>
      </c>
      <c r="AN257" s="48" t="n">
        <v>32</v>
      </c>
      <c r="AO257" s="48" t="n">
        <v>32</v>
      </c>
      <c r="AP257" s="48" t="n">
        <v>29</v>
      </c>
      <c r="AQ257" s="48" t="n">
        <v>181</v>
      </c>
      <c r="AR257" s="48" t="n">
        <v>1</v>
      </c>
      <c r="AS257" s="48" t="n">
        <v>11</v>
      </c>
      <c r="AT257" s="48" t="n">
        <v>12</v>
      </c>
      <c r="AU257" s="48" t="n">
        <v>76</v>
      </c>
      <c r="AV257" s="48" t="n">
        <v>51</v>
      </c>
      <c r="AW257" s="48" t="n">
        <v>67</v>
      </c>
      <c r="AX257" s="48" t="n">
        <v>62</v>
      </c>
      <c r="AY257" s="48" t="n">
        <v>55</v>
      </c>
      <c r="AZ257" s="48" t="n">
        <v>64</v>
      </c>
      <c r="BA257" s="48" t="n">
        <v>71</v>
      </c>
      <c r="BB257" s="48" t="n">
        <v>48</v>
      </c>
      <c r="BC257" s="48" t="n">
        <v>163</v>
      </c>
      <c r="BD257" s="48" t="n">
        <v>87</v>
      </c>
      <c r="BE257" s="48" t="n">
        <v>85</v>
      </c>
      <c r="BF257" s="48" t="n">
        <v>93</v>
      </c>
      <c r="BG257" s="49" t="n">
        <v>3.75</v>
      </c>
    </row>
    <row r="258" customFormat="false" ht="15" hidden="false" customHeight="false" outlineLevel="0" collapsed="false">
      <c r="A258" s="43" t="s">
        <v>752</v>
      </c>
      <c r="B258" s="43" t="s">
        <v>753</v>
      </c>
      <c r="C258" s="44" t="str">
        <f aca="false">IF(A258="","",IFERROR(INDEX(Assumptions!$B$41:$B$55,MATCH(TRUE(),INDEX(ISNUMBER(SEARCH(" "&amp;Assumptions!$A$41:$A$55&amp;" "," "&amp;SUBSTITUTE(SUBSTITUTE(SUBSTITUTE(SUBSTITUTE(B258,"-"," "),","," "),"/"," "),"."," ")&amp;" ")),0),0)),"Other"))</f>
        <v>Other</v>
      </c>
      <c r="D258" s="45" t="n">
        <f aca="false">IF(A258="","",BG258*(1-Assumptions!$B$18))</f>
        <v>0.75</v>
      </c>
      <c r="E258" s="46" t="n">
        <f aca="false">IF(A258="","",INDEX(Assumptions!$B$23:$B$26,MOD(VALUE(LEFT(A258,5)),4)+1))</f>
        <v>8</v>
      </c>
      <c r="F258" s="47" t="n">
        <v>3357</v>
      </c>
      <c r="G258" s="48" t="n">
        <v>53</v>
      </c>
      <c r="H258" s="48" t="n">
        <v>250</v>
      </c>
      <c r="I258" s="48" t="n">
        <v>3</v>
      </c>
      <c r="J258" s="48" t="n">
        <v>0</v>
      </c>
      <c r="K258" s="48" t="n">
        <v>62</v>
      </c>
      <c r="L258" s="48" t="n">
        <v>51</v>
      </c>
      <c r="M258" s="48" t="n">
        <v>72</v>
      </c>
      <c r="N258" s="48" t="n">
        <v>158</v>
      </c>
      <c r="O258" s="48" t="n">
        <v>115</v>
      </c>
      <c r="P258" s="48" t="n">
        <v>274</v>
      </c>
      <c r="Q258" s="48" t="n">
        <v>171</v>
      </c>
      <c r="R258" s="48" t="n">
        <v>97</v>
      </c>
      <c r="S258" s="48" t="n">
        <v>130</v>
      </c>
      <c r="T258" s="48" t="n">
        <v>103</v>
      </c>
      <c r="U258" s="48" t="n">
        <v>115</v>
      </c>
      <c r="V258" s="48" t="n">
        <v>63</v>
      </c>
      <c r="W258" s="48" t="n">
        <v>274</v>
      </c>
      <c r="X258" s="48" t="n">
        <v>365</v>
      </c>
      <c r="Y258" s="48" t="n">
        <v>86</v>
      </c>
      <c r="Z258" s="48" t="n">
        <v>116</v>
      </c>
      <c r="AA258" s="48" t="n">
        <v>34</v>
      </c>
      <c r="AB258" s="48" t="n">
        <v>75</v>
      </c>
      <c r="AC258" s="48" t="n">
        <v>212</v>
      </c>
      <c r="AD258" s="48" t="n">
        <v>161</v>
      </c>
      <c r="AE258" s="48" t="n">
        <v>47</v>
      </c>
      <c r="AF258" s="48" t="n">
        <v>89</v>
      </c>
      <c r="AG258" s="48" t="n">
        <v>261</v>
      </c>
      <c r="AH258" s="48" t="n">
        <v>158</v>
      </c>
      <c r="AI258" s="48" t="n">
        <v>161</v>
      </c>
      <c r="AJ258" s="48" t="n">
        <v>59</v>
      </c>
      <c r="AK258" s="48" t="n">
        <v>86</v>
      </c>
      <c r="AL258" s="48" t="n">
        <v>131</v>
      </c>
      <c r="AM258" s="48" t="n">
        <v>122</v>
      </c>
      <c r="AN258" s="48" t="n">
        <v>51</v>
      </c>
      <c r="AO258" s="48" t="n">
        <v>148</v>
      </c>
      <c r="AP258" s="48" t="n">
        <v>197</v>
      </c>
      <c r="AQ258" s="48" t="n">
        <v>112</v>
      </c>
      <c r="AR258" s="48" t="n">
        <v>113</v>
      </c>
      <c r="AS258" s="48" t="n">
        <v>84</v>
      </c>
      <c r="AT258" s="48" t="n">
        <v>188</v>
      </c>
      <c r="AU258" s="48" t="n">
        <v>169</v>
      </c>
      <c r="AV258" s="48" t="n">
        <v>105</v>
      </c>
      <c r="AW258" s="48" t="n">
        <v>66</v>
      </c>
      <c r="AX258" s="48" t="n">
        <v>78</v>
      </c>
      <c r="AY258" s="48" t="n">
        <v>259</v>
      </c>
      <c r="AZ258" s="48" t="n">
        <v>14</v>
      </c>
      <c r="BA258" s="48" t="n">
        <v>90</v>
      </c>
      <c r="BB258" s="48" t="n">
        <v>162</v>
      </c>
      <c r="BC258" s="48" t="n">
        <v>206</v>
      </c>
      <c r="BD258" s="48" t="n">
        <v>62</v>
      </c>
      <c r="BE258" s="48" t="n">
        <v>106</v>
      </c>
      <c r="BF258" s="48" t="n">
        <v>102</v>
      </c>
      <c r="BG258" s="49" t="n">
        <v>1.25</v>
      </c>
    </row>
    <row r="259" customFormat="false" ht="15" hidden="false" customHeight="false" outlineLevel="0" collapsed="false">
      <c r="A259" s="43" t="s">
        <v>754</v>
      </c>
      <c r="B259" s="43" t="s">
        <v>755</v>
      </c>
      <c r="C259" s="44" t="str">
        <f aca="false">IF(A259="","",IFERROR(INDEX(Assumptions!$B$41:$B$55,MATCH(TRUE(),INDEX(ISNUMBER(SEARCH(" "&amp;Assumptions!$A$41:$A$55&amp;" "," "&amp;SUBSTITUTE(SUBSTITUTE(SUBSTITUTE(SUBSTITUTE(B259,"-"," "),","," "),"/"," "),"."," ")&amp;" ")),0),0)),"Other"))</f>
        <v>Other</v>
      </c>
      <c r="D259" s="45" t="n">
        <f aca="false">IF(A259="","",BG259*(1-Assumptions!$B$18))</f>
        <v>0.75</v>
      </c>
      <c r="E259" s="46" t="n">
        <f aca="false">IF(A259="","",INDEX(Assumptions!$B$23:$B$26,MOD(VALUE(LEFT(A259,5)),4)+1))</f>
        <v>6</v>
      </c>
      <c r="F259" s="47" t="n">
        <v>5766</v>
      </c>
      <c r="G259" s="48" t="n">
        <v>211</v>
      </c>
      <c r="H259" s="48" t="n">
        <v>304</v>
      </c>
      <c r="I259" s="48" t="n">
        <v>29</v>
      </c>
      <c r="J259" s="48" t="n">
        <v>0</v>
      </c>
      <c r="K259" s="48" t="n">
        <v>58</v>
      </c>
      <c r="L259" s="48" t="n">
        <v>127</v>
      </c>
      <c r="M259" s="48" t="n">
        <v>264</v>
      </c>
      <c r="N259" s="48" t="n">
        <v>161</v>
      </c>
      <c r="O259" s="48" t="n">
        <v>120</v>
      </c>
      <c r="P259" s="48" t="n">
        <v>114</v>
      </c>
      <c r="Q259" s="48" t="n">
        <v>116</v>
      </c>
      <c r="R259" s="48" t="n">
        <v>252</v>
      </c>
      <c r="S259" s="48" t="n">
        <v>79</v>
      </c>
      <c r="T259" s="48" t="n">
        <v>137</v>
      </c>
      <c r="U259" s="48" t="n">
        <v>272</v>
      </c>
      <c r="V259" s="48" t="n">
        <v>86</v>
      </c>
      <c r="W259" s="48" t="n">
        <v>246</v>
      </c>
      <c r="X259" s="48" t="n">
        <v>45</v>
      </c>
      <c r="Y259" s="48" t="n">
        <v>31</v>
      </c>
      <c r="Z259" s="48" t="n">
        <v>75</v>
      </c>
      <c r="AA259" s="48" t="n">
        <v>57</v>
      </c>
      <c r="AB259" s="48" t="n">
        <v>95</v>
      </c>
      <c r="AC259" s="48" t="n">
        <v>62</v>
      </c>
      <c r="AD259" s="48" t="n">
        <v>65</v>
      </c>
      <c r="AE259" s="48" t="n">
        <v>348</v>
      </c>
      <c r="AF259" s="48" t="n">
        <v>1</v>
      </c>
      <c r="AG259" s="48" t="n">
        <v>0</v>
      </c>
      <c r="AH259" s="48" t="n">
        <v>0</v>
      </c>
      <c r="AI259" s="48" t="n">
        <v>0</v>
      </c>
      <c r="AJ259" s="48" t="n">
        <v>0</v>
      </c>
      <c r="AK259" s="48" t="n">
        <v>1</v>
      </c>
      <c r="AL259" s="48" t="n">
        <v>39</v>
      </c>
      <c r="AM259" s="48" t="n">
        <v>56</v>
      </c>
      <c r="AN259" s="48" t="n">
        <v>313</v>
      </c>
      <c r="AO259" s="48" t="n">
        <v>151</v>
      </c>
      <c r="AP259" s="48" t="n">
        <v>233</v>
      </c>
      <c r="AQ259" s="48" t="n">
        <v>31</v>
      </c>
      <c r="AR259" s="48" t="n">
        <v>125</v>
      </c>
      <c r="AS259" s="48" t="n">
        <v>85</v>
      </c>
      <c r="AT259" s="48" t="n">
        <v>65</v>
      </c>
      <c r="AU259" s="48" t="n">
        <v>169</v>
      </c>
      <c r="AV259" s="48" t="n">
        <v>291</v>
      </c>
      <c r="AW259" s="48" t="n">
        <v>158</v>
      </c>
      <c r="AX259" s="48" t="n">
        <v>90</v>
      </c>
      <c r="AY259" s="48" t="n">
        <v>184</v>
      </c>
      <c r="AZ259" s="48" t="n">
        <v>410</v>
      </c>
      <c r="BA259" s="48" t="n">
        <v>172</v>
      </c>
      <c r="BB259" s="48" t="n">
        <v>328</v>
      </c>
      <c r="BC259" s="48" t="n">
        <v>208</v>
      </c>
      <c r="BD259" s="48" t="n">
        <v>134</v>
      </c>
      <c r="BE259" s="48" t="n">
        <v>334</v>
      </c>
      <c r="BF259" s="48" t="n">
        <v>207</v>
      </c>
      <c r="BG259" s="49" t="n">
        <v>1.25</v>
      </c>
    </row>
    <row r="260" customFormat="false" ht="15" hidden="false" customHeight="false" outlineLevel="0" collapsed="false">
      <c r="A260" s="43" t="s">
        <v>756</v>
      </c>
      <c r="B260" s="43" t="s">
        <v>757</v>
      </c>
      <c r="C260" s="44" t="str">
        <f aca="false">IF(A260="","",IFERROR(INDEX(Assumptions!$B$41:$B$55,MATCH(TRUE(),INDEX(ISNUMBER(SEARCH(" "&amp;Assumptions!$A$41:$A$55&amp;" "," "&amp;SUBSTITUTE(SUBSTITUTE(SUBSTITUTE(SUBSTITUTE(B260,"-"," "),","," "),"/"," "),"."," ")&amp;" ")),0),0)),"Other"))</f>
        <v>Other</v>
      </c>
      <c r="D260" s="45" t="n">
        <f aca="false">IF(A260="","",BG260*(1-Assumptions!$B$18))</f>
        <v>1.26</v>
      </c>
      <c r="E260" s="46" t="n">
        <f aca="false">IF(A260="","",INDEX(Assumptions!$B$23:$B$26,MOD(VALUE(LEFT(A260,5)),4)+1))</f>
        <v>8</v>
      </c>
      <c r="F260" s="47" t="n">
        <v>1093</v>
      </c>
      <c r="G260" s="48" t="n">
        <v>175</v>
      </c>
      <c r="H260" s="48" t="n">
        <v>72</v>
      </c>
      <c r="I260" s="48" t="n">
        <v>20</v>
      </c>
      <c r="J260" s="48" t="n">
        <v>0</v>
      </c>
      <c r="K260" s="48" t="n">
        <v>95</v>
      </c>
      <c r="L260" s="48" t="n">
        <v>92</v>
      </c>
      <c r="M260" s="48" t="n">
        <v>149</v>
      </c>
      <c r="N260" s="48" t="n">
        <v>223</v>
      </c>
      <c r="O260" s="48" t="n">
        <v>176</v>
      </c>
      <c r="P260" s="48" t="n">
        <v>227</v>
      </c>
      <c r="Q260" s="48" t="n">
        <v>39</v>
      </c>
      <c r="R260" s="48" t="n">
        <v>45</v>
      </c>
      <c r="S260" s="48" t="n">
        <v>143</v>
      </c>
      <c r="T260" s="48" t="n">
        <v>31</v>
      </c>
      <c r="U260" s="48" t="n">
        <v>120</v>
      </c>
      <c r="V260" s="48" t="n">
        <v>80</v>
      </c>
      <c r="W260" s="48" t="n">
        <v>222</v>
      </c>
      <c r="X260" s="48" t="n">
        <v>45</v>
      </c>
      <c r="Y260" s="48" t="n">
        <v>63</v>
      </c>
      <c r="Z260" s="48" t="n">
        <v>20</v>
      </c>
      <c r="AA260" s="48" t="n">
        <v>26</v>
      </c>
      <c r="AB260" s="48" t="n">
        <v>79</v>
      </c>
      <c r="AC260" s="48" t="n">
        <v>26</v>
      </c>
      <c r="AD260" s="48" t="n">
        <v>54</v>
      </c>
      <c r="AE260" s="48" t="n">
        <v>10</v>
      </c>
      <c r="AF260" s="48" t="n">
        <v>61</v>
      </c>
      <c r="AG260" s="48" t="n">
        <v>43</v>
      </c>
      <c r="AH260" s="48" t="n">
        <v>49</v>
      </c>
      <c r="AI260" s="48" t="n">
        <v>36</v>
      </c>
      <c r="AJ260" s="48" t="n">
        <v>18</v>
      </c>
      <c r="AK260" s="48" t="n">
        <v>7</v>
      </c>
      <c r="AL260" s="48" t="n">
        <v>31</v>
      </c>
      <c r="AM260" s="48" t="n">
        <v>19</v>
      </c>
      <c r="AN260" s="48" t="n">
        <v>26</v>
      </c>
      <c r="AO260" s="48" t="n">
        <v>17</v>
      </c>
      <c r="AP260" s="48" t="n">
        <v>52</v>
      </c>
      <c r="AQ260" s="48" t="n">
        <v>27</v>
      </c>
      <c r="AR260" s="48" t="n">
        <v>67</v>
      </c>
      <c r="AS260" s="48" t="n">
        <v>34</v>
      </c>
      <c r="AT260" s="48" t="n">
        <v>65</v>
      </c>
      <c r="AU260" s="48" t="n">
        <v>107</v>
      </c>
      <c r="AV260" s="48" t="n">
        <v>85</v>
      </c>
      <c r="AW260" s="48" t="n">
        <v>69</v>
      </c>
      <c r="AX260" s="48" t="n">
        <v>72</v>
      </c>
      <c r="AY260" s="48" t="n">
        <v>68</v>
      </c>
      <c r="AZ260" s="48" t="n">
        <v>71</v>
      </c>
      <c r="BA260" s="48" t="n">
        <v>135</v>
      </c>
      <c r="BB260" s="48" t="n">
        <v>139</v>
      </c>
      <c r="BC260" s="48" t="n">
        <v>105</v>
      </c>
      <c r="BD260" s="48" t="n">
        <v>119</v>
      </c>
      <c r="BE260" s="48" t="n">
        <v>183</v>
      </c>
      <c r="BF260" s="48" t="n">
        <v>121</v>
      </c>
      <c r="BG260" s="49" t="n">
        <v>2.1</v>
      </c>
    </row>
    <row r="261" customFormat="false" ht="15" hidden="false" customHeight="false" outlineLevel="0" collapsed="false">
      <c r="A261" s="43" t="s">
        <v>758</v>
      </c>
      <c r="B261" s="43" t="s">
        <v>759</v>
      </c>
      <c r="C261" s="44" t="str">
        <f aca="false">IF(A261="","",IFERROR(INDEX(Assumptions!$B$41:$B$55,MATCH(TRUE(),INDEX(ISNUMBER(SEARCH(" "&amp;Assumptions!$A$41:$A$55&amp;" "," "&amp;SUBSTITUTE(SUBSTITUTE(SUBSTITUTE(SUBSTITUTE(B261,"-"," "),","," "),"/"," "),"."," ")&amp;" ")),0),0)),"Other"))</f>
        <v>Other</v>
      </c>
      <c r="D261" s="45" t="n">
        <f aca="false">IF(A261="","",BG261*(1-Assumptions!$B$18))</f>
        <v>1.77</v>
      </c>
      <c r="E261" s="46" t="n">
        <f aca="false">IF(A261="","",INDEX(Assumptions!$B$23:$B$26,MOD(VALUE(LEFT(A261,5)),4)+1))</f>
        <v>6</v>
      </c>
      <c r="F261" s="47" t="n">
        <v>525</v>
      </c>
      <c r="G261" s="48" t="n">
        <v>0</v>
      </c>
      <c r="H261" s="48" t="n">
        <v>0</v>
      </c>
      <c r="I261" s="48" t="n">
        <v>0</v>
      </c>
      <c r="J261" s="48" t="n">
        <v>0</v>
      </c>
      <c r="K261" s="48" t="n">
        <v>0</v>
      </c>
      <c r="L261" s="48" t="n">
        <v>0</v>
      </c>
      <c r="M261" s="48" t="n">
        <v>0</v>
      </c>
      <c r="N261" s="48" t="n">
        <v>0</v>
      </c>
      <c r="O261" s="48" t="n">
        <v>0</v>
      </c>
      <c r="P261" s="48" t="n">
        <v>0</v>
      </c>
      <c r="Q261" s="48" t="n">
        <v>0</v>
      </c>
      <c r="R261" s="48" t="n">
        <v>0</v>
      </c>
      <c r="S261" s="48" t="n">
        <v>0</v>
      </c>
      <c r="T261" s="48" t="n">
        <v>0</v>
      </c>
      <c r="U261" s="48" t="n">
        <v>0</v>
      </c>
      <c r="V261" s="48" t="n">
        <v>0</v>
      </c>
      <c r="W261" s="48" t="n">
        <v>0</v>
      </c>
      <c r="X261" s="48" t="n">
        <v>0</v>
      </c>
      <c r="Y261" s="48" t="n">
        <v>0</v>
      </c>
      <c r="Z261" s="48" t="n">
        <v>0</v>
      </c>
      <c r="AA261" s="48" t="n">
        <v>0</v>
      </c>
      <c r="AB261" s="48" t="n">
        <v>0</v>
      </c>
      <c r="AC261" s="48" t="n">
        <v>0</v>
      </c>
      <c r="AD261" s="48" t="n">
        <v>0</v>
      </c>
      <c r="AE261" s="48" t="n">
        <v>0</v>
      </c>
      <c r="AF261" s="48" t="n">
        <v>0</v>
      </c>
      <c r="AG261" s="48" t="n">
        <v>27</v>
      </c>
      <c r="AH261" s="48" t="n">
        <v>35</v>
      </c>
      <c r="AI261" s="48" t="n">
        <v>76</v>
      </c>
      <c r="AJ261" s="48" t="n">
        <v>96</v>
      </c>
      <c r="AK261" s="48" t="n">
        <v>50</v>
      </c>
      <c r="AL261" s="48" t="n">
        <v>73</v>
      </c>
      <c r="AM261" s="48" t="n">
        <v>63</v>
      </c>
      <c r="AN261" s="48" t="n">
        <v>108</v>
      </c>
      <c r="AO261" s="48" t="n">
        <v>104</v>
      </c>
      <c r="AP261" s="48" t="n">
        <v>155</v>
      </c>
      <c r="AQ261" s="48" t="n">
        <v>86</v>
      </c>
      <c r="AR261" s="48" t="n">
        <v>104</v>
      </c>
      <c r="AS261" s="48" t="n">
        <v>140</v>
      </c>
      <c r="AT261" s="48" t="n">
        <v>102</v>
      </c>
      <c r="AU261" s="48" t="n">
        <v>130</v>
      </c>
      <c r="AV261" s="48" t="n">
        <v>137</v>
      </c>
      <c r="AW261" s="48" t="n">
        <v>132</v>
      </c>
      <c r="AX261" s="48" t="n">
        <v>272</v>
      </c>
      <c r="AY261" s="48" t="n">
        <v>119</v>
      </c>
      <c r="AZ261" s="48" t="n">
        <v>42</v>
      </c>
      <c r="BA261" s="48" t="n">
        <v>89</v>
      </c>
      <c r="BB261" s="48" t="n">
        <v>334</v>
      </c>
      <c r="BC261" s="48" t="n">
        <v>132</v>
      </c>
      <c r="BD261" s="48" t="n">
        <v>141</v>
      </c>
      <c r="BE261" s="48" t="n">
        <v>202</v>
      </c>
      <c r="BF261" s="48" t="n">
        <v>85</v>
      </c>
      <c r="BG261" s="49" t="n">
        <v>2.95</v>
      </c>
    </row>
    <row r="262" customFormat="false" ht="15" hidden="false" customHeight="false" outlineLevel="0" collapsed="false">
      <c r="A262" s="43" t="s">
        <v>760</v>
      </c>
      <c r="B262" s="43" t="s">
        <v>761</v>
      </c>
      <c r="C262" s="44" t="str">
        <f aca="false">IF(A262="","",IFERROR(INDEX(Assumptions!$B$41:$B$55,MATCH(TRUE(),INDEX(ISNUMBER(SEARCH(" "&amp;Assumptions!$A$41:$A$55&amp;" "," "&amp;SUBSTITUTE(SUBSTITUTE(SUBSTITUTE(SUBSTITUTE(B262,"-"," "),","," "),"/"," "),"."," ")&amp;" ")),0),0)),"Other"))</f>
        <v>Other</v>
      </c>
      <c r="D262" s="45" t="n">
        <f aca="false">IF(A262="","",BG262*(1-Assumptions!$B$18))</f>
        <v>1.494</v>
      </c>
      <c r="E262" s="46" t="n">
        <f aca="false">IF(A262="","",INDEX(Assumptions!$B$23:$B$26,MOD(VALUE(LEFT(A262,5)),4)+1))</f>
        <v>6</v>
      </c>
      <c r="F262" s="47" t="n">
        <v>1120</v>
      </c>
      <c r="G262" s="48" t="n">
        <v>0</v>
      </c>
      <c r="H262" s="48" t="n">
        <v>0</v>
      </c>
      <c r="I262" s="48" t="n">
        <v>0</v>
      </c>
      <c r="J262" s="48" t="n">
        <v>0</v>
      </c>
      <c r="K262" s="48" t="n">
        <v>0</v>
      </c>
      <c r="L262" s="48" t="n">
        <v>0</v>
      </c>
      <c r="M262" s="48" t="n">
        <v>0</v>
      </c>
      <c r="N262" s="48" t="n">
        <v>0</v>
      </c>
      <c r="O262" s="48" t="n">
        <v>0</v>
      </c>
      <c r="P262" s="48" t="n">
        <v>0</v>
      </c>
      <c r="Q262" s="48" t="n">
        <v>0</v>
      </c>
      <c r="R262" s="48" t="n">
        <v>0</v>
      </c>
      <c r="S262" s="48" t="n">
        <v>0</v>
      </c>
      <c r="T262" s="48" t="n">
        <v>0</v>
      </c>
      <c r="U262" s="48" t="n">
        <v>0</v>
      </c>
      <c r="V262" s="48" t="n">
        <v>0</v>
      </c>
      <c r="W262" s="48" t="n">
        <v>0</v>
      </c>
      <c r="X262" s="48" t="n">
        <v>0</v>
      </c>
      <c r="Y262" s="48" t="n">
        <v>0</v>
      </c>
      <c r="Z262" s="48" t="n">
        <v>0</v>
      </c>
      <c r="AA262" s="48" t="n">
        <v>0</v>
      </c>
      <c r="AB262" s="48" t="n">
        <v>0</v>
      </c>
      <c r="AC262" s="48" t="n">
        <v>0</v>
      </c>
      <c r="AD262" s="48" t="n">
        <v>0</v>
      </c>
      <c r="AE262" s="48" t="n">
        <v>0</v>
      </c>
      <c r="AF262" s="48" t="n">
        <v>0</v>
      </c>
      <c r="AG262" s="48" t="n">
        <v>0</v>
      </c>
      <c r="AH262" s="48" t="n">
        <v>0</v>
      </c>
      <c r="AI262" s="48" t="n">
        <v>0</v>
      </c>
      <c r="AJ262" s="48" t="n">
        <v>0</v>
      </c>
      <c r="AK262" s="48" t="n">
        <v>26</v>
      </c>
      <c r="AL262" s="48" t="n">
        <v>7</v>
      </c>
      <c r="AM262" s="48" t="n">
        <v>13</v>
      </c>
      <c r="AN262" s="48" t="n">
        <v>97</v>
      </c>
      <c r="AO262" s="48" t="n">
        <v>102</v>
      </c>
      <c r="AP262" s="48" t="n">
        <v>0</v>
      </c>
      <c r="AQ262" s="48" t="n">
        <v>41</v>
      </c>
      <c r="AR262" s="48" t="n">
        <v>88</v>
      </c>
      <c r="AS262" s="48" t="n">
        <v>60</v>
      </c>
      <c r="AT262" s="48" t="n">
        <v>141</v>
      </c>
      <c r="AU262" s="48" t="n">
        <v>225</v>
      </c>
      <c r="AV262" s="48" t="n">
        <v>337</v>
      </c>
      <c r="AW262" s="48" t="n">
        <v>66</v>
      </c>
      <c r="AX262" s="48" t="n">
        <v>215</v>
      </c>
      <c r="AY262" s="48" t="n">
        <v>301</v>
      </c>
      <c r="AZ262" s="48" t="n">
        <v>178</v>
      </c>
      <c r="BA262" s="48" t="n">
        <v>343</v>
      </c>
      <c r="BB262" s="48" t="n">
        <v>324</v>
      </c>
      <c r="BC262" s="48" t="n">
        <v>501</v>
      </c>
      <c r="BD262" s="48" t="n">
        <v>163</v>
      </c>
      <c r="BE262" s="48" t="n">
        <v>210</v>
      </c>
      <c r="BF262" s="48" t="n">
        <v>202</v>
      </c>
      <c r="BG262" s="49" t="n">
        <v>2.49</v>
      </c>
    </row>
    <row r="263" customFormat="false" ht="15" hidden="false" customHeight="false" outlineLevel="0" collapsed="false">
      <c r="A263" s="43" t="s">
        <v>762</v>
      </c>
      <c r="B263" s="43" t="s">
        <v>763</v>
      </c>
      <c r="C263" s="44" t="str">
        <f aca="false">IF(A263="","",IFERROR(INDEX(Assumptions!$B$41:$B$55,MATCH(TRUE(),INDEX(ISNUMBER(SEARCH(" "&amp;Assumptions!$A$41:$A$55&amp;" "," "&amp;SUBSTITUTE(SUBSTITUTE(SUBSTITUTE(SUBSTITUTE(B263,"-"," "),","," "),"/"," "),"."," ")&amp;" ")),0),0)),"Other"))</f>
        <v>Other</v>
      </c>
      <c r="D263" s="45" t="n">
        <f aca="false">IF(A263="","",BG263*(1-Assumptions!$B$18))</f>
        <v>2.25</v>
      </c>
      <c r="E263" s="46" t="n">
        <f aca="false">IF(A263="","",INDEX(Assumptions!$B$23:$B$26,MOD(VALUE(LEFT(A263,5)),4)+1))</f>
        <v>4</v>
      </c>
      <c r="F263" s="47" t="n">
        <v>342</v>
      </c>
      <c r="G263" s="48" t="n">
        <v>48</v>
      </c>
      <c r="H263" s="48" t="n">
        <v>44</v>
      </c>
      <c r="I263" s="48" t="n">
        <v>51</v>
      </c>
      <c r="J263" s="48" t="n">
        <v>0</v>
      </c>
      <c r="K263" s="48" t="n">
        <v>16</v>
      </c>
      <c r="L263" s="48" t="n">
        <v>18</v>
      </c>
      <c r="M263" s="48" t="n">
        <v>18</v>
      </c>
      <c r="N263" s="48" t="n">
        <v>9</v>
      </c>
      <c r="O263" s="48" t="n">
        <v>5</v>
      </c>
      <c r="P263" s="48" t="n">
        <v>8</v>
      </c>
      <c r="Q263" s="48" t="n">
        <v>70</v>
      </c>
      <c r="R263" s="48" t="n">
        <v>28</v>
      </c>
      <c r="S263" s="48" t="n">
        <v>174</v>
      </c>
      <c r="T263" s="48" t="n">
        <v>31</v>
      </c>
      <c r="U263" s="48" t="n">
        <v>24</v>
      </c>
      <c r="V263" s="48" t="n">
        <v>6</v>
      </c>
      <c r="W263" s="48" t="n">
        <v>58</v>
      </c>
      <c r="X263" s="48" t="n">
        <v>16</v>
      </c>
      <c r="Y263" s="48" t="n">
        <v>36</v>
      </c>
      <c r="Z263" s="48" t="n">
        <v>11</v>
      </c>
      <c r="AA263" s="48" t="n">
        <v>16</v>
      </c>
      <c r="AB263" s="48" t="n">
        <v>10</v>
      </c>
      <c r="AC263" s="48" t="n">
        <v>66</v>
      </c>
      <c r="AD263" s="48" t="n">
        <v>19</v>
      </c>
      <c r="AE263" s="48" t="n">
        <v>14</v>
      </c>
      <c r="AF263" s="48" t="n">
        <v>21</v>
      </c>
      <c r="AG263" s="48" t="n">
        <v>12</v>
      </c>
      <c r="AH263" s="48" t="n">
        <v>60</v>
      </c>
      <c r="AI263" s="48" t="n">
        <v>8</v>
      </c>
      <c r="AJ263" s="48" t="n">
        <v>10</v>
      </c>
      <c r="AK263" s="48" t="n">
        <v>13</v>
      </c>
      <c r="AL263" s="48" t="n">
        <v>0</v>
      </c>
      <c r="AM263" s="48" t="n">
        <v>26</v>
      </c>
      <c r="AN263" s="48" t="n">
        <v>85</v>
      </c>
      <c r="AO263" s="48" t="n">
        <v>25</v>
      </c>
      <c r="AP263" s="48" t="n">
        <v>29</v>
      </c>
      <c r="AQ263" s="48" t="n">
        <v>70</v>
      </c>
      <c r="AR263" s="48" t="n">
        <v>25</v>
      </c>
      <c r="AS263" s="48" t="n">
        <v>17</v>
      </c>
      <c r="AT263" s="48" t="n">
        <v>16</v>
      </c>
      <c r="AU263" s="48" t="n">
        <v>54</v>
      </c>
      <c r="AV263" s="48" t="n">
        <v>100</v>
      </c>
      <c r="AW263" s="48" t="n">
        <v>41</v>
      </c>
      <c r="AX263" s="48" t="n">
        <v>137</v>
      </c>
      <c r="AY263" s="48" t="n">
        <v>202</v>
      </c>
      <c r="AZ263" s="48" t="n">
        <v>46</v>
      </c>
      <c r="BA263" s="48" t="n">
        <v>24</v>
      </c>
      <c r="BB263" s="48" t="n">
        <v>48</v>
      </c>
      <c r="BC263" s="48" t="n">
        <v>50</v>
      </c>
      <c r="BD263" s="48" t="n">
        <v>149</v>
      </c>
      <c r="BE263" s="48" t="n">
        <v>67</v>
      </c>
      <c r="BF263" s="48" t="n">
        <v>92</v>
      </c>
      <c r="BG263" s="49" t="n">
        <v>3.75</v>
      </c>
    </row>
    <row r="264" customFormat="false" ht="15" hidden="false" customHeight="false" outlineLevel="0" collapsed="false">
      <c r="A264" s="43" t="s">
        <v>764</v>
      </c>
      <c r="B264" s="43" t="s">
        <v>765</v>
      </c>
      <c r="C264" s="44" t="str">
        <f aca="false">IF(A264="","",IFERROR(INDEX(Assumptions!$B$41:$B$55,MATCH(TRUE(),INDEX(ISNUMBER(SEARCH(" "&amp;Assumptions!$A$41:$A$55&amp;" "," "&amp;SUBSTITUTE(SUBSTITUTE(SUBSTITUTE(SUBSTITUTE(B264,"-"," "),","," "),"/"," "),"."," ")&amp;" ")),0),0)),"Other"))</f>
        <v>Other</v>
      </c>
      <c r="D264" s="45" t="n">
        <f aca="false">IF(A264="","",BG264*(1-Assumptions!$B$18))</f>
        <v>1.26</v>
      </c>
      <c r="E264" s="46" t="n">
        <f aca="false">IF(A264="","",INDEX(Assumptions!$B$23:$B$26,MOD(VALUE(LEFT(A264,5)),4)+1))</f>
        <v>6</v>
      </c>
      <c r="F264" s="47" t="n">
        <v>2753</v>
      </c>
      <c r="G264" s="48" t="n">
        <v>135</v>
      </c>
      <c r="H264" s="48" t="n">
        <v>28</v>
      </c>
      <c r="I264" s="48" t="n">
        <v>19</v>
      </c>
      <c r="J264" s="48" t="n">
        <v>0</v>
      </c>
      <c r="K264" s="48" t="n">
        <v>35</v>
      </c>
      <c r="L264" s="48" t="n">
        <v>37</v>
      </c>
      <c r="M264" s="48" t="n">
        <v>78</v>
      </c>
      <c r="N264" s="48" t="n">
        <v>16</v>
      </c>
      <c r="O264" s="48" t="n">
        <v>4</v>
      </c>
      <c r="P264" s="48" t="n">
        <v>31</v>
      </c>
      <c r="Q264" s="48" t="n">
        <v>91</v>
      </c>
      <c r="R264" s="48" t="n">
        <v>40</v>
      </c>
      <c r="S264" s="48" t="n">
        <v>73</v>
      </c>
      <c r="T264" s="48" t="n">
        <v>36</v>
      </c>
      <c r="U264" s="48" t="n">
        <v>103</v>
      </c>
      <c r="V264" s="48" t="n">
        <v>61</v>
      </c>
      <c r="W264" s="48" t="n">
        <v>56</v>
      </c>
      <c r="X264" s="48" t="n">
        <v>88</v>
      </c>
      <c r="Y264" s="48" t="n">
        <v>328</v>
      </c>
      <c r="Z264" s="48" t="n">
        <v>12</v>
      </c>
      <c r="AA264" s="48" t="n">
        <v>50</v>
      </c>
      <c r="AB264" s="48" t="n">
        <v>41</v>
      </c>
      <c r="AC264" s="48" t="n">
        <v>113</v>
      </c>
      <c r="AD264" s="48" t="n">
        <v>84</v>
      </c>
      <c r="AE264" s="48" t="n">
        <v>24</v>
      </c>
      <c r="AF264" s="48" t="n">
        <v>151</v>
      </c>
      <c r="AG264" s="48" t="n">
        <v>36</v>
      </c>
      <c r="AH264" s="48" t="n">
        <v>61</v>
      </c>
      <c r="AI264" s="48" t="n">
        <v>57</v>
      </c>
      <c r="AJ264" s="48" t="n">
        <v>18</v>
      </c>
      <c r="AK264" s="48" t="n">
        <v>58</v>
      </c>
      <c r="AL264" s="48" t="n">
        <v>62</v>
      </c>
      <c r="AM264" s="48" t="n">
        <v>115</v>
      </c>
      <c r="AN264" s="48" t="n">
        <v>48</v>
      </c>
      <c r="AO264" s="48" t="n">
        <v>67</v>
      </c>
      <c r="AP264" s="48" t="n">
        <v>58</v>
      </c>
      <c r="AQ264" s="48" t="n">
        <v>221</v>
      </c>
      <c r="AR264" s="48" t="n">
        <v>66</v>
      </c>
      <c r="AS264" s="48" t="n">
        <v>49</v>
      </c>
      <c r="AT264" s="48" t="n">
        <v>187</v>
      </c>
      <c r="AU264" s="48" t="n">
        <v>139</v>
      </c>
      <c r="AV264" s="48" t="n">
        <v>143</v>
      </c>
      <c r="AW264" s="48" t="n">
        <v>28</v>
      </c>
      <c r="AX264" s="48" t="n">
        <v>204</v>
      </c>
      <c r="AY264" s="48" t="n">
        <v>24</v>
      </c>
      <c r="AZ264" s="48" t="n">
        <v>55</v>
      </c>
      <c r="BA264" s="48" t="n">
        <v>143</v>
      </c>
      <c r="BB264" s="48" t="n">
        <v>247</v>
      </c>
      <c r="BC264" s="48" t="n">
        <v>120</v>
      </c>
      <c r="BD264" s="48" t="n">
        <v>43</v>
      </c>
      <c r="BE264" s="48" t="n">
        <v>39</v>
      </c>
      <c r="BF264" s="48" t="n">
        <v>189</v>
      </c>
      <c r="BG264" s="49" t="n">
        <v>2.1</v>
      </c>
    </row>
    <row r="265" customFormat="false" ht="15" hidden="false" customHeight="false" outlineLevel="0" collapsed="false">
      <c r="A265" s="43" t="s">
        <v>766</v>
      </c>
      <c r="B265" s="43" t="s">
        <v>767</v>
      </c>
      <c r="C265" s="44" t="str">
        <f aca="false">IF(A265="","",IFERROR(INDEX(Assumptions!$B$41:$B$55,MATCH(TRUE(),INDEX(ISNUMBER(SEARCH(" "&amp;Assumptions!$A$41:$A$55&amp;" "," "&amp;SUBSTITUTE(SUBSTITUTE(SUBSTITUTE(SUBSTITUTE(B265,"-"," "),","," "),"/"," "),"."," ")&amp;" ")),0),0)),"Other"))</f>
        <v>Other</v>
      </c>
      <c r="D265" s="45" t="n">
        <f aca="false">IF(A265="","",BG265*(1-Assumptions!$B$18))</f>
        <v>0.75</v>
      </c>
      <c r="E265" s="46" t="n">
        <f aca="false">IF(A265="","",INDEX(Assumptions!$B$23:$B$26,MOD(VALUE(LEFT(A265,5)),4)+1))</f>
        <v>6</v>
      </c>
      <c r="F265" s="47" t="n">
        <v>1831</v>
      </c>
      <c r="G265" s="48" t="n">
        <v>0</v>
      </c>
      <c r="H265" s="48" t="n">
        <v>0</v>
      </c>
      <c r="I265" s="48" t="n">
        <v>0</v>
      </c>
      <c r="J265" s="48" t="n">
        <v>0</v>
      </c>
      <c r="K265" s="48" t="n">
        <v>0</v>
      </c>
      <c r="L265" s="48" t="n">
        <v>0</v>
      </c>
      <c r="M265" s="48" t="n">
        <v>0</v>
      </c>
      <c r="N265" s="48" t="n">
        <v>0</v>
      </c>
      <c r="O265" s="48" t="n">
        <v>0</v>
      </c>
      <c r="P265" s="48" t="n">
        <v>0</v>
      </c>
      <c r="Q265" s="48" t="n">
        <v>0</v>
      </c>
      <c r="R265" s="48" t="n">
        <v>0</v>
      </c>
      <c r="S265" s="48" t="n">
        <v>0</v>
      </c>
      <c r="T265" s="48" t="n">
        <v>0</v>
      </c>
      <c r="U265" s="48" t="n">
        <v>0</v>
      </c>
      <c r="V265" s="48" t="n">
        <v>168</v>
      </c>
      <c r="W265" s="48" t="n">
        <v>426</v>
      </c>
      <c r="X265" s="48" t="n">
        <v>363</v>
      </c>
      <c r="Y265" s="48" t="n">
        <v>168</v>
      </c>
      <c r="Z265" s="48" t="n">
        <v>72</v>
      </c>
      <c r="AA265" s="48" t="n">
        <v>216</v>
      </c>
      <c r="AB265" s="48" t="n">
        <v>243</v>
      </c>
      <c r="AC265" s="48" t="n">
        <v>168</v>
      </c>
      <c r="AD265" s="48" t="n">
        <v>144</v>
      </c>
      <c r="AE265" s="48" t="n">
        <v>228</v>
      </c>
      <c r="AF265" s="48" t="n">
        <v>72</v>
      </c>
      <c r="AG265" s="48" t="n">
        <v>120</v>
      </c>
      <c r="AH265" s="48" t="n">
        <v>184</v>
      </c>
      <c r="AI265" s="48" t="n">
        <v>144</v>
      </c>
      <c r="AJ265" s="48" t="n">
        <v>74</v>
      </c>
      <c r="AK265" s="48" t="n">
        <v>168</v>
      </c>
      <c r="AL265" s="48" t="n">
        <v>168</v>
      </c>
      <c r="AM265" s="48" t="n">
        <v>97</v>
      </c>
      <c r="AN265" s="48" t="n">
        <v>337</v>
      </c>
      <c r="AO265" s="48" t="n">
        <v>361</v>
      </c>
      <c r="AP265" s="48" t="n">
        <v>74</v>
      </c>
      <c r="AQ265" s="48" t="n">
        <v>96</v>
      </c>
      <c r="AR265" s="48" t="n">
        <v>120</v>
      </c>
      <c r="AS265" s="48" t="n">
        <v>129</v>
      </c>
      <c r="AT265" s="48" t="n">
        <v>153</v>
      </c>
      <c r="AU265" s="48" t="n">
        <v>160</v>
      </c>
      <c r="AV265" s="48" t="n">
        <v>218</v>
      </c>
      <c r="AW265" s="48" t="n">
        <v>73</v>
      </c>
      <c r="AX265" s="48" t="n">
        <v>45</v>
      </c>
      <c r="AY265" s="48" t="n">
        <v>96</v>
      </c>
      <c r="AZ265" s="48" t="n">
        <v>421</v>
      </c>
      <c r="BA265" s="48" t="n">
        <v>140</v>
      </c>
      <c r="BB265" s="48" t="n">
        <v>145</v>
      </c>
      <c r="BC265" s="48" t="n">
        <v>205</v>
      </c>
      <c r="BD265" s="48" t="n">
        <v>261</v>
      </c>
      <c r="BE265" s="48" t="n">
        <v>440</v>
      </c>
      <c r="BF265" s="48" t="n">
        <v>105</v>
      </c>
      <c r="BG265" s="49" t="n">
        <v>1.25</v>
      </c>
    </row>
    <row r="266" customFormat="false" ht="15" hidden="false" customHeight="false" outlineLevel="0" collapsed="false">
      <c r="A266" s="43" t="s">
        <v>768</v>
      </c>
      <c r="B266" s="43" t="s">
        <v>769</v>
      </c>
      <c r="C266" s="44" t="str">
        <f aca="false">IF(A266="","",IFERROR(INDEX(Assumptions!$B$41:$B$55,MATCH(TRUE(),INDEX(ISNUMBER(SEARCH(" "&amp;Assumptions!$A$41:$A$55&amp;" "," "&amp;SUBSTITUTE(SUBSTITUTE(SUBSTITUTE(SUBSTITUTE(B266,"-"," "),","," "),"/"," "),"."," ")&amp;" ")),0),0)),"Other"))</f>
        <v>Other</v>
      </c>
      <c r="D266" s="45" t="n">
        <f aca="false">IF(A266="","",BG266*(1-Assumptions!$B$18))</f>
        <v>0.75</v>
      </c>
      <c r="E266" s="46" t="n">
        <f aca="false">IF(A266="","",INDEX(Assumptions!$B$23:$B$26,MOD(VALUE(LEFT(A266,5)),4)+1))</f>
        <v>4</v>
      </c>
      <c r="F266" s="47" t="n">
        <v>1180</v>
      </c>
      <c r="G266" s="48" t="n">
        <v>431</v>
      </c>
      <c r="H266" s="48" t="n">
        <v>60</v>
      </c>
      <c r="I266" s="48" t="n">
        <v>12</v>
      </c>
      <c r="J266" s="48" t="n">
        <v>0</v>
      </c>
      <c r="K266" s="48" t="n">
        <v>14</v>
      </c>
      <c r="L266" s="48" t="n">
        <v>8</v>
      </c>
      <c r="M266" s="48" t="n">
        <v>36</v>
      </c>
      <c r="N266" s="48" t="n">
        <v>177</v>
      </c>
      <c r="O266" s="48" t="n">
        <v>29</v>
      </c>
      <c r="P266" s="48" t="n">
        <v>26</v>
      </c>
      <c r="Q266" s="48" t="n">
        <v>23</v>
      </c>
      <c r="R266" s="48" t="n">
        <v>32</v>
      </c>
      <c r="S266" s="48" t="n">
        <v>29</v>
      </c>
      <c r="T266" s="48" t="n">
        <v>243</v>
      </c>
      <c r="U266" s="48" t="n">
        <v>51</v>
      </c>
      <c r="V266" s="48" t="n">
        <v>77</v>
      </c>
      <c r="W266" s="48" t="n">
        <v>81</v>
      </c>
      <c r="X266" s="48" t="n">
        <v>17</v>
      </c>
      <c r="Y266" s="48" t="n">
        <v>67</v>
      </c>
      <c r="Z266" s="48" t="n">
        <v>104</v>
      </c>
      <c r="AA266" s="48" t="n">
        <v>12</v>
      </c>
      <c r="AB266" s="48" t="n">
        <v>37</v>
      </c>
      <c r="AC266" s="48" t="n">
        <v>353</v>
      </c>
      <c r="AD266" s="48" t="n">
        <v>17</v>
      </c>
      <c r="AE266" s="48" t="n">
        <v>31</v>
      </c>
      <c r="AF266" s="48" t="n">
        <v>15</v>
      </c>
      <c r="AG266" s="48" t="n">
        <v>32</v>
      </c>
      <c r="AH266" s="48" t="n">
        <v>23</v>
      </c>
      <c r="AI266" s="48" t="n">
        <v>28</v>
      </c>
      <c r="AJ266" s="48" t="n">
        <v>19</v>
      </c>
      <c r="AK266" s="48" t="n">
        <v>43</v>
      </c>
      <c r="AL266" s="48" t="n">
        <v>63</v>
      </c>
      <c r="AM266" s="48" t="n">
        <v>54</v>
      </c>
      <c r="AN266" s="48" t="n">
        <v>98</v>
      </c>
      <c r="AO266" s="48" t="n">
        <v>55</v>
      </c>
      <c r="AP266" s="48" t="n">
        <v>133</v>
      </c>
      <c r="AQ266" s="48" t="n">
        <v>79</v>
      </c>
      <c r="AR266" s="48" t="n">
        <v>58</v>
      </c>
      <c r="AS266" s="48" t="n">
        <v>268</v>
      </c>
      <c r="AT266" s="48" t="n">
        <v>223</v>
      </c>
      <c r="AU266" s="48" t="n">
        <v>103</v>
      </c>
      <c r="AV266" s="48" t="n">
        <v>185</v>
      </c>
      <c r="AW266" s="48" t="n">
        <v>102</v>
      </c>
      <c r="AX266" s="48" t="n">
        <v>252</v>
      </c>
      <c r="AY266" s="48" t="n">
        <v>285</v>
      </c>
      <c r="AZ266" s="48" t="n">
        <v>257</v>
      </c>
      <c r="BA266" s="48" t="n">
        <v>149</v>
      </c>
      <c r="BB266" s="48" t="n">
        <v>138</v>
      </c>
      <c r="BC266" s="48" t="n">
        <v>488</v>
      </c>
      <c r="BD266" s="48" t="n">
        <v>544</v>
      </c>
      <c r="BE266" s="48" t="n">
        <v>225</v>
      </c>
      <c r="BF266" s="48" t="n">
        <v>252</v>
      </c>
      <c r="BG266" s="49" t="n">
        <v>1.25</v>
      </c>
    </row>
    <row r="267" customFormat="false" ht="15" hidden="false" customHeight="false" outlineLevel="0" collapsed="false">
      <c r="A267" s="43" t="s">
        <v>770</v>
      </c>
      <c r="B267" s="43" t="s">
        <v>771</v>
      </c>
      <c r="C267" s="44" t="str">
        <f aca="false">IF(A267="","",IFERROR(INDEX(Assumptions!$B$41:$B$55,MATCH(TRUE(),INDEX(ISNUMBER(SEARCH(" "&amp;Assumptions!$A$41:$A$55&amp;" "," "&amp;SUBSTITUTE(SUBSTITUTE(SUBSTITUTE(SUBSTITUTE(B267,"-"," "),","," "),"/"," "),"."," ")&amp;" ")),0),0)),"Other"))</f>
        <v>Other</v>
      </c>
      <c r="D267" s="45" t="n">
        <f aca="false">IF(A267="","",BG267*(1-Assumptions!$B$18))</f>
        <v>1.26</v>
      </c>
      <c r="E267" s="46" t="n">
        <f aca="false">IF(A267="","",INDEX(Assumptions!$B$23:$B$26,MOD(VALUE(LEFT(A267,5)),4)+1))</f>
        <v>4</v>
      </c>
      <c r="F267" s="47" t="n">
        <v>3771</v>
      </c>
      <c r="G267" s="48" t="n">
        <v>443</v>
      </c>
      <c r="H267" s="48" t="n">
        <v>0</v>
      </c>
      <c r="I267" s="48" t="n">
        <v>2</v>
      </c>
      <c r="J267" s="48" t="n">
        <v>0</v>
      </c>
      <c r="K267" s="48" t="n">
        <v>0</v>
      </c>
      <c r="L267" s="48" t="n">
        <v>0</v>
      </c>
      <c r="M267" s="48" t="n">
        <v>0</v>
      </c>
      <c r="N267" s="48" t="n">
        <v>0</v>
      </c>
      <c r="O267" s="48" t="n">
        <v>0</v>
      </c>
      <c r="P267" s="48" t="n">
        <v>0</v>
      </c>
      <c r="Q267" s="48" t="n">
        <v>0</v>
      </c>
      <c r="R267" s="48" t="n">
        <v>0</v>
      </c>
      <c r="S267" s="48" t="n">
        <v>4</v>
      </c>
      <c r="T267" s="48" t="n">
        <v>0</v>
      </c>
      <c r="U267" s="48" t="n">
        <v>1</v>
      </c>
      <c r="V267" s="48" t="n">
        <v>6</v>
      </c>
      <c r="W267" s="48" t="n">
        <v>0</v>
      </c>
      <c r="X267" s="48" t="n">
        <v>0</v>
      </c>
      <c r="Y267" s="48" t="n">
        <v>0</v>
      </c>
      <c r="Z267" s="48" t="n">
        <v>0</v>
      </c>
      <c r="AA267" s="48" t="n">
        <v>0</v>
      </c>
      <c r="AB267" s="48" t="n">
        <v>0</v>
      </c>
      <c r="AC267" s="48" t="n">
        <v>0</v>
      </c>
      <c r="AD267" s="48" t="n">
        <v>3</v>
      </c>
      <c r="AE267" s="48" t="n">
        <v>1</v>
      </c>
      <c r="AF267" s="48" t="n">
        <v>2</v>
      </c>
      <c r="AG267" s="48" t="n">
        <v>1</v>
      </c>
      <c r="AH267" s="48" t="n">
        <v>0</v>
      </c>
      <c r="AI267" s="48" t="n">
        <v>0</v>
      </c>
      <c r="AJ267" s="48" t="n">
        <v>0</v>
      </c>
      <c r="AK267" s="48" t="n">
        <v>0</v>
      </c>
      <c r="AL267" s="48" t="n">
        <v>0</v>
      </c>
      <c r="AM267" s="48" t="n">
        <v>1</v>
      </c>
      <c r="AN267" s="48" t="n">
        <v>0</v>
      </c>
      <c r="AO267" s="48" t="n">
        <v>0</v>
      </c>
      <c r="AP267" s="48" t="n">
        <v>0</v>
      </c>
      <c r="AQ267" s="48" t="n">
        <v>0</v>
      </c>
      <c r="AR267" s="48" t="n">
        <v>121</v>
      </c>
      <c r="AS267" s="48" t="n">
        <v>58</v>
      </c>
      <c r="AT267" s="48" t="n">
        <v>104</v>
      </c>
      <c r="AU267" s="48" t="n">
        <v>150</v>
      </c>
      <c r="AV267" s="48" t="n">
        <v>219</v>
      </c>
      <c r="AW267" s="48" t="n">
        <v>224</v>
      </c>
      <c r="AX267" s="48" t="n">
        <v>407</v>
      </c>
      <c r="AY267" s="48" t="n">
        <v>193</v>
      </c>
      <c r="AZ267" s="48" t="n">
        <v>229</v>
      </c>
      <c r="BA267" s="48" t="n">
        <v>477</v>
      </c>
      <c r="BB267" s="48" t="n">
        <v>286</v>
      </c>
      <c r="BC267" s="48" t="n">
        <v>220</v>
      </c>
      <c r="BD267" s="48" t="n">
        <v>422</v>
      </c>
      <c r="BE267" s="48" t="n">
        <v>166</v>
      </c>
      <c r="BF267" s="48" t="n">
        <v>345</v>
      </c>
      <c r="BG267" s="49" t="n">
        <v>2.1</v>
      </c>
    </row>
    <row r="268" customFormat="false" ht="15" hidden="false" customHeight="false" outlineLevel="0" collapsed="false">
      <c r="A268" s="43" t="s">
        <v>772</v>
      </c>
      <c r="B268" s="43" t="s">
        <v>773</v>
      </c>
      <c r="C268" s="44" t="str">
        <f aca="false">IF(A268="","",IFERROR(INDEX(Assumptions!$B$41:$B$55,MATCH(TRUE(),INDEX(ISNUMBER(SEARCH(" "&amp;Assumptions!$A$41:$A$55&amp;" "," "&amp;SUBSTITUTE(SUBSTITUTE(SUBSTITUTE(SUBSTITUTE(B268,"-"," "),","," "),"/"," "),"."," ")&amp;" ")),0),0)),"Other"))</f>
        <v>Other</v>
      </c>
      <c r="D268" s="45" t="n">
        <f aca="false">IF(A268="","",BG268*(1-Assumptions!$B$18))</f>
        <v>4.77</v>
      </c>
      <c r="E268" s="46" t="n">
        <f aca="false">IF(A268="","",INDEX(Assumptions!$B$23:$B$26,MOD(VALUE(LEFT(A268,5)),4)+1))</f>
        <v>8</v>
      </c>
      <c r="F268" s="47" t="n">
        <v>552</v>
      </c>
      <c r="G268" s="48" t="n">
        <v>5</v>
      </c>
      <c r="H268" s="48" t="n">
        <v>0</v>
      </c>
      <c r="I268" s="48" t="n">
        <v>1</v>
      </c>
      <c r="J268" s="48" t="n">
        <v>0</v>
      </c>
      <c r="K268" s="48" t="n">
        <v>0</v>
      </c>
      <c r="L268" s="48" t="n">
        <v>2</v>
      </c>
      <c r="M268" s="48" t="n">
        <v>0</v>
      </c>
      <c r="N268" s="48" t="n">
        <v>0</v>
      </c>
      <c r="O268" s="48" t="n">
        <v>0</v>
      </c>
      <c r="P268" s="48" t="n">
        <v>0</v>
      </c>
      <c r="Q268" s="48" t="n">
        <v>0</v>
      </c>
      <c r="R268" s="48" t="n">
        <v>0</v>
      </c>
      <c r="S268" s="48" t="n">
        <v>0</v>
      </c>
      <c r="T268" s="48" t="n">
        <v>0</v>
      </c>
      <c r="U268" s="48" t="n">
        <v>0</v>
      </c>
      <c r="V268" s="48" t="n">
        <v>0</v>
      </c>
      <c r="W268" s="48" t="n">
        <v>12</v>
      </c>
      <c r="X268" s="48" t="n">
        <v>0</v>
      </c>
      <c r="Y268" s="48" t="n">
        <v>0</v>
      </c>
      <c r="Z268" s="48" t="n">
        <v>0</v>
      </c>
      <c r="AA268" s="48" t="n">
        <v>0</v>
      </c>
      <c r="AB268" s="48" t="n">
        <v>0</v>
      </c>
      <c r="AC268" s="48" t="n">
        <v>0</v>
      </c>
      <c r="AD268" s="48" t="n">
        <v>0</v>
      </c>
      <c r="AE268" s="48" t="n">
        <v>0</v>
      </c>
      <c r="AF268" s="48" t="n">
        <v>0</v>
      </c>
      <c r="AG268" s="48" t="n">
        <v>0</v>
      </c>
      <c r="AH268" s="48" t="n">
        <v>0</v>
      </c>
      <c r="AI268" s="48" t="n">
        <v>0</v>
      </c>
      <c r="AJ268" s="48" t="n">
        <v>0</v>
      </c>
      <c r="AK268" s="48" t="n">
        <v>0</v>
      </c>
      <c r="AL268" s="48" t="n">
        <v>0</v>
      </c>
      <c r="AM268" s="48" t="n">
        <v>0</v>
      </c>
      <c r="AN268" s="48" t="n">
        <v>0</v>
      </c>
      <c r="AO268" s="48" t="n">
        <v>0</v>
      </c>
      <c r="AP268" s="48" t="n">
        <v>2</v>
      </c>
      <c r="AQ268" s="48" t="n">
        <v>2</v>
      </c>
      <c r="AR268" s="48" t="n">
        <v>2</v>
      </c>
      <c r="AS268" s="48" t="n">
        <v>4</v>
      </c>
      <c r="AT268" s="48" t="n">
        <v>15</v>
      </c>
      <c r="AU268" s="48" t="n">
        <v>3</v>
      </c>
      <c r="AV268" s="48" t="n">
        <v>12</v>
      </c>
      <c r="AW268" s="48" t="n">
        <v>9</v>
      </c>
      <c r="AX268" s="48" t="n">
        <v>6</v>
      </c>
      <c r="AY268" s="48" t="n">
        <v>38</v>
      </c>
      <c r="AZ268" s="48" t="n">
        <v>55</v>
      </c>
      <c r="BA268" s="48" t="n">
        <v>49</v>
      </c>
      <c r="BB268" s="48" t="n">
        <v>96</v>
      </c>
      <c r="BC268" s="48" t="n">
        <v>91</v>
      </c>
      <c r="BD268" s="48" t="n">
        <v>185</v>
      </c>
      <c r="BE268" s="48" t="n">
        <v>120</v>
      </c>
      <c r="BF268" s="48" t="n">
        <v>27</v>
      </c>
      <c r="BG268" s="49" t="n">
        <v>7.95</v>
      </c>
    </row>
    <row r="269" customFormat="false" ht="15" hidden="false" customHeight="false" outlineLevel="0" collapsed="false">
      <c r="A269" s="43" t="s">
        <v>774</v>
      </c>
      <c r="B269" s="43" t="s">
        <v>775</v>
      </c>
      <c r="C269" s="44" t="str">
        <f aca="false">IF(A269="","",IFERROR(INDEX(Assumptions!$B$41:$B$55,MATCH(TRUE(),INDEX(ISNUMBER(SEARCH(" "&amp;Assumptions!$A$41:$A$55&amp;" "," "&amp;SUBSTITUTE(SUBSTITUTE(SUBSTITUTE(SUBSTITUTE(B269,"-"," "),","," "),"/"," "),"."," ")&amp;" ")),0),0)),"Other"))</f>
        <v>Other</v>
      </c>
      <c r="D269" s="45" t="n">
        <f aca="false">IF(A269="","",BG269*(1-Assumptions!$B$18))</f>
        <v>0.75</v>
      </c>
      <c r="E269" s="46" t="n">
        <f aca="false">IF(A269="","",INDEX(Assumptions!$B$23:$B$26,MOD(VALUE(LEFT(A269,5)),4)+1))</f>
        <v>2</v>
      </c>
      <c r="F269" s="47" t="n">
        <v>6474</v>
      </c>
      <c r="G269" s="48" t="n">
        <v>419</v>
      </c>
      <c r="H269" s="48" t="n">
        <v>8</v>
      </c>
      <c r="I269" s="48" t="n">
        <v>146</v>
      </c>
      <c r="J269" s="48" t="n">
        <v>0</v>
      </c>
      <c r="K269" s="48" t="n">
        <v>5</v>
      </c>
      <c r="L269" s="48" t="n">
        <v>73</v>
      </c>
      <c r="M269" s="48" t="n">
        <v>115</v>
      </c>
      <c r="N269" s="48" t="n">
        <v>200</v>
      </c>
      <c r="O269" s="48" t="n">
        <v>127</v>
      </c>
      <c r="P269" s="48" t="n">
        <v>126</v>
      </c>
      <c r="Q269" s="48" t="n">
        <v>72</v>
      </c>
      <c r="R269" s="48" t="n">
        <v>109</v>
      </c>
      <c r="S269" s="48" t="n">
        <v>33</v>
      </c>
      <c r="T269" s="48" t="n">
        <v>107</v>
      </c>
      <c r="U269" s="48" t="n">
        <v>24</v>
      </c>
      <c r="V269" s="48" t="n">
        <v>114</v>
      </c>
      <c r="W269" s="48" t="n">
        <v>110</v>
      </c>
      <c r="X269" s="48" t="n">
        <v>28</v>
      </c>
      <c r="Y269" s="48" t="n">
        <v>200</v>
      </c>
      <c r="Z269" s="48" t="n">
        <v>51</v>
      </c>
      <c r="AA269" s="48" t="n">
        <v>79</v>
      </c>
      <c r="AB269" s="48" t="n">
        <v>125</v>
      </c>
      <c r="AC269" s="48" t="n">
        <v>66</v>
      </c>
      <c r="AD269" s="48" t="n">
        <v>402</v>
      </c>
      <c r="AE269" s="48" t="n">
        <v>59</v>
      </c>
      <c r="AF269" s="48" t="n">
        <v>57</v>
      </c>
      <c r="AG269" s="48" t="n">
        <v>26</v>
      </c>
      <c r="AH269" s="48" t="n">
        <v>82</v>
      </c>
      <c r="AI269" s="48" t="n">
        <v>26</v>
      </c>
      <c r="AJ269" s="48" t="n">
        <v>24</v>
      </c>
      <c r="AK269" s="48" t="n">
        <v>277</v>
      </c>
      <c r="AL269" s="48" t="n">
        <v>50</v>
      </c>
      <c r="AM269" s="48" t="n">
        <v>92</v>
      </c>
      <c r="AN269" s="48" t="n">
        <v>193</v>
      </c>
      <c r="AO269" s="48" t="n">
        <v>105</v>
      </c>
      <c r="AP269" s="48" t="n">
        <v>315</v>
      </c>
      <c r="AQ269" s="48" t="n">
        <v>60</v>
      </c>
      <c r="AR269" s="48" t="n">
        <v>101</v>
      </c>
      <c r="AS269" s="48" t="n">
        <v>254</v>
      </c>
      <c r="AT269" s="48" t="n">
        <v>29</v>
      </c>
      <c r="AU269" s="48" t="n">
        <v>217</v>
      </c>
      <c r="AV269" s="48" t="n">
        <v>299</v>
      </c>
      <c r="AW269" s="48" t="n">
        <v>105</v>
      </c>
      <c r="AX269" s="48" t="n">
        <v>391</v>
      </c>
      <c r="AY269" s="48" t="n">
        <v>110</v>
      </c>
      <c r="AZ269" s="48" t="n">
        <v>64</v>
      </c>
      <c r="BA269" s="48" t="n">
        <v>139</v>
      </c>
      <c r="BB269" s="48" t="n">
        <v>426</v>
      </c>
      <c r="BC269" s="48" t="n">
        <v>195</v>
      </c>
      <c r="BD269" s="48" t="n">
        <v>141</v>
      </c>
      <c r="BE269" s="48" t="n">
        <v>181</v>
      </c>
      <c r="BF269" s="48" t="n">
        <v>406</v>
      </c>
      <c r="BG269" s="49" t="n">
        <v>1.25</v>
      </c>
    </row>
    <row r="270" customFormat="false" ht="15" hidden="false" customHeight="false" outlineLevel="0" collapsed="false">
      <c r="A270" s="43" t="s">
        <v>776</v>
      </c>
      <c r="B270" s="43" t="s">
        <v>777</v>
      </c>
      <c r="C270" s="44" t="str">
        <f aca="false">IF(A270="","",IFERROR(INDEX(Assumptions!$B$41:$B$55,MATCH(TRUE(),INDEX(ISNUMBER(SEARCH(" "&amp;Assumptions!$A$41:$A$55&amp;" "," "&amp;SUBSTITUTE(SUBSTITUTE(SUBSTITUTE(SUBSTITUTE(B270,"-"," "),","," "),"/"," "),"."," ")&amp;" ")),0),0)),"Other"))</f>
        <v>Other</v>
      </c>
      <c r="D270" s="45" t="n">
        <f aca="false">IF(A270="","",BG270*(1-Assumptions!$B$18))</f>
        <v>0.87</v>
      </c>
      <c r="E270" s="46" t="n">
        <f aca="false">IF(A270="","",INDEX(Assumptions!$B$23:$B$26,MOD(VALUE(LEFT(A270,5)),4)+1))</f>
        <v>8</v>
      </c>
      <c r="F270" s="47" t="n">
        <v>4584</v>
      </c>
      <c r="G270" s="48" t="n">
        <v>218</v>
      </c>
      <c r="H270" s="48" t="n">
        <v>118</v>
      </c>
      <c r="I270" s="48" t="n">
        <v>16</v>
      </c>
      <c r="J270" s="48" t="n">
        <v>0</v>
      </c>
      <c r="K270" s="48" t="n">
        <v>7</v>
      </c>
      <c r="L270" s="48" t="n">
        <v>55</v>
      </c>
      <c r="M270" s="48" t="n">
        <v>29</v>
      </c>
      <c r="N270" s="48" t="n">
        <v>40</v>
      </c>
      <c r="O270" s="48" t="n">
        <v>37</v>
      </c>
      <c r="P270" s="48" t="n">
        <v>63</v>
      </c>
      <c r="Q270" s="48" t="n">
        <v>92</v>
      </c>
      <c r="R270" s="48" t="n">
        <v>63</v>
      </c>
      <c r="S270" s="48" t="n">
        <v>127</v>
      </c>
      <c r="T270" s="48" t="n">
        <v>63</v>
      </c>
      <c r="U270" s="48" t="n">
        <v>46</v>
      </c>
      <c r="V270" s="48" t="n">
        <v>98</v>
      </c>
      <c r="W270" s="48" t="n">
        <v>68</v>
      </c>
      <c r="X270" s="48" t="n">
        <v>61</v>
      </c>
      <c r="Y270" s="48" t="n">
        <v>98</v>
      </c>
      <c r="Z270" s="48" t="n">
        <v>32</v>
      </c>
      <c r="AA270" s="48" t="n">
        <v>67</v>
      </c>
      <c r="AB270" s="48" t="n">
        <v>63</v>
      </c>
      <c r="AC270" s="48" t="n">
        <v>48</v>
      </c>
      <c r="AD270" s="48" t="n">
        <v>137</v>
      </c>
      <c r="AE270" s="48" t="n">
        <v>48</v>
      </c>
      <c r="AF270" s="48" t="n">
        <v>48</v>
      </c>
      <c r="AG270" s="48" t="n">
        <v>101</v>
      </c>
      <c r="AH270" s="48" t="n">
        <v>158</v>
      </c>
      <c r="AI270" s="48" t="n">
        <v>43</v>
      </c>
      <c r="AJ270" s="48" t="n">
        <v>92</v>
      </c>
      <c r="AK270" s="48" t="n">
        <v>28</v>
      </c>
      <c r="AL270" s="48" t="n">
        <v>19</v>
      </c>
      <c r="AM270" s="48" t="n">
        <v>58</v>
      </c>
      <c r="AN270" s="48" t="n">
        <v>93</v>
      </c>
      <c r="AO270" s="48" t="n">
        <v>79</v>
      </c>
      <c r="AP270" s="48" t="n">
        <v>108</v>
      </c>
      <c r="AQ270" s="48" t="n">
        <v>505</v>
      </c>
      <c r="AR270" s="48" t="n">
        <v>72</v>
      </c>
      <c r="AS270" s="48" t="n">
        <v>93</v>
      </c>
      <c r="AT270" s="48" t="n">
        <v>128</v>
      </c>
      <c r="AU270" s="48" t="n">
        <v>114</v>
      </c>
      <c r="AV270" s="48" t="n">
        <v>174</v>
      </c>
      <c r="AW270" s="48" t="n">
        <v>135</v>
      </c>
      <c r="AX270" s="48" t="n">
        <v>1108</v>
      </c>
      <c r="AY270" s="48" t="n">
        <v>1072</v>
      </c>
      <c r="AZ270" s="48" t="n">
        <v>65</v>
      </c>
      <c r="BA270" s="48" t="n">
        <v>16</v>
      </c>
      <c r="BB270" s="48" t="n">
        <v>4</v>
      </c>
      <c r="BC270" s="48" t="n">
        <v>2</v>
      </c>
      <c r="BD270" s="48" t="n">
        <v>70</v>
      </c>
      <c r="BE270" s="48" t="n">
        <v>0</v>
      </c>
      <c r="BF270" s="48" t="n">
        <v>33</v>
      </c>
      <c r="BG270" s="49" t="n">
        <v>1.45</v>
      </c>
    </row>
    <row r="271" customFormat="false" ht="15" hidden="false" customHeight="false" outlineLevel="0" collapsed="false">
      <c r="A271" s="43" t="s">
        <v>778</v>
      </c>
      <c r="B271" s="43" t="s">
        <v>779</v>
      </c>
      <c r="C271" s="44" t="str">
        <f aca="false">IF(A271="","",IFERROR(INDEX(Assumptions!$B$41:$B$55,MATCH(TRUE(),INDEX(ISNUMBER(SEARCH(" "&amp;Assumptions!$A$41:$A$55&amp;" "," "&amp;SUBSTITUTE(SUBSTITUTE(SUBSTITUTE(SUBSTITUTE(B271,"-"," "),","," "),"/"," "),"."," ")&amp;" ")),0),0)),"Other"))</f>
        <v>Other</v>
      </c>
      <c r="D271" s="45" t="n">
        <f aca="false">IF(A271="","",BG271*(1-Assumptions!$B$18))</f>
        <v>0.99</v>
      </c>
      <c r="E271" s="46" t="n">
        <f aca="false">IF(A271="","",INDEX(Assumptions!$B$23:$B$26,MOD(VALUE(LEFT(A271,5)),4)+1))</f>
        <v>2</v>
      </c>
      <c r="F271" s="47" t="n">
        <v>4902</v>
      </c>
      <c r="G271" s="48" t="n">
        <v>184</v>
      </c>
      <c r="H271" s="48" t="n">
        <v>94</v>
      </c>
      <c r="I271" s="48" t="n">
        <v>125</v>
      </c>
      <c r="J271" s="48" t="n">
        <v>0</v>
      </c>
      <c r="K271" s="48" t="n">
        <v>43</v>
      </c>
      <c r="L271" s="48" t="n">
        <v>125</v>
      </c>
      <c r="M271" s="48" t="n">
        <v>56</v>
      </c>
      <c r="N271" s="48" t="n">
        <v>71</v>
      </c>
      <c r="O271" s="48" t="n">
        <v>240</v>
      </c>
      <c r="P271" s="48" t="n">
        <v>167</v>
      </c>
      <c r="Q271" s="48" t="n">
        <v>282</v>
      </c>
      <c r="R271" s="48" t="n">
        <v>122</v>
      </c>
      <c r="S271" s="48" t="n">
        <v>53</v>
      </c>
      <c r="T271" s="48" t="n">
        <v>89</v>
      </c>
      <c r="U271" s="48" t="n">
        <v>55</v>
      </c>
      <c r="V271" s="48" t="n">
        <v>91</v>
      </c>
      <c r="W271" s="48" t="n">
        <v>76</v>
      </c>
      <c r="X271" s="48" t="n">
        <v>60</v>
      </c>
      <c r="Y271" s="48" t="n">
        <v>145</v>
      </c>
      <c r="Z271" s="48" t="n">
        <v>74</v>
      </c>
      <c r="AA271" s="48" t="n">
        <v>27</v>
      </c>
      <c r="AB271" s="48" t="n">
        <v>45</v>
      </c>
      <c r="AC271" s="48" t="n">
        <v>109</v>
      </c>
      <c r="AD271" s="48" t="n">
        <v>297</v>
      </c>
      <c r="AE271" s="48" t="n">
        <v>47</v>
      </c>
      <c r="AF271" s="48" t="n">
        <v>90</v>
      </c>
      <c r="AG271" s="48" t="n">
        <v>66</v>
      </c>
      <c r="AH271" s="48" t="n">
        <v>61</v>
      </c>
      <c r="AI271" s="48" t="n">
        <v>71</v>
      </c>
      <c r="AJ271" s="48" t="n">
        <v>28</v>
      </c>
      <c r="AK271" s="48" t="n">
        <v>44</v>
      </c>
      <c r="AL271" s="48" t="n">
        <v>68</v>
      </c>
      <c r="AM271" s="48" t="n">
        <v>142</v>
      </c>
      <c r="AN271" s="48" t="n">
        <v>181</v>
      </c>
      <c r="AO271" s="48" t="n">
        <v>82</v>
      </c>
      <c r="AP271" s="48" t="n">
        <v>71</v>
      </c>
      <c r="AQ271" s="48" t="n">
        <v>46</v>
      </c>
      <c r="AR271" s="48" t="n">
        <v>59</v>
      </c>
      <c r="AS271" s="48" t="n">
        <v>134</v>
      </c>
      <c r="AT271" s="48" t="n">
        <v>173</v>
      </c>
      <c r="AU271" s="48" t="n">
        <v>32</v>
      </c>
      <c r="AV271" s="48" t="n">
        <v>116</v>
      </c>
      <c r="AW271" s="48" t="n">
        <v>26</v>
      </c>
      <c r="AX271" s="48" t="n">
        <v>479</v>
      </c>
      <c r="AY271" s="48" t="n">
        <v>3</v>
      </c>
      <c r="AZ271" s="48" t="n">
        <v>241</v>
      </c>
      <c r="BA271" s="48" t="n">
        <v>66</v>
      </c>
      <c r="BB271" s="48" t="n">
        <v>12</v>
      </c>
      <c r="BC271" s="48" t="n">
        <v>26</v>
      </c>
      <c r="BD271" s="48" t="n">
        <v>4</v>
      </c>
      <c r="BE271" s="48" t="n">
        <v>0</v>
      </c>
      <c r="BF271" s="48" t="n">
        <v>0</v>
      </c>
      <c r="BG271" s="49" t="n">
        <v>1.65</v>
      </c>
    </row>
    <row r="272" customFormat="false" ht="15" hidden="false" customHeight="false" outlineLevel="0" collapsed="false">
      <c r="A272" s="43" t="s">
        <v>780</v>
      </c>
      <c r="B272" s="43" t="s">
        <v>781</v>
      </c>
      <c r="C272" s="44" t="str">
        <f aca="false">IF(A272="","",IFERROR(INDEX(Assumptions!$B$41:$B$55,MATCH(TRUE(),INDEX(ISNUMBER(SEARCH(" "&amp;Assumptions!$A$41:$A$55&amp;" "," "&amp;SUBSTITUTE(SUBSTITUTE(SUBSTITUTE(SUBSTITUTE(B272,"-"," "),","," "),"/"," "),"."," ")&amp;" ")),0),0)),"Other"))</f>
        <v>Lighting</v>
      </c>
      <c r="D272" s="45" t="n">
        <f aca="false">IF(A272="","",BG272*(1-Assumptions!$B$18))</f>
        <v>0.51</v>
      </c>
      <c r="E272" s="46" t="n">
        <f aca="false">IF(A272="","",INDEX(Assumptions!$B$23:$B$26,MOD(VALUE(LEFT(A272,5)),4)+1))</f>
        <v>4</v>
      </c>
      <c r="F272" s="47" t="n">
        <v>2926</v>
      </c>
      <c r="G272" s="48" t="n">
        <v>912</v>
      </c>
      <c r="H272" s="48" t="n">
        <v>362</v>
      </c>
      <c r="I272" s="48" t="n">
        <v>53</v>
      </c>
      <c r="J272" s="48" t="n">
        <v>0</v>
      </c>
      <c r="K272" s="48" t="n">
        <v>252</v>
      </c>
      <c r="L272" s="48" t="n">
        <v>24</v>
      </c>
      <c r="M272" s="48" t="n">
        <v>48</v>
      </c>
      <c r="N272" s="48" t="n">
        <v>80</v>
      </c>
      <c r="O272" s="48" t="n">
        <v>78</v>
      </c>
      <c r="P272" s="48" t="n">
        <v>42</v>
      </c>
      <c r="Q272" s="48" t="n">
        <v>468</v>
      </c>
      <c r="R272" s="48" t="n">
        <v>44</v>
      </c>
      <c r="S272" s="48" t="n">
        <v>157</v>
      </c>
      <c r="T272" s="48" t="n">
        <v>24</v>
      </c>
      <c r="U272" s="48" t="n">
        <v>228</v>
      </c>
      <c r="V272" s="48" t="n">
        <v>120</v>
      </c>
      <c r="W272" s="48" t="n">
        <v>25</v>
      </c>
      <c r="X272" s="48" t="n">
        <v>168</v>
      </c>
      <c r="Y272" s="48" t="n">
        <v>60</v>
      </c>
      <c r="Z272" s="48" t="n">
        <v>312</v>
      </c>
      <c r="AA272" s="48" t="n">
        <v>132</v>
      </c>
      <c r="AB272" s="48" t="n">
        <v>552</v>
      </c>
      <c r="AC272" s="48" t="n">
        <v>184</v>
      </c>
      <c r="AD272" s="48" t="n">
        <v>144</v>
      </c>
      <c r="AE272" s="48" t="n">
        <v>104</v>
      </c>
      <c r="AF272" s="48" t="n">
        <v>54</v>
      </c>
      <c r="AG272" s="48" t="n">
        <v>60</v>
      </c>
      <c r="AH272" s="48" t="n">
        <v>72</v>
      </c>
      <c r="AI272" s="48" t="n">
        <v>156</v>
      </c>
      <c r="AJ272" s="48" t="n">
        <v>60</v>
      </c>
      <c r="AK272" s="48" t="n">
        <v>228</v>
      </c>
      <c r="AL272" s="48" t="n">
        <v>24</v>
      </c>
      <c r="AM272" s="48" t="n">
        <v>24</v>
      </c>
      <c r="AN272" s="48" t="n">
        <v>48</v>
      </c>
      <c r="AO272" s="48" t="n">
        <v>84</v>
      </c>
      <c r="AP272" s="48" t="n">
        <v>126</v>
      </c>
      <c r="AQ272" s="48" t="n">
        <v>48</v>
      </c>
      <c r="AR272" s="48" t="n">
        <v>84</v>
      </c>
      <c r="AS272" s="48" t="n">
        <v>414</v>
      </c>
      <c r="AT272" s="48" t="n">
        <v>108</v>
      </c>
      <c r="AU272" s="48" t="n">
        <v>252</v>
      </c>
      <c r="AV272" s="48" t="n">
        <v>420</v>
      </c>
      <c r="AW272" s="48" t="n">
        <v>168</v>
      </c>
      <c r="AX272" s="48" t="n">
        <v>552</v>
      </c>
      <c r="AY272" s="48" t="n">
        <v>123</v>
      </c>
      <c r="AZ272" s="48" t="n">
        <v>118</v>
      </c>
      <c r="BA272" s="48" t="n">
        <v>120</v>
      </c>
      <c r="BB272" s="48" t="n">
        <v>126</v>
      </c>
      <c r="BC272" s="48" t="n">
        <v>714</v>
      </c>
      <c r="BD272" s="48" t="n">
        <v>276</v>
      </c>
      <c r="BE272" s="48" t="n">
        <v>559</v>
      </c>
      <c r="BF272" s="48" t="n">
        <v>552</v>
      </c>
      <c r="BG272" s="49" t="n">
        <v>0.85</v>
      </c>
    </row>
    <row r="273" customFormat="false" ht="15" hidden="false" customHeight="false" outlineLevel="0" collapsed="false">
      <c r="A273" s="43" t="s">
        <v>782</v>
      </c>
      <c r="B273" s="43" t="s">
        <v>783</v>
      </c>
      <c r="C273" s="44" t="str">
        <f aca="false">IF(A273="","",IFERROR(INDEX(Assumptions!$B$41:$B$55,MATCH(TRUE(),INDEX(ISNUMBER(SEARCH(" "&amp;Assumptions!$A$41:$A$55&amp;" "," "&amp;SUBSTITUTE(SUBSTITUTE(SUBSTITUTE(SUBSTITUTE(B273,"-"," "),","," "),"/"," "),"."," ")&amp;" ")),0),0)),"Other"))</f>
        <v>Other</v>
      </c>
      <c r="D273" s="45" t="n">
        <f aca="false">IF(A273="","",BG273*(1-Assumptions!$B$18))</f>
        <v>1.26</v>
      </c>
      <c r="E273" s="46" t="n">
        <f aca="false">IF(A273="","",INDEX(Assumptions!$B$23:$B$26,MOD(VALUE(LEFT(A273,5)),4)+1))</f>
        <v>8</v>
      </c>
      <c r="F273" s="47" t="n">
        <v>3100</v>
      </c>
      <c r="G273" s="48" t="n">
        <v>0</v>
      </c>
      <c r="H273" s="48" t="n">
        <v>0</v>
      </c>
      <c r="I273" s="48" t="n">
        <v>0</v>
      </c>
      <c r="J273" s="48" t="n">
        <v>0</v>
      </c>
      <c r="K273" s="48" t="n">
        <v>0</v>
      </c>
      <c r="L273" s="48" t="n">
        <v>0</v>
      </c>
      <c r="M273" s="48" t="n">
        <v>0</v>
      </c>
      <c r="N273" s="48" t="n">
        <v>0</v>
      </c>
      <c r="O273" s="48" t="n">
        <v>0</v>
      </c>
      <c r="P273" s="48" t="n">
        <v>0</v>
      </c>
      <c r="Q273" s="48" t="n">
        <v>0</v>
      </c>
      <c r="R273" s="48" t="n">
        <v>0</v>
      </c>
      <c r="S273" s="48" t="n">
        <v>0</v>
      </c>
      <c r="T273" s="48" t="n">
        <v>0</v>
      </c>
      <c r="U273" s="48" t="n">
        <v>0</v>
      </c>
      <c r="V273" s="48" t="n">
        <v>0</v>
      </c>
      <c r="W273" s="48" t="n">
        <v>0</v>
      </c>
      <c r="X273" s="48" t="n">
        <v>0</v>
      </c>
      <c r="Y273" s="48" t="n">
        <v>0</v>
      </c>
      <c r="Z273" s="48" t="n">
        <v>0</v>
      </c>
      <c r="AA273" s="48" t="n">
        <v>0</v>
      </c>
      <c r="AB273" s="48" t="n">
        <v>0</v>
      </c>
      <c r="AC273" s="48" t="n">
        <v>0</v>
      </c>
      <c r="AD273" s="48" t="n">
        <v>0</v>
      </c>
      <c r="AE273" s="48" t="n">
        <v>0</v>
      </c>
      <c r="AF273" s="48" t="n">
        <v>0</v>
      </c>
      <c r="AG273" s="48" t="n">
        <v>0</v>
      </c>
      <c r="AH273" s="48" t="n">
        <v>0</v>
      </c>
      <c r="AI273" s="48" t="n">
        <v>0</v>
      </c>
      <c r="AJ273" s="48" t="n">
        <v>0</v>
      </c>
      <c r="AK273" s="48" t="n">
        <v>0</v>
      </c>
      <c r="AL273" s="48" t="n">
        <v>0</v>
      </c>
      <c r="AM273" s="48" t="n">
        <v>0</v>
      </c>
      <c r="AN273" s="48" t="n">
        <v>0</v>
      </c>
      <c r="AO273" s="48" t="n">
        <v>0</v>
      </c>
      <c r="AP273" s="48" t="n">
        <v>0</v>
      </c>
      <c r="AQ273" s="48" t="n">
        <v>0</v>
      </c>
      <c r="AR273" s="48" t="n">
        <v>13</v>
      </c>
      <c r="AS273" s="48" t="n">
        <v>117</v>
      </c>
      <c r="AT273" s="48" t="n">
        <v>35</v>
      </c>
      <c r="AU273" s="48" t="n">
        <v>313</v>
      </c>
      <c r="AV273" s="48" t="n">
        <v>459</v>
      </c>
      <c r="AW273" s="48" t="n">
        <v>176</v>
      </c>
      <c r="AX273" s="48" t="n">
        <v>220</v>
      </c>
      <c r="AY273" s="48" t="n">
        <v>100</v>
      </c>
      <c r="AZ273" s="48" t="n">
        <v>122</v>
      </c>
      <c r="BA273" s="48" t="n">
        <v>160</v>
      </c>
      <c r="BB273" s="48" t="n">
        <v>431</v>
      </c>
      <c r="BC273" s="48" t="n">
        <v>707</v>
      </c>
      <c r="BD273" s="48" t="n">
        <v>364</v>
      </c>
      <c r="BE273" s="48" t="n">
        <v>275</v>
      </c>
      <c r="BF273" s="48" t="n">
        <v>257</v>
      </c>
      <c r="BG273" s="49" t="n">
        <v>2.1</v>
      </c>
    </row>
    <row r="274" customFormat="false" ht="15" hidden="false" customHeight="false" outlineLevel="0" collapsed="false">
      <c r="A274" s="43" t="s">
        <v>784</v>
      </c>
      <c r="B274" s="43" t="s">
        <v>785</v>
      </c>
      <c r="C274" s="44" t="str">
        <f aca="false">IF(A274="","",IFERROR(INDEX(Assumptions!$B$41:$B$55,MATCH(TRUE(),INDEX(ISNUMBER(SEARCH(" "&amp;Assumptions!$A$41:$A$55&amp;" "," "&amp;SUBSTITUTE(SUBSTITUTE(SUBSTITUTE(SUBSTITUTE(B274,"-"," "),","," "),"/"," "),"."," ")&amp;" ")),0),0)),"Other"))</f>
        <v>Other</v>
      </c>
      <c r="D274" s="45" t="n">
        <f aca="false">IF(A274="","",BG274*(1-Assumptions!$B$18))</f>
        <v>0.75</v>
      </c>
      <c r="E274" s="46" t="n">
        <f aca="false">IF(A274="","",INDEX(Assumptions!$B$23:$B$26,MOD(VALUE(LEFT(A274,5)),4)+1))</f>
        <v>6</v>
      </c>
      <c r="F274" s="47" t="n">
        <v>1671</v>
      </c>
      <c r="G274" s="48" t="n">
        <v>96</v>
      </c>
      <c r="H274" s="48" t="n">
        <v>117</v>
      </c>
      <c r="I274" s="48" t="n">
        <v>4</v>
      </c>
      <c r="J274" s="48" t="n">
        <v>0</v>
      </c>
      <c r="K274" s="48" t="n">
        <v>185</v>
      </c>
      <c r="L274" s="48" t="n">
        <v>233</v>
      </c>
      <c r="M274" s="48" t="n">
        <v>415</v>
      </c>
      <c r="N274" s="48" t="n">
        <v>239</v>
      </c>
      <c r="O274" s="48" t="n">
        <v>123</v>
      </c>
      <c r="P274" s="48" t="n">
        <v>132</v>
      </c>
      <c r="Q274" s="48" t="n">
        <v>83</v>
      </c>
      <c r="R274" s="48" t="n">
        <v>95</v>
      </c>
      <c r="S274" s="48" t="n">
        <v>82</v>
      </c>
      <c r="T274" s="48" t="n">
        <v>112</v>
      </c>
      <c r="U274" s="48" t="n">
        <v>110</v>
      </c>
      <c r="V274" s="48" t="n">
        <v>87</v>
      </c>
      <c r="W274" s="48" t="n">
        <v>254</v>
      </c>
      <c r="X274" s="48" t="n">
        <v>89</v>
      </c>
      <c r="Y274" s="48" t="n">
        <v>33</v>
      </c>
      <c r="Z274" s="48" t="n">
        <v>39</v>
      </c>
      <c r="AA274" s="48" t="n">
        <v>77</v>
      </c>
      <c r="AB274" s="48" t="n">
        <v>57</v>
      </c>
      <c r="AC274" s="48" t="n">
        <v>96</v>
      </c>
      <c r="AD274" s="48" t="n">
        <v>61</v>
      </c>
      <c r="AE274" s="48" t="n">
        <v>42</v>
      </c>
      <c r="AF274" s="48" t="n">
        <v>25</v>
      </c>
      <c r="AG274" s="48" t="n">
        <v>33</v>
      </c>
      <c r="AH274" s="48" t="n">
        <v>28</v>
      </c>
      <c r="AI274" s="48" t="n">
        <v>108</v>
      </c>
      <c r="AJ274" s="48" t="n">
        <v>89</v>
      </c>
      <c r="AK274" s="48" t="n">
        <v>183</v>
      </c>
      <c r="AL274" s="48" t="n">
        <v>32</v>
      </c>
      <c r="AM274" s="48" t="n">
        <v>13</v>
      </c>
      <c r="AN274" s="48" t="n">
        <v>318</v>
      </c>
      <c r="AO274" s="48" t="n">
        <v>49</v>
      </c>
      <c r="AP274" s="48" t="n">
        <v>33</v>
      </c>
      <c r="AQ274" s="48" t="n">
        <v>29</v>
      </c>
      <c r="AR274" s="48" t="n">
        <v>60</v>
      </c>
      <c r="AS274" s="48" t="n">
        <v>34</v>
      </c>
      <c r="AT274" s="48" t="n">
        <v>68</v>
      </c>
      <c r="AU274" s="48" t="n">
        <v>24</v>
      </c>
      <c r="AV274" s="48" t="n">
        <v>94</v>
      </c>
      <c r="AW274" s="48" t="n">
        <v>27</v>
      </c>
      <c r="AX274" s="48" t="n">
        <v>77</v>
      </c>
      <c r="AY274" s="48" t="n">
        <v>129</v>
      </c>
      <c r="AZ274" s="48" t="n">
        <v>320</v>
      </c>
      <c r="BA274" s="48" t="n">
        <v>103</v>
      </c>
      <c r="BB274" s="48" t="n">
        <v>79</v>
      </c>
      <c r="BC274" s="48" t="n">
        <v>114</v>
      </c>
      <c r="BD274" s="48" t="n">
        <v>122</v>
      </c>
      <c r="BE274" s="48" t="n">
        <v>243</v>
      </c>
      <c r="BF274" s="48" t="n">
        <v>912</v>
      </c>
      <c r="BG274" s="49" t="n">
        <v>1.25</v>
      </c>
    </row>
    <row r="275" customFormat="false" ht="15" hidden="false" customHeight="false" outlineLevel="0" collapsed="false">
      <c r="A275" s="43" t="s">
        <v>786</v>
      </c>
      <c r="B275" s="43" t="s">
        <v>787</v>
      </c>
      <c r="C275" s="44" t="str">
        <f aca="false">IF(A275="","",IFERROR(INDEX(Assumptions!$B$41:$B$55,MATCH(TRUE(),INDEX(ISNUMBER(SEARCH(" "&amp;Assumptions!$A$41:$A$55&amp;" "," "&amp;SUBSTITUTE(SUBSTITUTE(SUBSTITUTE(SUBSTITUTE(B275,"-"," "),","," "),"/"," "),"."," ")&amp;" ")),0),0)),"Other"))</f>
        <v>Other</v>
      </c>
      <c r="D275" s="45" t="n">
        <f aca="false">IF(A275="","",BG275*(1-Assumptions!$B$18))</f>
        <v>0.99</v>
      </c>
      <c r="E275" s="46" t="n">
        <f aca="false">IF(A275="","",INDEX(Assumptions!$B$23:$B$26,MOD(VALUE(LEFT(A275,5)),4)+1))</f>
        <v>4</v>
      </c>
      <c r="F275" s="47" t="n">
        <v>1421</v>
      </c>
      <c r="G275" s="48" t="n">
        <v>0</v>
      </c>
      <c r="H275" s="48" t="n">
        <v>0</v>
      </c>
      <c r="I275" s="48" t="n">
        <v>0</v>
      </c>
      <c r="J275" s="48" t="n">
        <v>0</v>
      </c>
      <c r="K275" s="48" t="n">
        <v>0</v>
      </c>
      <c r="L275" s="48" t="n">
        <v>0</v>
      </c>
      <c r="M275" s="48" t="n">
        <v>0</v>
      </c>
      <c r="N275" s="48" t="n">
        <v>0</v>
      </c>
      <c r="O275" s="48" t="n">
        <v>0</v>
      </c>
      <c r="P275" s="48" t="n">
        <v>0</v>
      </c>
      <c r="Q275" s="48" t="n">
        <v>0</v>
      </c>
      <c r="R275" s="48" t="n">
        <v>0</v>
      </c>
      <c r="S275" s="48" t="n">
        <v>0</v>
      </c>
      <c r="T275" s="48" t="n">
        <v>0</v>
      </c>
      <c r="U275" s="48" t="n">
        <v>0</v>
      </c>
      <c r="V275" s="48" t="n">
        <v>0</v>
      </c>
      <c r="W275" s="48" t="n">
        <v>0</v>
      </c>
      <c r="X275" s="48" t="n">
        <v>0</v>
      </c>
      <c r="Y275" s="48" t="n">
        <v>0</v>
      </c>
      <c r="Z275" s="48" t="n">
        <v>0</v>
      </c>
      <c r="AA275" s="48" t="n">
        <v>0</v>
      </c>
      <c r="AB275" s="48" t="n">
        <v>0</v>
      </c>
      <c r="AC275" s="48" t="n">
        <v>0</v>
      </c>
      <c r="AD275" s="48" t="n">
        <v>0</v>
      </c>
      <c r="AE275" s="48" t="n">
        <v>0</v>
      </c>
      <c r="AF275" s="48" t="n">
        <v>0</v>
      </c>
      <c r="AG275" s="48" t="n">
        <v>44</v>
      </c>
      <c r="AH275" s="48" t="n">
        <v>63</v>
      </c>
      <c r="AI275" s="48" t="n">
        <v>87</v>
      </c>
      <c r="AJ275" s="48" t="n">
        <v>144</v>
      </c>
      <c r="AK275" s="48" t="n">
        <v>110</v>
      </c>
      <c r="AL275" s="48" t="n">
        <v>142</v>
      </c>
      <c r="AM275" s="48" t="n">
        <v>168</v>
      </c>
      <c r="AN275" s="48" t="n">
        <v>111</v>
      </c>
      <c r="AO275" s="48" t="n">
        <v>247</v>
      </c>
      <c r="AP275" s="48" t="n">
        <v>254</v>
      </c>
      <c r="AQ275" s="48" t="n">
        <v>99</v>
      </c>
      <c r="AR275" s="48" t="n">
        <v>114</v>
      </c>
      <c r="AS275" s="48" t="n">
        <v>129</v>
      </c>
      <c r="AT275" s="48" t="n">
        <v>125</v>
      </c>
      <c r="AU275" s="48" t="n">
        <v>194</v>
      </c>
      <c r="AV275" s="48" t="n">
        <v>178</v>
      </c>
      <c r="AW275" s="48" t="n">
        <v>209</v>
      </c>
      <c r="AX275" s="48" t="n">
        <v>219</v>
      </c>
      <c r="AY275" s="48" t="n">
        <v>134</v>
      </c>
      <c r="AZ275" s="48" t="n">
        <v>95</v>
      </c>
      <c r="BA275" s="48" t="n">
        <v>234</v>
      </c>
      <c r="BB275" s="48" t="n">
        <v>355</v>
      </c>
      <c r="BC275" s="48" t="n">
        <v>344</v>
      </c>
      <c r="BD275" s="48" t="n">
        <v>377</v>
      </c>
      <c r="BE275" s="48" t="n">
        <v>236</v>
      </c>
      <c r="BF275" s="48" t="n">
        <v>207</v>
      </c>
      <c r="BG275" s="49" t="n">
        <v>1.65</v>
      </c>
    </row>
    <row r="276" customFormat="false" ht="15" hidden="false" customHeight="false" outlineLevel="0" collapsed="false">
      <c r="A276" s="43" t="s">
        <v>788</v>
      </c>
      <c r="B276" s="43" t="s">
        <v>789</v>
      </c>
      <c r="C276" s="44" t="str">
        <f aca="false">IF(A276="","",IFERROR(INDEX(Assumptions!$B$41:$B$55,MATCH(TRUE(),INDEX(ISNUMBER(SEARCH(" "&amp;Assumptions!$A$41:$A$55&amp;" "," "&amp;SUBSTITUTE(SUBSTITUTE(SUBSTITUTE(SUBSTITUTE(B276,"-"," "),","," "),"/"," "),"."," ")&amp;" ")),0),0)),"Other"))</f>
        <v>Other</v>
      </c>
      <c r="D276" s="45" t="n">
        <f aca="false">IF(A276="","",BG276*(1-Assumptions!$B$18))</f>
        <v>2.25</v>
      </c>
      <c r="E276" s="46" t="n">
        <f aca="false">IF(A276="","",INDEX(Assumptions!$B$23:$B$26,MOD(VALUE(LEFT(A276,5)),4)+1))</f>
        <v>6</v>
      </c>
      <c r="F276" s="47" t="n">
        <v>1467</v>
      </c>
      <c r="G276" s="48" t="n">
        <v>0</v>
      </c>
      <c r="H276" s="48" t="n">
        <v>0</v>
      </c>
      <c r="I276" s="48" t="n">
        <v>0</v>
      </c>
      <c r="J276" s="48" t="n">
        <v>0</v>
      </c>
      <c r="K276" s="48" t="n">
        <v>0</v>
      </c>
      <c r="L276" s="48" t="n">
        <v>0</v>
      </c>
      <c r="M276" s="48" t="n">
        <v>0</v>
      </c>
      <c r="N276" s="48" t="n">
        <v>0</v>
      </c>
      <c r="O276" s="48" t="n">
        <v>0</v>
      </c>
      <c r="P276" s="48" t="n">
        <v>0</v>
      </c>
      <c r="Q276" s="48" t="n">
        <v>0</v>
      </c>
      <c r="R276" s="48" t="n">
        <v>0</v>
      </c>
      <c r="S276" s="48" t="n">
        <v>0</v>
      </c>
      <c r="T276" s="48" t="n">
        <v>0</v>
      </c>
      <c r="U276" s="48" t="n">
        <v>0</v>
      </c>
      <c r="V276" s="48" t="n">
        <v>0</v>
      </c>
      <c r="W276" s="48" t="n">
        <v>0</v>
      </c>
      <c r="X276" s="48" t="n">
        <v>0</v>
      </c>
      <c r="Y276" s="48" t="n">
        <v>0</v>
      </c>
      <c r="Z276" s="48" t="n">
        <v>0</v>
      </c>
      <c r="AA276" s="48" t="n">
        <v>0</v>
      </c>
      <c r="AB276" s="48" t="n">
        <v>0</v>
      </c>
      <c r="AC276" s="48" t="n">
        <v>93</v>
      </c>
      <c r="AD276" s="48" t="n">
        <v>145</v>
      </c>
      <c r="AE276" s="48" t="n">
        <v>159</v>
      </c>
      <c r="AF276" s="48" t="n">
        <v>50</v>
      </c>
      <c r="AG276" s="48" t="n">
        <v>51</v>
      </c>
      <c r="AH276" s="48" t="n">
        <v>87</v>
      </c>
      <c r="AI276" s="48" t="n">
        <v>80</v>
      </c>
      <c r="AJ276" s="48" t="n">
        <v>18</v>
      </c>
      <c r="AK276" s="48" t="n">
        <v>19</v>
      </c>
      <c r="AL276" s="48" t="n">
        <v>43</v>
      </c>
      <c r="AM276" s="48" t="n">
        <v>87</v>
      </c>
      <c r="AN276" s="48" t="n">
        <v>15</v>
      </c>
      <c r="AO276" s="48" t="n">
        <v>22</v>
      </c>
      <c r="AP276" s="48" t="n">
        <v>60</v>
      </c>
      <c r="AQ276" s="48" t="n">
        <v>16</v>
      </c>
      <c r="AR276" s="48" t="n">
        <v>49</v>
      </c>
      <c r="AS276" s="48" t="n">
        <v>16</v>
      </c>
      <c r="AT276" s="48" t="n">
        <v>84</v>
      </c>
      <c r="AU276" s="48" t="n">
        <v>21</v>
      </c>
      <c r="AV276" s="48" t="n">
        <v>136</v>
      </c>
      <c r="AW276" s="48" t="n">
        <v>39</v>
      </c>
      <c r="AX276" s="48" t="n">
        <v>135</v>
      </c>
      <c r="AY276" s="48" t="n">
        <v>61</v>
      </c>
      <c r="AZ276" s="48" t="n">
        <v>113</v>
      </c>
      <c r="BA276" s="48" t="n">
        <v>27</v>
      </c>
      <c r="BB276" s="48" t="n">
        <v>78</v>
      </c>
      <c r="BC276" s="48" t="n">
        <v>126</v>
      </c>
      <c r="BD276" s="48" t="n">
        <v>187</v>
      </c>
      <c r="BE276" s="48" t="n">
        <v>94</v>
      </c>
      <c r="BF276" s="48" t="n">
        <v>133</v>
      </c>
      <c r="BG276" s="49" t="n">
        <v>3.75</v>
      </c>
    </row>
    <row r="277" customFormat="false" ht="15" hidden="false" customHeight="false" outlineLevel="0" collapsed="false">
      <c r="A277" s="43" t="s">
        <v>790</v>
      </c>
      <c r="B277" s="43" t="s">
        <v>791</v>
      </c>
      <c r="C277" s="44" t="str">
        <f aca="false">IF(A277="","",IFERROR(INDEX(Assumptions!$B$41:$B$55,MATCH(TRUE(),INDEX(ISNUMBER(SEARCH(" "&amp;Assumptions!$A$41:$A$55&amp;" "," "&amp;SUBSTITUTE(SUBSTITUTE(SUBSTITUTE(SUBSTITUTE(B277,"-"," "),","," "),"/"," "),"."," ")&amp;" ")),0),0)),"Other"))</f>
        <v>Kitchen</v>
      </c>
      <c r="D277" s="45" t="n">
        <f aca="false">IF(A277="","",BG277*(1-Assumptions!$B$18))</f>
        <v>0.33</v>
      </c>
      <c r="E277" s="46" t="n">
        <f aca="false">IF(A277="","",INDEX(Assumptions!$B$23:$B$26,MOD(VALUE(LEFT(A277,5)),4)+1))</f>
        <v>4</v>
      </c>
      <c r="F277" s="47" t="n">
        <v>2585</v>
      </c>
      <c r="G277" s="48" t="n">
        <v>238</v>
      </c>
      <c r="H277" s="48" t="n">
        <v>275</v>
      </c>
      <c r="I277" s="48" t="n">
        <v>705</v>
      </c>
      <c r="J277" s="48" t="n">
        <v>0</v>
      </c>
      <c r="K277" s="48" t="n">
        <v>127</v>
      </c>
      <c r="L277" s="48" t="n">
        <v>132</v>
      </c>
      <c r="M277" s="48" t="n">
        <v>223</v>
      </c>
      <c r="N277" s="48" t="n">
        <v>184</v>
      </c>
      <c r="O277" s="48" t="n">
        <v>243</v>
      </c>
      <c r="P277" s="48" t="n">
        <v>38</v>
      </c>
      <c r="Q277" s="48" t="n">
        <v>179</v>
      </c>
      <c r="R277" s="48" t="n">
        <v>184</v>
      </c>
      <c r="S277" s="48" t="n">
        <v>316</v>
      </c>
      <c r="T277" s="48" t="n">
        <v>128</v>
      </c>
      <c r="U277" s="48" t="n">
        <v>340</v>
      </c>
      <c r="V277" s="48" t="n">
        <v>208</v>
      </c>
      <c r="W277" s="48" t="n">
        <v>444</v>
      </c>
      <c r="X277" s="48" t="n">
        <v>184</v>
      </c>
      <c r="Y277" s="48" t="n">
        <v>363</v>
      </c>
      <c r="Z277" s="48" t="n">
        <v>1023</v>
      </c>
      <c r="AA277" s="48" t="n">
        <v>152</v>
      </c>
      <c r="AB277" s="48" t="n">
        <v>362</v>
      </c>
      <c r="AC277" s="48" t="n">
        <v>176</v>
      </c>
      <c r="AD277" s="48" t="n">
        <v>82</v>
      </c>
      <c r="AE277" s="48" t="n">
        <v>146</v>
      </c>
      <c r="AF277" s="48" t="n">
        <v>255</v>
      </c>
      <c r="AG277" s="48" t="n">
        <v>178</v>
      </c>
      <c r="AH277" s="48" t="n">
        <v>503</v>
      </c>
      <c r="AI277" s="48" t="n">
        <v>236</v>
      </c>
      <c r="AJ277" s="48" t="n">
        <v>101</v>
      </c>
      <c r="AK277" s="48" t="n">
        <v>537</v>
      </c>
      <c r="AL277" s="48" t="n">
        <v>206</v>
      </c>
      <c r="AM277" s="48" t="n">
        <v>160</v>
      </c>
      <c r="AN277" s="48" t="n">
        <v>231</v>
      </c>
      <c r="AO277" s="48" t="n">
        <v>241</v>
      </c>
      <c r="AP277" s="48" t="n">
        <v>88</v>
      </c>
      <c r="AQ277" s="48" t="n">
        <v>852</v>
      </c>
      <c r="AR277" s="48" t="n">
        <v>231</v>
      </c>
      <c r="AS277" s="48" t="n">
        <v>219</v>
      </c>
      <c r="AT277" s="48" t="n">
        <v>800</v>
      </c>
      <c r="AU277" s="48" t="n">
        <v>865</v>
      </c>
      <c r="AV277" s="48" t="n">
        <v>420</v>
      </c>
      <c r="AW277" s="48" t="n">
        <v>242</v>
      </c>
      <c r="AX277" s="48" t="n">
        <v>274</v>
      </c>
      <c r="AY277" s="48" t="n">
        <v>176</v>
      </c>
      <c r="AZ277" s="48" t="n">
        <v>384</v>
      </c>
      <c r="BA277" s="48" t="n">
        <v>505</v>
      </c>
      <c r="BB277" s="48" t="n">
        <v>227</v>
      </c>
      <c r="BC277" s="48" t="n">
        <v>117</v>
      </c>
      <c r="BD277" s="48" t="n">
        <v>163</v>
      </c>
      <c r="BE277" s="48" t="n">
        <v>64</v>
      </c>
      <c r="BF277" s="48" t="n">
        <v>210</v>
      </c>
      <c r="BG277" s="49" t="n">
        <v>0.55</v>
      </c>
    </row>
    <row r="278" customFormat="false" ht="15" hidden="false" customHeight="false" outlineLevel="0" collapsed="false">
      <c r="A278" s="43" t="s">
        <v>792</v>
      </c>
      <c r="B278" s="43" t="s">
        <v>793</v>
      </c>
      <c r="C278" s="44" t="str">
        <f aca="false">IF(A278="","",IFERROR(INDEX(Assumptions!$B$41:$B$55,MATCH(TRUE(),INDEX(ISNUMBER(SEARCH(" "&amp;Assumptions!$A$41:$A$55&amp;" "," "&amp;SUBSTITUTE(SUBSTITUTE(SUBSTITUTE(SUBSTITUTE(B278,"-"," "),","," "),"/"," "),"."," ")&amp;" ")),0),0)),"Other"))</f>
        <v>Other</v>
      </c>
      <c r="D278" s="45" t="n">
        <f aca="false">IF(A278="","",BG278*(1-Assumptions!$B$18))</f>
        <v>2.49</v>
      </c>
      <c r="E278" s="46" t="n">
        <f aca="false">IF(A278="","",INDEX(Assumptions!$B$23:$B$26,MOD(VALUE(LEFT(A278,5)),4)+1))</f>
        <v>2</v>
      </c>
      <c r="F278" s="47" t="n">
        <v>424</v>
      </c>
      <c r="G278" s="48" t="n">
        <v>0</v>
      </c>
      <c r="H278" s="48" t="n">
        <v>0</v>
      </c>
      <c r="I278" s="48" t="n">
        <v>0</v>
      </c>
      <c r="J278" s="48" t="n">
        <v>0</v>
      </c>
      <c r="K278" s="48" t="n">
        <v>0</v>
      </c>
      <c r="L278" s="48" t="n">
        <v>0</v>
      </c>
      <c r="M278" s="48" t="n">
        <v>0</v>
      </c>
      <c r="N278" s="48" t="n">
        <v>0</v>
      </c>
      <c r="O278" s="48" t="n">
        <v>0</v>
      </c>
      <c r="P278" s="48" t="n">
        <v>0</v>
      </c>
      <c r="Q278" s="48" t="n">
        <v>0</v>
      </c>
      <c r="R278" s="48" t="n">
        <v>0</v>
      </c>
      <c r="S278" s="48" t="n">
        <v>0</v>
      </c>
      <c r="T278" s="48" t="n">
        <v>0</v>
      </c>
      <c r="U278" s="48" t="n">
        <v>0</v>
      </c>
      <c r="V278" s="48" t="n">
        <v>0</v>
      </c>
      <c r="W278" s="48" t="n">
        <v>0</v>
      </c>
      <c r="X278" s="48" t="n">
        <v>8</v>
      </c>
      <c r="Y278" s="48" t="n">
        <v>26</v>
      </c>
      <c r="Z278" s="48" t="n">
        <v>35</v>
      </c>
      <c r="AA278" s="48" t="n">
        <v>9</v>
      </c>
      <c r="AB278" s="48" t="n">
        <v>61</v>
      </c>
      <c r="AC278" s="48" t="n">
        <v>61</v>
      </c>
      <c r="AD278" s="48" t="n">
        <v>58</v>
      </c>
      <c r="AE278" s="48" t="n">
        <v>108</v>
      </c>
      <c r="AF278" s="48" t="n">
        <v>98</v>
      </c>
      <c r="AG278" s="48" t="n">
        <v>129</v>
      </c>
      <c r="AH278" s="48" t="n">
        <v>105</v>
      </c>
      <c r="AI278" s="48" t="n">
        <v>54</v>
      </c>
      <c r="AJ278" s="48" t="n">
        <v>24</v>
      </c>
      <c r="AK278" s="48" t="n">
        <v>103</v>
      </c>
      <c r="AL278" s="48" t="n">
        <v>48</v>
      </c>
      <c r="AM278" s="48" t="n">
        <v>22</v>
      </c>
      <c r="AN278" s="48" t="n">
        <v>25</v>
      </c>
      <c r="AO278" s="48" t="n">
        <v>36</v>
      </c>
      <c r="AP278" s="48" t="n">
        <v>101</v>
      </c>
      <c r="AQ278" s="48" t="n">
        <v>23</v>
      </c>
      <c r="AR278" s="48" t="n">
        <v>74</v>
      </c>
      <c r="AS278" s="48" t="n">
        <v>37</v>
      </c>
      <c r="AT278" s="48" t="n">
        <v>40</v>
      </c>
      <c r="AU278" s="48" t="n">
        <v>28</v>
      </c>
      <c r="AV278" s="48" t="n">
        <v>58</v>
      </c>
      <c r="AW278" s="48" t="n">
        <v>41</v>
      </c>
      <c r="AX278" s="48" t="n">
        <v>46</v>
      </c>
      <c r="AY278" s="48" t="n">
        <v>68</v>
      </c>
      <c r="AZ278" s="48" t="n">
        <v>15</v>
      </c>
      <c r="BA278" s="48" t="n">
        <v>104</v>
      </c>
      <c r="BB278" s="48" t="n">
        <v>103</v>
      </c>
      <c r="BC278" s="48" t="n">
        <v>114</v>
      </c>
      <c r="BD278" s="48" t="n">
        <v>62</v>
      </c>
      <c r="BE278" s="48" t="n">
        <v>47</v>
      </c>
      <c r="BF278" s="48" t="n">
        <v>32</v>
      </c>
      <c r="BG278" s="49" t="n">
        <v>4.15</v>
      </c>
    </row>
    <row r="279" customFormat="false" ht="15" hidden="false" customHeight="false" outlineLevel="0" collapsed="false">
      <c r="A279" s="43" t="s">
        <v>794</v>
      </c>
      <c r="B279" s="43" t="s">
        <v>795</v>
      </c>
      <c r="C279" s="44" t="str">
        <f aca="false">IF(A279="","",IFERROR(INDEX(Assumptions!$B$41:$B$55,MATCH(TRUE(),INDEX(ISNUMBER(SEARCH(" "&amp;Assumptions!$A$41:$A$55&amp;" "," "&amp;SUBSTITUTE(SUBSTITUTE(SUBSTITUTE(SUBSTITUTE(B279,"-"," "),","," "),"/"," "),"."," ")&amp;" ")),0),0)),"Other"))</f>
        <v>Other</v>
      </c>
      <c r="D279" s="45" t="n">
        <f aca="false">IF(A279="","",BG279*(1-Assumptions!$B$18))</f>
        <v>3.57</v>
      </c>
      <c r="E279" s="46" t="n">
        <f aca="false">IF(A279="","",INDEX(Assumptions!$B$23:$B$26,MOD(VALUE(LEFT(A279,5)),4)+1))</f>
        <v>6</v>
      </c>
      <c r="F279" s="47" t="n">
        <v>52</v>
      </c>
      <c r="G279" s="48" t="n">
        <v>0</v>
      </c>
      <c r="H279" s="48" t="n">
        <v>0</v>
      </c>
      <c r="I279" s="48" t="n">
        <v>0</v>
      </c>
      <c r="J279" s="48" t="n">
        <v>0</v>
      </c>
      <c r="K279" s="48" t="n">
        <v>0</v>
      </c>
      <c r="L279" s="48" t="n">
        <v>0</v>
      </c>
      <c r="M279" s="48" t="n">
        <v>0</v>
      </c>
      <c r="N279" s="48" t="n">
        <v>0</v>
      </c>
      <c r="O279" s="48" t="n">
        <v>0</v>
      </c>
      <c r="P279" s="48" t="n">
        <v>0</v>
      </c>
      <c r="Q279" s="48" t="n">
        <v>0</v>
      </c>
      <c r="R279" s="48" t="n">
        <v>0</v>
      </c>
      <c r="S279" s="48" t="n">
        <v>0</v>
      </c>
      <c r="T279" s="48" t="n">
        <v>0</v>
      </c>
      <c r="U279" s="48" t="n">
        <v>0</v>
      </c>
      <c r="V279" s="48" t="n">
        <v>0</v>
      </c>
      <c r="W279" s="48" t="n">
        <v>0</v>
      </c>
      <c r="X279" s="48" t="n">
        <v>0</v>
      </c>
      <c r="Y279" s="48" t="n">
        <v>0</v>
      </c>
      <c r="Z279" s="48" t="n">
        <v>0</v>
      </c>
      <c r="AA279" s="48" t="n">
        <v>0</v>
      </c>
      <c r="AB279" s="48" t="n">
        <v>0</v>
      </c>
      <c r="AC279" s="48" t="n">
        <v>0</v>
      </c>
      <c r="AD279" s="48" t="n">
        <v>0</v>
      </c>
      <c r="AE279" s="48" t="n">
        <v>0</v>
      </c>
      <c r="AF279" s="48" t="n">
        <v>0</v>
      </c>
      <c r="AG279" s="48" t="n">
        <v>0</v>
      </c>
      <c r="AH279" s="48" t="n">
        <v>0</v>
      </c>
      <c r="AI279" s="48" t="n">
        <v>0</v>
      </c>
      <c r="AJ279" s="48" t="n">
        <v>0</v>
      </c>
      <c r="AK279" s="48" t="n">
        <v>0</v>
      </c>
      <c r="AL279" s="48" t="n">
        <v>0</v>
      </c>
      <c r="AM279" s="48" t="n">
        <v>0</v>
      </c>
      <c r="AN279" s="48" t="n">
        <v>0</v>
      </c>
      <c r="AO279" s="48" t="n">
        <v>0</v>
      </c>
      <c r="AP279" s="48" t="n">
        <v>0</v>
      </c>
      <c r="AQ279" s="48" t="n">
        <v>0</v>
      </c>
      <c r="AR279" s="48" t="n">
        <v>0</v>
      </c>
      <c r="AS279" s="48" t="n">
        <v>0</v>
      </c>
      <c r="AT279" s="48" t="n">
        <v>0</v>
      </c>
      <c r="AU279" s="48" t="n">
        <v>0</v>
      </c>
      <c r="AV279" s="48" t="n">
        <v>0</v>
      </c>
      <c r="AW279" s="48" t="n">
        <v>3</v>
      </c>
      <c r="AX279" s="48" t="n">
        <v>493</v>
      </c>
      <c r="AY279" s="48" t="n">
        <v>117</v>
      </c>
      <c r="AZ279" s="48" t="n">
        <v>49</v>
      </c>
      <c r="BA279" s="48" t="n">
        <v>81</v>
      </c>
      <c r="BB279" s="48" t="n">
        <v>182</v>
      </c>
      <c r="BC279" s="48" t="n">
        <v>108</v>
      </c>
      <c r="BD279" s="48" t="n">
        <v>99</v>
      </c>
      <c r="BE279" s="48" t="n">
        <v>117</v>
      </c>
      <c r="BF279" s="48" t="n">
        <v>99</v>
      </c>
      <c r="BG279" s="49" t="n">
        <v>5.95</v>
      </c>
    </row>
    <row r="280" customFormat="false" ht="15" hidden="false" customHeight="false" outlineLevel="0" collapsed="false">
      <c r="A280" s="43" t="s">
        <v>796</v>
      </c>
      <c r="B280" s="43" t="s">
        <v>797</v>
      </c>
      <c r="C280" s="44" t="str">
        <f aca="false">IF(A280="","",IFERROR(INDEX(Assumptions!$B$41:$B$55,MATCH(TRUE(),INDEX(ISNUMBER(SEARCH(" "&amp;Assumptions!$A$41:$A$55&amp;" "," "&amp;SUBSTITUTE(SUBSTITUTE(SUBSTITUTE(SUBSTITUTE(B280,"-"," "),","," "),"/"," "),"."," ")&amp;" ")),0),0)),"Other"))</f>
        <v>Other</v>
      </c>
      <c r="D280" s="45" t="n">
        <f aca="false">IF(A280="","",BG280*(1-Assumptions!$B$18))</f>
        <v>0.87</v>
      </c>
      <c r="E280" s="46" t="n">
        <f aca="false">IF(A280="","",INDEX(Assumptions!$B$23:$B$26,MOD(VALUE(LEFT(A280,5)),4)+1))</f>
        <v>6</v>
      </c>
      <c r="F280" s="47" t="n">
        <v>982</v>
      </c>
      <c r="G280" s="48" t="n">
        <v>126</v>
      </c>
      <c r="H280" s="48" t="n">
        <v>357</v>
      </c>
      <c r="I280" s="48" t="n">
        <v>12</v>
      </c>
      <c r="J280" s="48" t="n">
        <v>0</v>
      </c>
      <c r="K280" s="48" t="n">
        <v>41</v>
      </c>
      <c r="L280" s="48" t="n">
        <v>203</v>
      </c>
      <c r="M280" s="48" t="n">
        <v>59</v>
      </c>
      <c r="N280" s="48" t="n">
        <v>98</v>
      </c>
      <c r="O280" s="48" t="n">
        <v>45</v>
      </c>
      <c r="P280" s="48" t="n">
        <v>114</v>
      </c>
      <c r="Q280" s="48" t="n">
        <v>269</v>
      </c>
      <c r="R280" s="48" t="n">
        <v>326</v>
      </c>
      <c r="S280" s="48" t="n">
        <v>176</v>
      </c>
      <c r="T280" s="48" t="n">
        <v>254</v>
      </c>
      <c r="U280" s="48" t="n">
        <v>71</v>
      </c>
      <c r="V280" s="48" t="n">
        <v>143</v>
      </c>
      <c r="W280" s="48" t="n">
        <v>109</v>
      </c>
      <c r="X280" s="48" t="n">
        <v>97</v>
      </c>
      <c r="Y280" s="48" t="n">
        <v>0</v>
      </c>
      <c r="Z280" s="48" t="n">
        <v>0</v>
      </c>
      <c r="AA280" s="48" t="n">
        <v>0</v>
      </c>
      <c r="AB280" s="48" t="n">
        <v>0</v>
      </c>
      <c r="AC280" s="48" t="n">
        <v>0</v>
      </c>
      <c r="AD280" s="48" t="n">
        <v>1</v>
      </c>
      <c r="AE280" s="48" t="n">
        <v>0</v>
      </c>
      <c r="AF280" s="48" t="n">
        <v>0</v>
      </c>
      <c r="AG280" s="48" t="n">
        <v>66</v>
      </c>
      <c r="AH280" s="48" t="n">
        <v>249</v>
      </c>
      <c r="AI280" s="48" t="n">
        <v>109</v>
      </c>
      <c r="AJ280" s="48" t="n">
        <v>1</v>
      </c>
      <c r="AK280" s="48" t="n">
        <v>102</v>
      </c>
      <c r="AL280" s="48" t="n">
        <v>40</v>
      </c>
      <c r="AM280" s="48" t="n">
        <v>123</v>
      </c>
      <c r="AN280" s="48" t="n">
        <v>195</v>
      </c>
      <c r="AO280" s="48" t="n">
        <v>184</v>
      </c>
      <c r="AP280" s="48" t="n">
        <v>41</v>
      </c>
      <c r="AQ280" s="48" t="n">
        <v>77</v>
      </c>
      <c r="AR280" s="48" t="n">
        <v>90</v>
      </c>
      <c r="AS280" s="48" t="n">
        <v>22</v>
      </c>
      <c r="AT280" s="48" t="n">
        <v>62</v>
      </c>
      <c r="AU280" s="48" t="n">
        <v>291</v>
      </c>
      <c r="AV280" s="48" t="n">
        <v>154</v>
      </c>
      <c r="AW280" s="48" t="n">
        <v>69</v>
      </c>
      <c r="AX280" s="48" t="n">
        <v>77</v>
      </c>
      <c r="AY280" s="48" t="n">
        <v>94</v>
      </c>
      <c r="AZ280" s="48" t="n">
        <v>214</v>
      </c>
      <c r="BA280" s="48" t="n">
        <v>40</v>
      </c>
      <c r="BB280" s="48" t="n">
        <v>55</v>
      </c>
      <c r="BC280" s="48" t="n">
        <v>192</v>
      </c>
      <c r="BD280" s="48" t="n">
        <v>142</v>
      </c>
      <c r="BE280" s="48" t="n">
        <v>308</v>
      </c>
      <c r="BF280" s="48" t="n">
        <v>174</v>
      </c>
      <c r="BG280" s="49" t="n">
        <v>1.45</v>
      </c>
    </row>
    <row r="281" customFormat="false" ht="15" hidden="false" customHeight="false" outlineLevel="0" collapsed="false">
      <c r="A281" s="43" t="s">
        <v>798</v>
      </c>
      <c r="B281" s="43" t="s">
        <v>799</v>
      </c>
      <c r="C281" s="44" t="str">
        <f aca="false">IF(A281="","",IFERROR(INDEX(Assumptions!$B$41:$B$55,MATCH(TRUE(),INDEX(ISNUMBER(SEARCH(" "&amp;Assumptions!$A$41:$A$55&amp;" "," "&amp;SUBSTITUTE(SUBSTITUTE(SUBSTITUTE(SUBSTITUTE(B281,"-"," "),","," "),"/"," "),"."," ")&amp;" ")),0),0)),"Other"))</f>
        <v>Other</v>
      </c>
      <c r="D281" s="45" t="n">
        <f aca="false">IF(A281="","",BG281*(1-Assumptions!$B$18))</f>
        <v>1.95</v>
      </c>
      <c r="E281" s="46" t="n">
        <f aca="false">IF(A281="","",INDEX(Assumptions!$B$23:$B$26,MOD(VALUE(LEFT(A281,5)),4)+1))</f>
        <v>8</v>
      </c>
      <c r="F281" s="47" t="n">
        <v>563</v>
      </c>
      <c r="G281" s="48" t="n">
        <v>55</v>
      </c>
      <c r="H281" s="48" t="n">
        <v>17</v>
      </c>
      <c r="I281" s="48" t="n">
        <v>10</v>
      </c>
      <c r="J281" s="48" t="n">
        <v>0</v>
      </c>
      <c r="K281" s="48" t="n">
        <v>22</v>
      </c>
      <c r="L281" s="48" t="n">
        <v>24</v>
      </c>
      <c r="M281" s="48" t="n">
        <v>26</v>
      </c>
      <c r="N281" s="48" t="n">
        <v>31</v>
      </c>
      <c r="O281" s="48" t="n">
        <v>45</v>
      </c>
      <c r="P281" s="48" t="n">
        <v>22</v>
      </c>
      <c r="Q281" s="48" t="n">
        <v>10</v>
      </c>
      <c r="R281" s="48" t="n">
        <v>222</v>
      </c>
      <c r="S281" s="48" t="n">
        <v>131</v>
      </c>
      <c r="T281" s="48" t="n">
        <v>9</v>
      </c>
      <c r="U281" s="48" t="n">
        <v>34</v>
      </c>
      <c r="V281" s="48" t="n">
        <v>30</v>
      </c>
      <c r="W281" s="48" t="n">
        <v>43</v>
      </c>
      <c r="X281" s="48" t="n">
        <v>132</v>
      </c>
      <c r="Y281" s="48" t="n">
        <v>127</v>
      </c>
      <c r="Z281" s="48" t="n">
        <v>15</v>
      </c>
      <c r="AA281" s="48" t="n">
        <v>13</v>
      </c>
      <c r="AB281" s="48" t="n">
        <v>15</v>
      </c>
      <c r="AC281" s="48" t="n">
        <v>128</v>
      </c>
      <c r="AD281" s="48" t="n">
        <v>131</v>
      </c>
      <c r="AE281" s="48" t="n">
        <v>25</v>
      </c>
      <c r="AF281" s="48" t="n">
        <v>15</v>
      </c>
      <c r="AG281" s="48" t="n">
        <v>18</v>
      </c>
      <c r="AH281" s="48" t="n">
        <v>10</v>
      </c>
      <c r="AI281" s="48" t="n">
        <v>12</v>
      </c>
      <c r="AJ281" s="48" t="n">
        <v>3</v>
      </c>
      <c r="AK281" s="48" t="n">
        <v>14</v>
      </c>
      <c r="AL281" s="48" t="n">
        <v>13</v>
      </c>
      <c r="AM281" s="48" t="n">
        <v>327</v>
      </c>
      <c r="AN281" s="48" t="n">
        <v>2</v>
      </c>
      <c r="AO281" s="48" t="n">
        <v>14</v>
      </c>
      <c r="AP281" s="48" t="n">
        <v>33</v>
      </c>
      <c r="AQ281" s="48" t="n">
        <v>27</v>
      </c>
      <c r="AR281" s="48" t="n">
        <v>30</v>
      </c>
      <c r="AS281" s="48" t="n">
        <v>15</v>
      </c>
      <c r="AT281" s="48" t="n">
        <v>56</v>
      </c>
      <c r="AU281" s="48" t="n">
        <v>22</v>
      </c>
      <c r="AV281" s="48" t="n">
        <v>14</v>
      </c>
      <c r="AW281" s="48" t="n">
        <v>15</v>
      </c>
      <c r="AX281" s="48" t="n">
        <v>105</v>
      </c>
      <c r="AY281" s="48" t="n">
        <v>20</v>
      </c>
      <c r="AZ281" s="48" t="n">
        <v>17</v>
      </c>
      <c r="BA281" s="48" t="n">
        <v>6</v>
      </c>
      <c r="BB281" s="48" t="n">
        <v>13</v>
      </c>
      <c r="BC281" s="48" t="n">
        <v>221</v>
      </c>
      <c r="BD281" s="48" t="n">
        <v>41</v>
      </c>
      <c r="BE281" s="48" t="n">
        <v>29</v>
      </c>
      <c r="BF281" s="48" t="n">
        <v>32</v>
      </c>
      <c r="BG281" s="49" t="n">
        <v>3.25</v>
      </c>
    </row>
    <row r="282" customFormat="false" ht="15" hidden="false" customHeight="false" outlineLevel="0" collapsed="false">
      <c r="A282" s="43" t="s">
        <v>800</v>
      </c>
      <c r="B282" s="43" t="s">
        <v>801</v>
      </c>
      <c r="C282" s="44" t="str">
        <f aca="false">IF(A282="","",IFERROR(INDEX(Assumptions!$B$41:$B$55,MATCH(TRUE(),INDEX(ISNUMBER(SEARCH(" "&amp;Assumptions!$A$41:$A$55&amp;" "," "&amp;SUBSTITUTE(SUBSTITUTE(SUBSTITUTE(SUBSTITUTE(B282,"-"," "),","," "),"/"," "),"."," ")&amp;" ")),0),0)),"Other"))</f>
        <v>Other</v>
      </c>
      <c r="D282" s="45" t="n">
        <f aca="false">IF(A282="","",BG282*(1-Assumptions!$B$18))</f>
        <v>1.17</v>
      </c>
      <c r="E282" s="46" t="n">
        <f aca="false">IF(A282="","",INDEX(Assumptions!$B$23:$B$26,MOD(VALUE(LEFT(A282,5)),4)+1))</f>
        <v>4</v>
      </c>
      <c r="F282" s="47" t="n">
        <v>2962</v>
      </c>
      <c r="G282" s="48" t="n">
        <v>0</v>
      </c>
      <c r="H282" s="48" t="n">
        <v>0</v>
      </c>
      <c r="I282" s="48" t="n">
        <v>0</v>
      </c>
      <c r="J282" s="48" t="n">
        <v>0</v>
      </c>
      <c r="K282" s="48" t="n">
        <v>0</v>
      </c>
      <c r="L282" s="48" t="n">
        <v>0</v>
      </c>
      <c r="M282" s="48" t="n">
        <v>0</v>
      </c>
      <c r="N282" s="48" t="n">
        <v>0</v>
      </c>
      <c r="O282" s="48" t="n">
        <v>0</v>
      </c>
      <c r="P282" s="48" t="n">
        <v>0</v>
      </c>
      <c r="Q282" s="48" t="n">
        <v>0</v>
      </c>
      <c r="R282" s="48" t="n">
        <v>0</v>
      </c>
      <c r="S282" s="48" t="n">
        <v>0</v>
      </c>
      <c r="T282" s="48" t="n">
        <v>0</v>
      </c>
      <c r="U282" s="48" t="n">
        <v>0</v>
      </c>
      <c r="V282" s="48" t="n">
        <v>0</v>
      </c>
      <c r="W282" s="48" t="n">
        <v>0</v>
      </c>
      <c r="X282" s="48" t="n">
        <v>0</v>
      </c>
      <c r="Y282" s="48" t="n">
        <v>0</v>
      </c>
      <c r="Z282" s="48" t="n">
        <v>0</v>
      </c>
      <c r="AA282" s="48" t="n">
        <v>0</v>
      </c>
      <c r="AB282" s="48" t="n">
        <v>0</v>
      </c>
      <c r="AC282" s="48" t="n">
        <v>0</v>
      </c>
      <c r="AD282" s="48" t="n">
        <v>0</v>
      </c>
      <c r="AE282" s="48" t="n">
        <v>0</v>
      </c>
      <c r="AF282" s="48" t="n">
        <v>0</v>
      </c>
      <c r="AG282" s="48" t="n">
        <v>0</v>
      </c>
      <c r="AH282" s="48" t="n">
        <v>0</v>
      </c>
      <c r="AI282" s="48" t="n">
        <v>0</v>
      </c>
      <c r="AJ282" s="48" t="n">
        <v>0</v>
      </c>
      <c r="AK282" s="48" t="n">
        <v>0</v>
      </c>
      <c r="AL282" s="48" t="n">
        <v>0</v>
      </c>
      <c r="AM282" s="48" t="n">
        <v>0</v>
      </c>
      <c r="AN282" s="48" t="n">
        <v>0</v>
      </c>
      <c r="AO282" s="48" t="n">
        <v>0</v>
      </c>
      <c r="AP282" s="48" t="n">
        <v>0</v>
      </c>
      <c r="AQ282" s="48" t="n">
        <v>0</v>
      </c>
      <c r="AR282" s="48" t="n">
        <v>0</v>
      </c>
      <c r="AS282" s="48" t="n">
        <v>0</v>
      </c>
      <c r="AT282" s="48" t="n">
        <v>0</v>
      </c>
      <c r="AU282" s="48" t="n">
        <v>0</v>
      </c>
      <c r="AV282" s="48" t="n">
        <v>69</v>
      </c>
      <c r="AW282" s="48" t="n">
        <v>204</v>
      </c>
      <c r="AX282" s="48" t="n">
        <v>417</v>
      </c>
      <c r="AY282" s="48" t="n">
        <v>250</v>
      </c>
      <c r="AZ282" s="48" t="n">
        <v>283</v>
      </c>
      <c r="BA282" s="48" t="n">
        <v>261</v>
      </c>
      <c r="BB282" s="48" t="n">
        <v>456</v>
      </c>
      <c r="BC282" s="48" t="n">
        <v>424</v>
      </c>
      <c r="BD282" s="48" t="n">
        <v>558</v>
      </c>
      <c r="BE282" s="48" t="n">
        <v>355</v>
      </c>
      <c r="BF282" s="48" t="n">
        <v>480</v>
      </c>
      <c r="BG282" s="49" t="n">
        <v>1.95</v>
      </c>
    </row>
    <row r="283" customFormat="false" ht="15" hidden="false" customHeight="false" outlineLevel="0" collapsed="false">
      <c r="A283" s="43" t="s">
        <v>802</v>
      </c>
      <c r="B283" s="43" t="s">
        <v>803</v>
      </c>
      <c r="C283" s="44" t="str">
        <f aca="false">IF(A283="","",IFERROR(INDEX(Assumptions!$B$41:$B$55,MATCH(TRUE(),INDEX(ISNUMBER(SEARCH(" "&amp;Assumptions!$A$41:$A$55&amp;" "," "&amp;SUBSTITUTE(SUBSTITUTE(SUBSTITUTE(SUBSTITUTE(B283,"-"," "),","," "),"/"," "),"."," ")&amp;" ")),0),0)),"Other"))</f>
        <v>Other</v>
      </c>
      <c r="D283" s="45" t="n">
        <f aca="false">IF(A283="","",BG283*(1-Assumptions!$B$18))</f>
        <v>4.05</v>
      </c>
      <c r="E283" s="46" t="n">
        <f aca="false">IF(A283="","",INDEX(Assumptions!$B$23:$B$26,MOD(VALUE(LEFT(A283,5)),4)+1))</f>
        <v>8</v>
      </c>
      <c r="F283" s="47" t="n">
        <v>220</v>
      </c>
      <c r="G283" s="48" t="n">
        <v>55</v>
      </c>
      <c r="H283" s="48" t="n">
        <v>96</v>
      </c>
      <c r="I283" s="48" t="n">
        <v>13</v>
      </c>
      <c r="J283" s="48" t="n">
        <v>0</v>
      </c>
      <c r="K283" s="48" t="n">
        <v>15</v>
      </c>
      <c r="L283" s="48" t="n">
        <v>28</v>
      </c>
      <c r="M283" s="48" t="n">
        <v>27</v>
      </c>
      <c r="N283" s="48" t="n">
        <v>18</v>
      </c>
      <c r="O283" s="48" t="n">
        <v>37</v>
      </c>
      <c r="P283" s="48" t="n">
        <v>13</v>
      </c>
      <c r="Q283" s="48" t="n">
        <v>20</v>
      </c>
      <c r="R283" s="48" t="n">
        <v>0</v>
      </c>
      <c r="S283" s="48" t="n">
        <v>0</v>
      </c>
      <c r="T283" s="48" t="n">
        <v>0</v>
      </c>
      <c r="U283" s="48" t="n">
        <v>0</v>
      </c>
      <c r="V283" s="48" t="n">
        <v>0</v>
      </c>
      <c r="W283" s="48" t="n">
        <v>0</v>
      </c>
      <c r="X283" s="48" t="n">
        <v>0</v>
      </c>
      <c r="Y283" s="48" t="n">
        <v>0</v>
      </c>
      <c r="Z283" s="48" t="n">
        <v>0</v>
      </c>
      <c r="AA283" s="48" t="n">
        <v>0</v>
      </c>
      <c r="AB283" s="48" t="n">
        <v>0</v>
      </c>
      <c r="AC283" s="48" t="n">
        <v>0</v>
      </c>
      <c r="AD283" s="48" t="n">
        <v>68</v>
      </c>
      <c r="AE283" s="48" t="n">
        <v>28</v>
      </c>
      <c r="AF283" s="48" t="n">
        <v>26</v>
      </c>
      <c r="AG283" s="48" t="n">
        <v>21</v>
      </c>
      <c r="AH283" s="48" t="n">
        <v>7</v>
      </c>
      <c r="AI283" s="48" t="n">
        <v>22</v>
      </c>
      <c r="AJ283" s="48" t="n">
        <v>18</v>
      </c>
      <c r="AK283" s="48" t="n">
        <v>9</v>
      </c>
      <c r="AL283" s="48" t="n">
        <v>13</v>
      </c>
      <c r="AM283" s="48" t="n">
        <v>56</v>
      </c>
      <c r="AN283" s="48" t="n">
        <v>17</v>
      </c>
      <c r="AO283" s="48" t="n">
        <v>30</v>
      </c>
      <c r="AP283" s="48" t="n">
        <v>32</v>
      </c>
      <c r="AQ283" s="48" t="n">
        <v>14</v>
      </c>
      <c r="AR283" s="48" t="n">
        <v>18</v>
      </c>
      <c r="AS283" s="48" t="n">
        <v>24</v>
      </c>
      <c r="AT283" s="48" t="n">
        <v>67</v>
      </c>
      <c r="AU283" s="48" t="n">
        <v>11</v>
      </c>
      <c r="AV283" s="48" t="n">
        <v>38</v>
      </c>
      <c r="AW283" s="48" t="n">
        <v>71</v>
      </c>
      <c r="AX283" s="48" t="n">
        <v>12</v>
      </c>
      <c r="AY283" s="48" t="n">
        <v>12</v>
      </c>
      <c r="AZ283" s="48" t="n">
        <v>25</v>
      </c>
      <c r="BA283" s="48" t="n">
        <v>7</v>
      </c>
      <c r="BB283" s="48" t="n">
        <v>25</v>
      </c>
      <c r="BC283" s="48" t="n">
        <v>41</v>
      </c>
      <c r="BD283" s="48" t="n">
        <v>30</v>
      </c>
      <c r="BE283" s="48" t="n">
        <v>43</v>
      </c>
      <c r="BF283" s="48" t="n">
        <v>38</v>
      </c>
      <c r="BG283" s="49" t="n">
        <v>6.75</v>
      </c>
    </row>
    <row r="284" customFormat="false" ht="15" hidden="false" customHeight="false" outlineLevel="0" collapsed="false">
      <c r="A284" s="43" t="s">
        <v>804</v>
      </c>
      <c r="B284" s="43" t="s">
        <v>805</v>
      </c>
      <c r="C284" s="44" t="str">
        <f aca="false">IF(A284="","",IFERROR(INDEX(Assumptions!$B$41:$B$55,MATCH(TRUE(),INDEX(ISNUMBER(SEARCH(" "&amp;Assumptions!$A$41:$A$55&amp;" "," "&amp;SUBSTITUTE(SUBSTITUTE(SUBSTITUTE(SUBSTITUTE(B284,"-"," "),","," "),"/"," "),"."," ")&amp;" ")),0),0)),"Other"))</f>
        <v>Other</v>
      </c>
      <c r="D284" s="45" t="n">
        <f aca="false">IF(A284="","",BG284*(1-Assumptions!$B$18))</f>
        <v>1.77</v>
      </c>
      <c r="E284" s="46" t="n">
        <f aca="false">IF(A284="","",INDEX(Assumptions!$B$23:$B$26,MOD(VALUE(LEFT(A284,5)),4)+1))</f>
        <v>2</v>
      </c>
      <c r="F284" s="47" t="n">
        <v>238</v>
      </c>
      <c r="G284" s="48" t="n">
        <v>106</v>
      </c>
      <c r="H284" s="48" t="n">
        <v>40</v>
      </c>
      <c r="I284" s="48" t="n">
        <v>28</v>
      </c>
      <c r="J284" s="48" t="n">
        <v>0</v>
      </c>
      <c r="K284" s="48" t="n">
        <v>67</v>
      </c>
      <c r="L284" s="48" t="n">
        <v>34</v>
      </c>
      <c r="M284" s="48" t="n">
        <v>214</v>
      </c>
      <c r="N284" s="48" t="n">
        <v>50</v>
      </c>
      <c r="O284" s="48" t="n">
        <v>68</v>
      </c>
      <c r="P284" s="48" t="n">
        <v>43</v>
      </c>
      <c r="Q284" s="48" t="n">
        <v>85</v>
      </c>
      <c r="R284" s="48" t="n">
        <v>130</v>
      </c>
      <c r="S284" s="48" t="n">
        <v>40</v>
      </c>
      <c r="T284" s="48" t="n">
        <v>40</v>
      </c>
      <c r="U284" s="48" t="n">
        <v>67</v>
      </c>
      <c r="V284" s="48" t="n">
        <v>66</v>
      </c>
      <c r="W284" s="48" t="n">
        <v>39</v>
      </c>
      <c r="X284" s="48" t="n">
        <v>51</v>
      </c>
      <c r="Y284" s="48" t="n">
        <v>30</v>
      </c>
      <c r="Z284" s="48" t="n">
        <v>3</v>
      </c>
      <c r="AA284" s="48" t="n">
        <v>54</v>
      </c>
      <c r="AB284" s="48" t="n">
        <v>144</v>
      </c>
      <c r="AC284" s="48" t="n">
        <v>102</v>
      </c>
      <c r="AD284" s="48" t="n">
        <v>45</v>
      </c>
      <c r="AE284" s="48" t="n">
        <v>27</v>
      </c>
      <c r="AF284" s="48" t="n">
        <v>25</v>
      </c>
      <c r="AG284" s="48" t="n">
        <v>45</v>
      </c>
      <c r="AH284" s="48" t="n">
        <v>37</v>
      </c>
      <c r="AI284" s="48" t="n">
        <v>8</v>
      </c>
      <c r="AJ284" s="48" t="n">
        <v>45</v>
      </c>
      <c r="AK284" s="48" t="n">
        <v>13</v>
      </c>
      <c r="AL284" s="48" t="n">
        <v>19</v>
      </c>
      <c r="AM284" s="48" t="n">
        <v>49</v>
      </c>
      <c r="AN284" s="48" t="n">
        <v>35</v>
      </c>
      <c r="AO284" s="48" t="n">
        <v>12</v>
      </c>
      <c r="AP284" s="48" t="n">
        <v>44</v>
      </c>
      <c r="AQ284" s="48" t="n">
        <v>26</v>
      </c>
      <c r="AR284" s="48" t="n">
        <v>52</v>
      </c>
      <c r="AS284" s="48" t="n">
        <v>45</v>
      </c>
      <c r="AT284" s="48" t="n">
        <v>18</v>
      </c>
      <c r="AU284" s="48" t="n">
        <v>27</v>
      </c>
      <c r="AV284" s="48" t="n">
        <v>38</v>
      </c>
      <c r="AW284" s="48" t="n">
        <v>20</v>
      </c>
      <c r="AX284" s="48" t="n">
        <v>12</v>
      </c>
      <c r="AY284" s="48" t="n">
        <v>48</v>
      </c>
      <c r="AZ284" s="48" t="n">
        <v>85</v>
      </c>
      <c r="BA284" s="48" t="n">
        <v>22</v>
      </c>
      <c r="BB284" s="48" t="n">
        <v>13</v>
      </c>
      <c r="BC284" s="48" t="n">
        <v>22</v>
      </c>
      <c r="BD284" s="48" t="n">
        <v>61</v>
      </c>
      <c r="BE284" s="48" t="n">
        <v>681</v>
      </c>
      <c r="BF284" s="48" t="n">
        <v>16</v>
      </c>
      <c r="BG284" s="49" t="n">
        <v>2.95</v>
      </c>
    </row>
    <row r="285" customFormat="false" ht="15" hidden="false" customHeight="false" outlineLevel="0" collapsed="false">
      <c r="A285" s="43" t="s">
        <v>806</v>
      </c>
      <c r="B285" s="43" t="s">
        <v>807</v>
      </c>
      <c r="C285" s="44" t="str">
        <f aca="false">IF(A285="","",IFERROR(INDEX(Assumptions!$B$41:$B$55,MATCH(TRUE(),INDEX(ISNUMBER(SEARCH(" "&amp;Assumptions!$A$41:$A$55&amp;" "," "&amp;SUBSTITUTE(SUBSTITUTE(SUBSTITUTE(SUBSTITUTE(B285,"-"," "),","," "),"/"," "),"."," ")&amp;" ")),0),0)),"Other"))</f>
        <v>Other</v>
      </c>
      <c r="D285" s="45" t="n">
        <f aca="false">IF(A285="","",BG285*(1-Assumptions!$B$18))</f>
        <v>2.25</v>
      </c>
      <c r="E285" s="46" t="n">
        <f aca="false">IF(A285="","",INDEX(Assumptions!$B$23:$B$26,MOD(VALUE(LEFT(A285,5)),4)+1))</f>
        <v>4</v>
      </c>
      <c r="F285" s="47" t="n">
        <v>35</v>
      </c>
      <c r="G285" s="48" t="n">
        <v>79</v>
      </c>
      <c r="H285" s="48" t="n">
        <v>11</v>
      </c>
      <c r="I285" s="48" t="n">
        <v>3</v>
      </c>
      <c r="J285" s="48" t="n">
        <v>0</v>
      </c>
      <c r="K285" s="48" t="n">
        <v>33</v>
      </c>
      <c r="L285" s="48" t="n">
        <v>2</v>
      </c>
      <c r="M285" s="48" t="n">
        <v>16</v>
      </c>
      <c r="N285" s="48" t="n">
        <v>14</v>
      </c>
      <c r="O285" s="48" t="n">
        <v>18</v>
      </c>
      <c r="P285" s="48" t="n">
        <v>29</v>
      </c>
      <c r="Q285" s="48" t="n">
        <v>22</v>
      </c>
      <c r="R285" s="48" t="n">
        <v>6</v>
      </c>
      <c r="S285" s="48" t="n">
        <v>34</v>
      </c>
      <c r="T285" s="48" t="n">
        <v>34</v>
      </c>
      <c r="U285" s="48" t="n">
        <v>12</v>
      </c>
      <c r="V285" s="48" t="n">
        <v>60</v>
      </c>
      <c r="W285" s="48" t="n">
        <v>23</v>
      </c>
      <c r="X285" s="48" t="n">
        <v>61</v>
      </c>
      <c r="Y285" s="48" t="n">
        <v>26</v>
      </c>
      <c r="Z285" s="48" t="n">
        <v>85</v>
      </c>
      <c r="AA285" s="48" t="n">
        <v>42</v>
      </c>
      <c r="AB285" s="48" t="n">
        <v>51</v>
      </c>
      <c r="AC285" s="48" t="n">
        <v>18</v>
      </c>
      <c r="AD285" s="48" t="n">
        <v>198</v>
      </c>
      <c r="AE285" s="48" t="n">
        <v>34</v>
      </c>
      <c r="AF285" s="48" t="n">
        <v>7</v>
      </c>
      <c r="AG285" s="48" t="n">
        <v>40</v>
      </c>
      <c r="AH285" s="48" t="n">
        <v>59</v>
      </c>
      <c r="AI285" s="48" t="n">
        <v>63</v>
      </c>
      <c r="AJ285" s="48" t="n">
        <v>19</v>
      </c>
      <c r="AK285" s="48" t="n">
        <v>10</v>
      </c>
      <c r="AL285" s="48" t="n">
        <v>44</v>
      </c>
      <c r="AM285" s="48" t="n">
        <v>78</v>
      </c>
      <c r="AN285" s="48" t="n">
        <v>5</v>
      </c>
      <c r="AO285" s="48" t="n">
        <v>18</v>
      </c>
      <c r="AP285" s="48" t="n">
        <v>44</v>
      </c>
      <c r="AQ285" s="48" t="n">
        <v>25</v>
      </c>
      <c r="AR285" s="48" t="n">
        <v>51</v>
      </c>
      <c r="AS285" s="48" t="n">
        <v>72</v>
      </c>
      <c r="AT285" s="48" t="n">
        <v>52</v>
      </c>
      <c r="AU285" s="48" t="n">
        <v>31</v>
      </c>
      <c r="AV285" s="48" t="n">
        <v>24</v>
      </c>
      <c r="AW285" s="48" t="n">
        <v>25</v>
      </c>
      <c r="AX285" s="48" t="n">
        <v>5</v>
      </c>
      <c r="AY285" s="48" t="n">
        <v>42</v>
      </c>
      <c r="AZ285" s="48" t="n">
        <v>23</v>
      </c>
      <c r="BA285" s="48" t="n">
        <v>5</v>
      </c>
      <c r="BB285" s="48" t="n">
        <v>29</v>
      </c>
      <c r="BC285" s="48" t="n">
        <v>51</v>
      </c>
      <c r="BD285" s="48" t="n">
        <v>21</v>
      </c>
      <c r="BE285" s="48" t="n">
        <v>31</v>
      </c>
      <c r="BF285" s="48" t="n">
        <v>23</v>
      </c>
      <c r="BG285" s="49" t="n">
        <v>3.75</v>
      </c>
    </row>
    <row r="286" customFormat="false" ht="15" hidden="false" customHeight="false" outlineLevel="0" collapsed="false">
      <c r="A286" s="43" t="s">
        <v>808</v>
      </c>
      <c r="B286" s="43" t="s">
        <v>809</v>
      </c>
      <c r="C286" s="44" t="str">
        <f aca="false">IF(A286="","",IFERROR(INDEX(Assumptions!$B$41:$B$55,MATCH(TRUE(),INDEX(ISNUMBER(SEARCH(" "&amp;Assumptions!$A$41:$A$55&amp;" "," "&amp;SUBSTITUTE(SUBSTITUTE(SUBSTITUTE(SUBSTITUTE(B286,"-"," "),","," "),"/"," "),"."," ")&amp;" ")),0),0)),"Other"))</f>
        <v>Other</v>
      </c>
      <c r="D286" s="45" t="n">
        <f aca="false">IF(A286="","",BG286*(1-Assumptions!$B$18))</f>
        <v>5.1</v>
      </c>
      <c r="E286" s="46" t="n">
        <f aca="false">IF(A286="","",INDEX(Assumptions!$B$23:$B$26,MOD(VALUE(LEFT(A286,5)),4)+1))</f>
        <v>2</v>
      </c>
      <c r="F286" s="47" t="n">
        <v>177</v>
      </c>
      <c r="G286" s="48" t="n">
        <v>8</v>
      </c>
      <c r="H286" s="48" t="n">
        <v>12</v>
      </c>
      <c r="I286" s="48" t="n">
        <v>0</v>
      </c>
      <c r="J286" s="48" t="n">
        <v>0</v>
      </c>
      <c r="K286" s="48" t="n">
        <v>13</v>
      </c>
      <c r="L286" s="48" t="n">
        <v>4</v>
      </c>
      <c r="M286" s="48" t="n">
        <v>7</v>
      </c>
      <c r="N286" s="48" t="n">
        <v>21</v>
      </c>
      <c r="O286" s="48" t="n">
        <v>4</v>
      </c>
      <c r="P286" s="48" t="n">
        <v>8</v>
      </c>
      <c r="Q286" s="48" t="n">
        <v>24</v>
      </c>
      <c r="R286" s="48" t="n">
        <v>20</v>
      </c>
      <c r="S286" s="48" t="n">
        <v>17</v>
      </c>
      <c r="T286" s="48" t="n">
        <v>16</v>
      </c>
      <c r="U286" s="48" t="n">
        <v>12</v>
      </c>
      <c r="V286" s="48" t="n">
        <v>4</v>
      </c>
      <c r="W286" s="48" t="n">
        <v>15</v>
      </c>
      <c r="X286" s="48" t="n">
        <v>18</v>
      </c>
      <c r="Y286" s="48" t="n">
        <v>21</v>
      </c>
      <c r="Z286" s="48" t="n">
        <v>17</v>
      </c>
      <c r="AA286" s="48" t="n">
        <v>9</v>
      </c>
      <c r="AB286" s="48" t="n">
        <v>15</v>
      </c>
      <c r="AC286" s="48" t="n">
        <v>11</v>
      </c>
      <c r="AD286" s="48" t="n">
        <v>30</v>
      </c>
      <c r="AE286" s="48" t="n">
        <v>16</v>
      </c>
      <c r="AF286" s="48" t="n">
        <v>9</v>
      </c>
      <c r="AG286" s="48" t="n">
        <v>30</v>
      </c>
      <c r="AH286" s="48" t="n">
        <v>11</v>
      </c>
      <c r="AI286" s="48" t="n">
        <v>6</v>
      </c>
      <c r="AJ286" s="48" t="n">
        <v>31</v>
      </c>
      <c r="AK286" s="48" t="n">
        <v>23</v>
      </c>
      <c r="AL286" s="48" t="n">
        <v>50</v>
      </c>
      <c r="AM286" s="48" t="n">
        <v>38</v>
      </c>
      <c r="AN286" s="48" t="n">
        <v>26</v>
      </c>
      <c r="AO286" s="48" t="n">
        <v>26</v>
      </c>
      <c r="AP286" s="48" t="n">
        <v>14</v>
      </c>
      <c r="AQ286" s="48" t="n">
        <v>21</v>
      </c>
      <c r="AR286" s="48" t="n">
        <v>15</v>
      </c>
      <c r="AS286" s="48" t="n">
        <v>16</v>
      </c>
      <c r="AT286" s="48" t="n">
        <v>16</v>
      </c>
      <c r="AU286" s="48" t="n">
        <v>7</v>
      </c>
      <c r="AV286" s="48" t="n">
        <v>72</v>
      </c>
      <c r="AW286" s="48" t="n">
        <v>24</v>
      </c>
      <c r="AX286" s="48" t="n">
        <v>24</v>
      </c>
      <c r="AY286" s="48" t="n">
        <v>6</v>
      </c>
      <c r="AZ286" s="48" t="n">
        <v>28</v>
      </c>
      <c r="BA286" s="48" t="n">
        <v>21</v>
      </c>
      <c r="BB286" s="48" t="n">
        <v>17</v>
      </c>
      <c r="BC286" s="48" t="n">
        <v>17</v>
      </c>
      <c r="BD286" s="48" t="n">
        <v>18</v>
      </c>
      <c r="BE286" s="48" t="n">
        <v>14</v>
      </c>
      <c r="BF286" s="48" t="n">
        <v>17</v>
      </c>
      <c r="BG286" s="49" t="n">
        <v>8.5</v>
      </c>
    </row>
    <row r="287" customFormat="false" ht="15" hidden="false" customHeight="false" outlineLevel="0" collapsed="false">
      <c r="A287" s="43" t="s">
        <v>810</v>
      </c>
      <c r="B287" s="43" t="s">
        <v>811</v>
      </c>
      <c r="C287" s="44" t="str">
        <f aca="false">IF(A287="","",IFERROR(INDEX(Assumptions!$B$41:$B$55,MATCH(TRUE(),INDEX(ISNUMBER(SEARCH(" "&amp;Assumptions!$A$41:$A$55&amp;" "," "&amp;SUBSTITUTE(SUBSTITUTE(SUBSTITUTE(SUBSTITUTE(B287,"-"," "),","," "),"/"," "),"."," ")&amp;" ")),0),0)),"Other"))</f>
        <v>Other</v>
      </c>
      <c r="D287" s="45" t="n">
        <f aca="false">IF(A287="","",BG287*(1-Assumptions!$B$18))</f>
        <v>0.75</v>
      </c>
      <c r="E287" s="46" t="n">
        <f aca="false">IF(A287="","",INDEX(Assumptions!$B$23:$B$26,MOD(VALUE(LEFT(A287,5)),4)+1))</f>
        <v>2</v>
      </c>
      <c r="F287" s="47" t="n">
        <v>434</v>
      </c>
      <c r="G287" s="48" t="n">
        <v>256</v>
      </c>
      <c r="H287" s="48" t="n">
        <v>98</v>
      </c>
      <c r="I287" s="48" t="n">
        <v>15</v>
      </c>
      <c r="J287" s="48" t="n">
        <v>0</v>
      </c>
      <c r="K287" s="48" t="n">
        <v>76</v>
      </c>
      <c r="L287" s="48" t="n">
        <v>78</v>
      </c>
      <c r="M287" s="48" t="n">
        <v>316</v>
      </c>
      <c r="N287" s="48" t="n">
        <v>109</v>
      </c>
      <c r="O287" s="48" t="n">
        <v>80</v>
      </c>
      <c r="P287" s="48" t="n">
        <v>96</v>
      </c>
      <c r="Q287" s="48" t="n">
        <v>87</v>
      </c>
      <c r="R287" s="48" t="n">
        <v>120</v>
      </c>
      <c r="S287" s="48" t="n">
        <v>56</v>
      </c>
      <c r="T287" s="48" t="n">
        <v>96</v>
      </c>
      <c r="U287" s="48" t="n">
        <v>93</v>
      </c>
      <c r="V287" s="48" t="n">
        <v>129</v>
      </c>
      <c r="W287" s="48" t="n">
        <v>232</v>
      </c>
      <c r="X287" s="48" t="n">
        <v>97</v>
      </c>
      <c r="Y287" s="48" t="n">
        <v>94</v>
      </c>
      <c r="Z287" s="48" t="n">
        <v>279</v>
      </c>
      <c r="AA287" s="48" t="n">
        <v>41</v>
      </c>
      <c r="AB287" s="48" t="n">
        <v>104</v>
      </c>
      <c r="AC287" s="48" t="n">
        <v>103</v>
      </c>
      <c r="AD287" s="48" t="n">
        <v>99</v>
      </c>
      <c r="AE287" s="48" t="n">
        <v>84</v>
      </c>
      <c r="AF287" s="48" t="n">
        <v>6</v>
      </c>
      <c r="AG287" s="48" t="n">
        <v>53</v>
      </c>
      <c r="AH287" s="48" t="n">
        <v>78</v>
      </c>
      <c r="AI287" s="48" t="n">
        <v>117</v>
      </c>
      <c r="AJ287" s="48" t="n">
        <v>216</v>
      </c>
      <c r="AK287" s="48" t="n">
        <v>79</v>
      </c>
      <c r="AL287" s="48" t="n">
        <v>98</v>
      </c>
      <c r="AM287" s="48" t="n">
        <v>73</v>
      </c>
      <c r="AN287" s="48" t="n">
        <v>38</v>
      </c>
      <c r="AO287" s="48" t="n">
        <v>77</v>
      </c>
      <c r="AP287" s="48" t="n">
        <v>203</v>
      </c>
      <c r="AQ287" s="48" t="n">
        <v>87</v>
      </c>
      <c r="AR287" s="48" t="n">
        <v>76</v>
      </c>
      <c r="AS287" s="48" t="n">
        <v>56</v>
      </c>
      <c r="AT287" s="48" t="n">
        <v>86</v>
      </c>
      <c r="AU287" s="48" t="n">
        <v>21</v>
      </c>
      <c r="AV287" s="48" t="n">
        <v>76</v>
      </c>
      <c r="AW287" s="48" t="n">
        <v>73</v>
      </c>
      <c r="AX287" s="48" t="n">
        <v>256</v>
      </c>
      <c r="AY287" s="48" t="n">
        <v>87</v>
      </c>
      <c r="AZ287" s="48" t="n">
        <v>311</v>
      </c>
      <c r="BA287" s="48" t="n">
        <v>70</v>
      </c>
      <c r="BB287" s="48" t="n">
        <v>84</v>
      </c>
      <c r="BC287" s="48" t="n">
        <v>106</v>
      </c>
      <c r="BD287" s="48" t="n">
        <v>81</v>
      </c>
      <c r="BE287" s="48" t="n">
        <v>208</v>
      </c>
      <c r="BF287" s="48" t="n">
        <v>86</v>
      </c>
      <c r="BG287" s="49" t="n">
        <v>1.25</v>
      </c>
    </row>
    <row r="288" customFormat="false" ht="15" hidden="false" customHeight="false" outlineLevel="0" collapsed="false">
      <c r="A288" s="43" t="s">
        <v>812</v>
      </c>
      <c r="B288" s="43" t="s">
        <v>813</v>
      </c>
      <c r="C288" s="44" t="str">
        <f aca="false">IF(A288="","",IFERROR(INDEX(Assumptions!$B$41:$B$55,MATCH(TRUE(),INDEX(ISNUMBER(SEARCH(" "&amp;Assumptions!$A$41:$A$55&amp;" "," "&amp;SUBSTITUTE(SUBSTITUTE(SUBSTITUTE(SUBSTITUTE(B288,"-"," "),","," "),"/"," "),"."," ")&amp;" ")),0),0)),"Other"))</f>
        <v>Other</v>
      </c>
      <c r="D288" s="45" t="n">
        <f aca="false">IF(A288="","",BG288*(1-Assumptions!$B$18))</f>
        <v>75</v>
      </c>
      <c r="E288" s="46" t="n">
        <f aca="false">IF(A288="","",INDEX(Assumptions!$B$23:$B$26,MOD(VALUE(LEFT(A288,5)),4)+1))</f>
        <v>8</v>
      </c>
      <c r="F288" s="47" t="n">
        <v>40</v>
      </c>
      <c r="G288" s="48" t="n">
        <v>0</v>
      </c>
      <c r="H288" s="48" t="n">
        <v>11</v>
      </c>
      <c r="I288" s="48" t="n">
        <v>0</v>
      </c>
      <c r="J288" s="48" t="n">
        <v>0</v>
      </c>
      <c r="K288" s="48" t="n">
        <v>0</v>
      </c>
      <c r="L288" s="48" t="n">
        <v>6</v>
      </c>
      <c r="M288" s="48" t="n">
        <v>2</v>
      </c>
      <c r="N288" s="48" t="n">
        <v>6</v>
      </c>
      <c r="O288" s="48" t="n">
        <v>1</v>
      </c>
      <c r="P288" s="48" t="n">
        <v>1</v>
      </c>
      <c r="Q288" s="48" t="n">
        <v>0</v>
      </c>
      <c r="R288" s="48" t="n">
        <v>0</v>
      </c>
      <c r="S288" s="48" t="n">
        <v>2</v>
      </c>
      <c r="T288" s="48" t="n">
        <v>5</v>
      </c>
      <c r="U288" s="48" t="n">
        <v>0</v>
      </c>
      <c r="V288" s="48" t="n">
        <v>0</v>
      </c>
      <c r="W288" s="48" t="n">
        <v>0</v>
      </c>
      <c r="X288" s="48" t="n">
        <v>3</v>
      </c>
      <c r="Y288" s="48" t="n">
        <v>0</v>
      </c>
      <c r="Z288" s="48" t="n">
        <v>0</v>
      </c>
      <c r="AA288" s="48" t="n">
        <v>4</v>
      </c>
      <c r="AB288" s="48" t="n">
        <v>2</v>
      </c>
      <c r="AC288" s="48" t="n">
        <v>0</v>
      </c>
      <c r="AD288" s="48" t="n">
        <v>0</v>
      </c>
      <c r="AE288" s="48" t="n">
        <v>2</v>
      </c>
      <c r="AF288" s="48" t="n">
        <v>1</v>
      </c>
      <c r="AG288" s="48" t="n">
        <v>0</v>
      </c>
      <c r="AH288" s="48" t="n">
        <v>0</v>
      </c>
      <c r="AI288" s="48" t="n">
        <v>4</v>
      </c>
      <c r="AJ288" s="48" t="n">
        <v>2</v>
      </c>
      <c r="AK288" s="48" t="n">
        <v>0</v>
      </c>
      <c r="AL288" s="48" t="n">
        <v>0</v>
      </c>
      <c r="AM288" s="48" t="n">
        <v>0</v>
      </c>
      <c r="AN288" s="48" t="n">
        <v>0</v>
      </c>
      <c r="AO288" s="48" t="n">
        <v>0</v>
      </c>
      <c r="AP288" s="48" t="n">
        <v>0</v>
      </c>
      <c r="AQ288" s="48" t="n">
        <v>0</v>
      </c>
      <c r="AR288" s="48" t="n">
        <v>0</v>
      </c>
      <c r="AS288" s="48" t="n">
        <v>0</v>
      </c>
      <c r="AT288" s="48" t="n">
        <v>1</v>
      </c>
      <c r="AU288" s="48" t="n">
        <v>0</v>
      </c>
      <c r="AV288" s="48" t="n">
        <v>2</v>
      </c>
      <c r="AW288" s="48" t="n">
        <v>0</v>
      </c>
      <c r="AX288" s="48" t="n">
        <v>0</v>
      </c>
      <c r="AY288" s="48" t="n">
        <v>0</v>
      </c>
      <c r="AZ288" s="48" t="n">
        <v>1</v>
      </c>
      <c r="BA288" s="48" t="n">
        <v>2</v>
      </c>
      <c r="BB288" s="48" t="n">
        <v>1</v>
      </c>
      <c r="BC288" s="48" t="n">
        <v>0</v>
      </c>
      <c r="BD288" s="48" t="n">
        <v>0</v>
      </c>
      <c r="BE288" s="48" t="n">
        <v>0</v>
      </c>
      <c r="BF288" s="48" t="n">
        <v>0</v>
      </c>
      <c r="BG288" s="49" t="n">
        <v>125</v>
      </c>
    </row>
    <row r="289" customFormat="false" ht="15" hidden="false" customHeight="false" outlineLevel="0" collapsed="false">
      <c r="A289" s="43" t="s">
        <v>814</v>
      </c>
      <c r="B289" s="43" t="s">
        <v>815</v>
      </c>
      <c r="C289" s="44" t="str">
        <f aca="false">IF(A289="","",IFERROR(INDEX(Assumptions!$B$41:$B$55,MATCH(TRUE(),INDEX(ISNUMBER(SEARCH(" "&amp;Assumptions!$A$41:$A$55&amp;" "," "&amp;SUBSTITUTE(SUBSTITUTE(SUBSTITUTE(SUBSTITUTE(B289,"-"," "),","," "),"/"," "),"."," ")&amp;" ")),0),0)),"Other"))</f>
        <v>Other</v>
      </c>
      <c r="D289" s="45" t="n">
        <f aca="false">IF(A289="","",BG289*(1-Assumptions!$B$18))</f>
        <v>2.97</v>
      </c>
      <c r="E289" s="46" t="n">
        <f aca="false">IF(A289="","",INDEX(Assumptions!$B$23:$B$26,MOD(VALUE(LEFT(A289,5)),4)+1))</f>
        <v>6</v>
      </c>
      <c r="F289" s="47" t="n">
        <v>218</v>
      </c>
      <c r="G289" s="48" t="n">
        <v>0</v>
      </c>
      <c r="H289" s="48" t="n">
        <v>0</v>
      </c>
      <c r="I289" s="48" t="n">
        <v>0</v>
      </c>
      <c r="J289" s="48" t="n">
        <v>0</v>
      </c>
      <c r="K289" s="48" t="n">
        <v>0</v>
      </c>
      <c r="L289" s="48" t="n">
        <v>0</v>
      </c>
      <c r="M289" s="48" t="n">
        <v>0</v>
      </c>
      <c r="N289" s="48" t="n">
        <v>0</v>
      </c>
      <c r="O289" s="48" t="n">
        <v>0</v>
      </c>
      <c r="P289" s="48" t="n">
        <v>0</v>
      </c>
      <c r="Q289" s="48" t="n">
        <v>0</v>
      </c>
      <c r="R289" s="48" t="n">
        <v>0</v>
      </c>
      <c r="S289" s="48" t="n">
        <v>0</v>
      </c>
      <c r="T289" s="48" t="n">
        <v>0</v>
      </c>
      <c r="U289" s="48" t="n">
        <v>0</v>
      </c>
      <c r="V289" s="48" t="n">
        <v>22</v>
      </c>
      <c r="W289" s="48" t="n">
        <v>16</v>
      </c>
      <c r="X289" s="48" t="n">
        <v>18</v>
      </c>
      <c r="Y289" s="48" t="n">
        <v>26</v>
      </c>
      <c r="Z289" s="48" t="n">
        <v>33</v>
      </c>
      <c r="AA289" s="48" t="n">
        <v>6</v>
      </c>
      <c r="AB289" s="48" t="n">
        <v>32</v>
      </c>
      <c r="AC289" s="48" t="n">
        <v>11</v>
      </c>
      <c r="AD289" s="48" t="n">
        <v>69</v>
      </c>
      <c r="AE289" s="48" t="n">
        <v>442</v>
      </c>
      <c r="AF289" s="48" t="n">
        <v>26</v>
      </c>
      <c r="AG289" s="48" t="n">
        <v>62</v>
      </c>
      <c r="AH289" s="48" t="n">
        <v>32</v>
      </c>
      <c r="AI289" s="48" t="n">
        <v>12</v>
      </c>
      <c r="AJ289" s="48" t="n">
        <v>47</v>
      </c>
      <c r="AK289" s="48" t="n">
        <v>21</v>
      </c>
      <c r="AL289" s="48" t="n">
        <v>34</v>
      </c>
      <c r="AM289" s="48" t="n">
        <v>10</v>
      </c>
      <c r="AN289" s="48" t="n">
        <v>21</v>
      </c>
      <c r="AO289" s="48" t="n">
        <v>33</v>
      </c>
      <c r="AP289" s="48" t="n">
        <v>18</v>
      </c>
      <c r="AQ289" s="48" t="n">
        <v>32</v>
      </c>
      <c r="AR289" s="48" t="n">
        <v>17</v>
      </c>
      <c r="AS289" s="48" t="n">
        <v>9</v>
      </c>
      <c r="AT289" s="48" t="n">
        <v>53</v>
      </c>
      <c r="AU289" s="48" t="n">
        <v>56</v>
      </c>
      <c r="AV289" s="48" t="n">
        <v>59</v>
      </c>
      <c r="AW289" s="48" t="n">
        <v>48</v>
      </c>
      <c r="AX289" s="48" t="n">
        <v>41</v>
      </c>
      <c r="AY289" s="48" t="n">
        <v>22</v>
      </c>
      <c r="AZ289" s="48" t="n">
        <v>42</v>
      </c>
      <c r="BA289" s="48" t="n">
        <v>30</v>
      </c>
      <c r="BB289" s="48" t="n">
        <v>14</v>
      </c>
      <c r="BC289" s="48" t="n">
        <v>46</v>
      </c>
      <c r="BD289" s="48" t="n">
        <v>61</v>
      </c>
      <c r="BE289" s="48" t="n">
        <v>20</v>
      </c>
      <c r="BF289" s="48" t="n">
        <v>76</v>
      </c>
      <c r="BG289" s="49" t="n">
        <v>4.95</v>
      </c>
    </row>
    <row r="290" customFormat="false" ht="15" hidden="false" customHeight="false" outlineLevel="0" collapsed="false">
      <c r="A290" s="43" t="s">
        <v>816</v>
      </c>
      <c r="B290" s="43" t="s">
        <v>817</v>
      </c>
      <c r="C290" s="44" t="str">
        <f aca="false">IF(A290="","",IFERROR(INDEX(Assumptions!$B$41:$B$55,MATCH(TRUE(),INDEX(ISNUMBER(SEARCH(" "&amp;Assumptions!$A$41:$A$55&amp;" "," "&amp;SUBSTITUTE(SUBSTITUTE(SUBSTITUTE(SUBSTITUTE(B290,"-"," "),","," "),"/"," "),"."," ")&amp;" ")),0),0)),"Other"))</f>
        <v>Lighting</v>
      </c>
      <c r="D290" s="45" t="n">
        <f aca="false">IF(A290="","",BG290*(1-Assumptions!$B$18))</f>
        <v>0.51</v>
      </c>
      <c r="E290" s="46" t="n">
        <f aca="false">IF(A290="","",INDEX(Assumptions!$B$23:$B$26,MOD(VALUE(LEFT(A290,5)),4)+1))</f>
        <v>6</v>
      </c>
      <c r="F290" s="47" t="n">
        <v>1184</v>
      </c>
      <c r="G290" s="48" t="n">
        <v>141</v>
      </c>
      <c r="H290" s="48" t="n">
        <v>213</v>
      </c>
      <c r="I290" s="48" t="n">
        <v>62</v>
      </c>
      <c r="J290" s="48" t="n">
        <v>0</v>
      </c>
      <c r="K290" s="48" t="n">
        <v>99</v>
      </c>
      <c r="L290" s="48" t="n">
        <v>111</v>
      </c>
      <c r="M290" s="48" t="n">
        <v>363</v>
      </c>
      <c r="N290" s="48" t="n">
        <v>105</v>
      </c>
      <c r="O290" s="48" t="n">
        <v>179</v>
      </c>
      <c r="P290" s="48" t="n">
        <v>75</v>
      </c>
      <c r="Q290" s="48" t="n">
        <v>145</v>
      </c>
      <c r="R290" s="48" t="n">
        <v>140</v>
      </c>
      <c r="S290" s="48" t="n">
        <v>171</v>
      </c>
      <c r="T290" s="48" t="n">
        <v>431</v>
      </c>
      <c r="U290" s="48" t="n">
        <v>249</v>
      </c>
      <c r="V290" s="48" t="n">
        <v>274</v>
      </c>
      <c r="W290" s="48" t="n">
        <v>111</v>
      </c>
      <c r="X290" s="48" t="n">
        <v>201</v>
      </c>
      <c r="Y290" s="48" t="n">
        <v>372</v>
      </c>
      <c r="Z290" s="48" t="n">
        <v>367</v>
      </c>
      <c r="AA290" s="48" t="n">
        <v>220</v>
      </c>
      <c r="AB290" s="48" t="n">
        <v>228</v>
      </c>
      <c r="AC290" s="48" t="n">
        <v>332</v>
      </c>
      <c r="AD290" s="48" t="n">
        <v>339</v>
      </c>
      <c r="AE290" s="48" t="n">
        <v>263</v>
      </c>
      <c r="AF290" s="48" t="n">
        <v>128</v>
      </c>
      <c r="AG290" s="48" t="n">
        <v>324</v>
      </c>
      <c r="AH290" s="48" t="n">
        <v>66</v>
      </c>
      <c r="AI290" s="48" t="n">
        <v>205</v>
      </c>
      <c r="AJ290" s="48" t="n">
        <v>218</v>
      </c>
      <c r="AK290" s="48" t="n">
        <v>61</v>
      </c>
      <c r="AL290" s="48" t="n">
        <v>105</v>
      </c>
      <c r="AM290" s="48" t="n">
        <v>234</v>
      </c>
      <c r="AN290" s="48" t="n">
        <v>119</v>
      </c>
      <c r="AO290" s="48" t="n">
        <v>92</v>
      </c>
      <c r="AP290" s="48" t="n">
        <v>63</v>
      </c>
      <c r="AQ290" s="48" t="n">
        <v>76</v>
      </c>
      <c r="AR290" s="48" t="n">
        <v>99</v>
      </c>
      <c r="AS290" s="48" t="n">
        <v>119</v>
      </c>
      <c r="AT290" s="48" t="n">
        <v>97</v>
      </c>
      <c r="AU290" s="48" t="n">
        <v>85</v>
      </c>
      <c r="AV290" s="48" t="n">
        <v>125</v>
      </c>
      <c r="AW290" s="48" t="n">
        <v>202</v>
      </c>
      <c r="AX290" s="48" t="n">
        <v>52</v>
      </c>
      <c r="AY290" s="48" t="n">
        <v>278</v>
      </c>
      <c r="AZ290" s="48" t="n">
        <v>66</v>
      </c>
      <c r="BA290" s="48" t="n">
        <v>76</v>
      </c>
      <c r="BB290" s="48" t="n">
        <v>93</v>
      </c>
      <c r="BC290" s="48" t="n">
        <v>54</v>
      </c>
      <c r="BD290" s="48" t="n">
        <v>84</v>
      </c>
      <c r="BE290" s="48" t="n">
        <v>203</v>
      </c>
      <c r="BF290" s="48" t="n">
        <v>277</v>
      </c>
      <c r="BG290" s="49" t="n">
        <v>0.85</v>
      </c>
    </row>
    <row r="291" customFormat="false" ht="15" hidden="false" customHeight="false" outlineLevel="0" collapsed="false">
      <c r="A291" s="43" t="s">
        <v>818</v>
      </c>
      <c r="B291" s="43" t="s">
        <v>819</v>
      </c>
      <c r="C291" s="44" t="str">
        <f aca="false">IF(A291="","",IFERROR(INDEX(Assumptions!$B$41:$B$55,MATCH(TRUE(),INDEX(ISNUMBER(SEARCH(" "&amp;Assumptions!$A$41:$A$55&amp;" "," "&amp;SUBSTITUTE(SUBSTITUTE(SUBSTITUTE(SUBSTITUTE(B291,"-"," "),","," "),"/"," "),"."," ")&amp;" ")),0),0)),"Other"))</f>
        <v>Other</v>
      </c>
      <c r="D291" s="45" t="n">
        <f aca="false">IF(A291="","",BG291*(1-Assumptions!$B$18))</f>
        <v>0.87</v>
      </c>
      <c r="E291" s="46" t="n">
        <f aca="false">IF(A291="","",INDEX(Assumptions!$B$23:$B$26,MOD(VALUE(LEFT(A291,5)),4)+1))</f>
        <v>4</v>
      </c>
      <c r="F291" s="47" t="n">
        <v>1306</v>
      </c>
      <c r="G291" s="48" t="n">
        <v>171</v>
      </c>
      <c r="H291" s="48" t="n">
        <v>71</v>
      </c>
      <c r="I291" s="48" t="n">
        <v>35</v>
      </c>
      <c r="J291" s="48" t="n">
        <v>0</v>
      </c>
      <c r="K291" s="48" t="n">
        <v>9</v>
      </c>
      <c r="L291" s="48" t="n">
        <v>684</v>
      </c>
      <c r="M291" s="48" t="n">
        <v>42</v>
      </c>
      <c r="N291" s="48" t="n">
        <v>241</v>
      </c>
      <c r="O291" s="48" t="n">
        <v>21</v>
      </c>
      <c r="P291" s="48" t="n">
        <v>36</v>
      </c>
      <c r="Q291" s="48" t="n">
        <v>43</v>
      </c>
      <c r="R291" s="48" t="n">
        <v>90</v>
      </c>
      <c r="S291" s="48" t="n">
        <v>27</v>
      </c>
      <c r="T291" s="48" t="n">
        <v>30</v>
      </c>
      <c r="U291" s="48" t="n">
        <v>39</v>
      </c>
      <c r="V291" s="48" t="n">
        <v>66</v>
      </c>
      <c r="W291" s="48" t="n">
        <v>46</v>
      </c>
      <c r="X291" s="48" t="n">
        <v>180</v>
      </c>
      <c r="Y291" s="48" t="n">
        <v>58</v>
      </c>
      <c r="Z291" s="48" t="n">
        <v>87</v>
      </c>
      <c r="AA291" s="48" t="n">
        <v>90</v>
      </c>
      <c r="AB291" s="48" t="n">
        <v>108</v>
      </c>
      <c r="AC291" s="48" t="n">
        <v>63</v>
      </c>
      <c r="AD291" s="48" t="n">
        <v>27</v>
      </c>
      <c r="AE291" s="48" t="n">
        <v>81</v>
      </c>
      <c r="AF291" s="48" t="n">
        <v>36</v>
      </c>
      <c r="AG291" s="48" t="n">
        <v>31</v>
      </c>
      <c r="AH291" s="48" t="n">
        <v>45</v>
      </c>
      <c r="AI291" s="48" t="n">
        <v>36</v>
      </c>
      <c r="AJ291" s="48" t="n">
        <v>0</v>
      </c>
      <c r="AK291" s="48" t="n">
        <v>483</v>
      </c>
      <c r="AL291" s="48" t="n">
        <v>144</v>
      </c>
      <c r="AM291" s="48" t="n">
        <v>59</v>
      </c>
      <c r="AN291" s="48" t="n">
        <v>27</v>
      </c>
      <c r="AO291" s="48" t="n">
        <v>117</v>
      </c>
      <c r="AP291" s="48" t="n">
        <v>9</v>
      </c>
      <c r="AQ291" s="48" t="n">
        <v>63</v>
      </c>
      <c r="AR291" s="48" t="n">
        <v>27</v>
      </c>
      <c r="AS291" s="48" t="n">
        <v>82</v>
      </c>
      <c r="AT291" s="48" t="n">
        <v>90</v>
      </c>
      <c r="AU291" s="48" t="n">
        <v>283</v>
      </c>
      <c r="AV291" s="48" t="n">
        <v>48</v>
      </c>
      <c r="AW291" s="48" t="n">
        <v>129</v>
      </c>
      <c r="AX291" s="48" t="n">
        <v>126</v>
      </c>
      <c r="AY291" s="48" t="n">
        <v>180</v>
      </c>
      <c r="AZ291" s="48" t="n">
        <v>285</v>
      </c>
      <c r="BA291" s="48" t="n">
        <v>54</v>
      </c>
      <c r="BB291" s="48" t="n">
        <v>105</v>
      </c>
      <c r="BC291" s="48" t="n">
        <v>111</v>
      </c>
      <c r="BD291" s="48" t="n">
        <v>233</v>
      </c>
      <c r="BE291" s="48" t="n">
        <v>276</v>
      </c>
      <c r="BF291" s="48" t="n">
        <v>237</v>
      </c>
      <c r="BG291" s="49" t="n">
        <v>1.45</v>
      </c>
    </row>
    <row r="292" customFormat="false" ht="15" hidden="false" customHeight="false" outlineLevel="0" collapsed="false">
      <c r="A292" s="43" t="s">
        <v>820</v>
      </c>
      <c r="B292" s="43" t="s">
        <v>821</v>
      </c>
      <c r="C292" s="44" t="str">
        <f aca="false">IF(A292="","",IFERROR(INDEX(Assumptions!$B$41:$B$55,MATCH(TRUE(),INDEX(ISNUMBER(SEARCH(" "&amp;Assumptions!$A$41:$A$55&amp;" "," "&amp;SUBSTITUTE(SUBSTITUTE(SUBSTITUTE(SUBSTITUTE(B292,"-"," "),","," "),"/"," "),"."," ")&amp;" ")),0),0)),"Other"))</f>
        <v>Other</v>
      </c>
      <c r="D292" s="45" t="n">
        <f aca="false">IF(A292="","",BG292*(1-Assumptions!$B$18))</f>
        <v>2.25</v>
      </c>
      <c r="E292" s="46" t="n">
        <f aca="false">IF(A292="","",INDEX(Assumptions!$B$23:$B$26,MOD(VALUE(LEFT(A292,5)),4)+1))</f>
        <v>4</v>
      </c>
      <c r="F292" s="47" t="n">
        <v>1898</v>
      </c>
      <c r="G292" s="48" t="n">
        <v>56</v>
      </c>
      <c r="H292" s="48" t="n">
        <v>16</v>
      </c>
      <c r="I292" s="48" t="n">
        <v>20</v>
      </c>
      <c r="J292" s="48" t="n">
        <v>0</v>
      </c>
      <c r="K292" s="48" t="n">
        <v>31</v>
      </c>
      <c r="L292" s="48" t="n">
        <v>21</v>
      </c>
      <c r="M292" s="48" t="n">
        <v>19</v>
      </c>
      <c r="N292" s="48" t="n">
        <v>19</v>
      </c>
      <c r="O292" s="48" t="n">
        <v>66</v>
      </c>
      <c r="P292" s="48" t="n">
        <v>15</v>
      </c>
      <c r="Q292" s="48" t="n">
        <v>71</v>
      </c>
      <c r="R292" s="48" t="n">
        <v>10</v>
      </c>
      <c r="S292" s="48" t="n">
        <v>15</v>
      </c>
      <c r="T292" s="48" t="n">
        <v>17</v>
      </c>
      <c r="U292" s="48" t="n">
        <v>25</v>
      </c>
      <c r="V292" s="48" t="n">
        <v>30</v>
      </c>
      <c r="W292" s="48" t="n">
        <v>19</v>
      </c>
      <c r="X292" s="48" t="n">
        <v>38</v>
      </c>
      <c r="Y292" s="48" t="n">
        <v>32</v>
      </c>
      <c r="Z292" s="48" t="n">
        <v>3</v>
      </c>
      <c r="AA292" s="48" t="n">
        <v>43</v>
      </c>
      <c r="AB292" s="48" t="n">
        <v>10</v>
      </c>
      <c r="AC292" s="48" t="n">
        <v>17</v>
      </c>
      <c r="AD292" s="48" t="n">
        <v>13</v>
      </c>
      <c r="AE292" s="48" t="n">
        <v>25</v>
      </c>
      <c r="AF292" s="48" t="n">
        <v>45</v>
      </c>
      <c r="AG292" s="48" t="n">
        <v>13</v>
      </c>
      <c r="AH292" s="48" t="n">
        <v>62</v>
      </c>
      <c r="AI292" s="48" t="n">
        <v>19</v>
      </c>
      <c r="AJ292" s="48" t="n">
        <v>16</v>
      </c>
      <c r="AK292" s="48" t="n">
        <v>15</v>
      </c>
      <c r="AL292" s="48" t="n">
        <v>25</v>
      </c>
      <c r="AM292" s="48" t="n">
        <v>18</v>
      </c>
      <c r="AN292" s="48" t="n">
        <v>67</v>
      </c>
      <c r="AO292" s="48" t="n">
        <v>35</v>
      </c>
      <c r="AP292" s="48" t="n">
        <v>33</v>
      </c>
      <c r="AQ292" s="48" t="n">
        <v>5</v>
      </c>
      <c r="AR292" s="48" t="n">
        <v>32</v>
      </c>
      <c r="AS292" s="48" t="n">
        <v>26</v>
      </c>
      <c r="AT292" s="48" t="n">
        <v>60</v>
      </c>
      <c r="AU292" s="48" t="n">
        <v>32</v>
      </c>
      <c r="AV292" s="48" t="n">
        <v>25</v>
      </c>
      <c r="AW292" s="48" t="n">
        <v>54</v>
      </c>
      <c r="AX292" s="48" t="n">
        <v>199</v>
      </c>
      <c r="AY292" s="48" t="n">
        <v>54</v>
      </c>
      <c r="AZ292" s="48" t="n">
        <v>29</v>
      </c>
      <c r="BA292" s="48" t="n">
        <v>81</v>
      </c>
      <c r="BB292" s="48" t="n">
        <v>76</v>
      </c>
      <c r="BC292" s="48" t="n">
        <v>68</v>
      </c>
      <c r="BD292" s="48" t="n">
        <v>35</v>
      </c>
      <c r="BE292" s="48" t="n">
        <v>57</v>
      </c>
      <c r="BF292" s="48" t="n">
        <v>86</v>
      </c>
      <c r="BG292" s="49" t="n">
        <v>3.75</v>
      </c>
    </row>
    <row r="293" customFormat="false" ht="15" hidden="false" customHeight="false" outlineLevel="0" collapsed="false">
      <c r="A293" s="43" t="s">
        <v>822</v>
      </c>
      <c r="B293" s="43" t="s">
        <v>823</v>
      </c>
      <c r="C293" s="44" t="str">
        <f aca="false">IF(A293="","",IFERROR(INDEX(Assumptions!$B$41:$B$55,MATCH(TRUE(),INDEX(ISNUMBER(SEARCH(" "&amp;Assumptions!$A$41:$A$55&amp;" "," "&amp;SUBSTITUTE(SUBSTITUTE(SUBSTITUTE(SUBSTITUTE(B293,"-"," "),","," "),"/"," "),"."," ")&amp;" ")),0),0)),"Other"))</f>
        <v>Other</v>
      </c>
      <c r="D293" s="45" t="n">
        <f aca="false">IF(A293="","",BG293*(1-Assumptions!$B$18))</f>
        <v>1.014</v>
      </c>
      <c r="E293" s="46" t="n">
        <f aca="false">IF(A293="","",INDEX(Assumptions!$B$23:$B$26,MOD(VALUE(LEFT(A293,5)),4)+1))</f>
        <v>2</v>
      </c>
      <c r="F293" s="47" t="n">
        <v>2868</v>
      </c>
      <c r="G293" s="48" t="n">
        <v>111</v>
      </c>
      <c r="H293" s="48" t="n">
        <v>64</v>
      </c>
      <c r="I293" s="48" t="n">
        <v>24</v>
      </c>
      <c r="J293" s="48" t="n">
        <v>0</v>
      </c>
      <c r="K293" s="48" t="n">
        <v>20</v>
      </c>
      <c r="L293" s="48" t="n">
        <v>36</v>
      </c>
      <c r="M293" s="48" t="n">
        <v>48</v>
      </c>
      <c r="N293" s="48" t="n">
        <v>48</v>
      </c>
      <c r="O293" s="48" t="n">
        <v>56</v>
      </c>
      <c r="P293" s="48" t="n">
        <v>24</v>
      </c>
      <c r="Q293" s="48" t="n">
        <v>191</v>
      </c>
      <c r="R293" s="48" t="n">
        <v>28</v>
      </c>
      <c r="S293" s="48" t="n">
        <v>64</v>
      </c>
      <c r="T293" s="48" t="n">
        <v>28</v>
      </c>
      <c r="U293" s="48" t="n">
        <v>224</v>
      </c>
      <c r="V293" s="48" t="n">
        <v>80</v>
      </c>
      <c r="W293" s="48" t="n">
        <v>56</v>
      </c>
      <c r="X293" s="48" t="n">
        <v>46</v>
      </c>
      <c r="Y293" s="48" t="n">
        <v>211</v>
      </c>
      <c r="Z293" s="48" t="n">
        <v>92</v>
      </c>
      <c r="AA293" s="48" t="n">
        <v>48</v>
      </c>
      <c r="AB293" s="48" t="n">
        <v>137</v>
      </c>
      <c r="AC293" s="48" t="n">
        <v>56</v>
      </c>
      <c r="AD293" s="48" t="n">
        <v>60</v>
      </c>
      <c r="AE293" s="48" t="n">
        <v>207</v>
      </c>
      <c r="AF293" s="48" t="n">
        <v>60</v>
      </c>
      <c r="AG293" s="48" t="n">
        <v>59</v>
      </c>
      <c r="AH293" s="48" t="n">
        <v>68</v>
      </c>
      <c r="AI293" s="48" t="n">
        <v>80</v>
      </c>
      <c r="AJ293" s="48" t="n">
        <v>70</v>
      </c>
      <c r="AK293" s="48" t="n">
        <v>105</v>
      </c>
      <c r="AL293" s="48" t="n">
        <v>153</v>
      </c>
      <c r="AM293" s="48" t="n">
        <v>88</v>
      </c>
      <c r="AN293" s="48" t="n">
        <v>96</v>
      </c>
      <c r="AO293" s="48" t="n">
        <v>72</v>
      </c>
      <c r="AP293" s="48" t="n">
        <v>11</v>
      </c>
      <c r="AQ293" s="48" t="n">
        <v>56</v>
      </c>
      <c r="AR293" s="48" t="n">
        <v>44</v>
      </c>
      <c r="AS293" s="48" t="n">
        <v>40</v>
      </c>
      <c r="AT293" s="48" t="n">
        <v>128</v>
      </c>
      <c r="AU293" s="48" t="n">
        <v>80</v>
      </c>
      <c r="AV293" s="48" t="n">
        <v>136</v>
      </c>
      <c r="AW293" s="48" t="n">
        <v>162</v>
      </c>
      <c r="AX293" s="48" t="n">
        <v>91</v>
      </c>
      <c r="AY293" s="48" t="n">
        <v>84</v>
      </c>
      <c r="AZ293" s="48" t="n">
        <v>263</v>
      </c>
      <c r="BA293" s="48" t="n">
        <v>120</v>
      </c>
      <c r="BB293" s="48" t="n">
        <v>140</v>
      </c>
      <c r="BC293" s="48" t="n">
        <v>137</v>
      </c>
      <c r="BD293" s="48" t="n">
        <v>138</v>
      </c>
      <c r="BE293" s="48" t="n">
        <v>94</v>
      </c>
      <c r="BF293" s="48" t="n">
        <v>126</v>
      </c>
      <c r="BG293" s="49" t="n">
        <v>1.69</v>
      </c>
    </row>
    <row r="294" customFormat="false" ht="15" hidden="false" customHeight="false" outlineLevel="0" collapsed="false">
      <c r="A294" s="43" t="s">
        <v>824</v>
      </c>
      <c r="B294" s="43" t="s">
        <v>825</v>
      </c>
      <c r="C294" s="44" t="str">
        <f aca="false">IF(A294="","",IFERROR(INDEX(Assumptions!$B$41:$B$55,MATCH(TRUE(),INDEX(ISNUMBER(SEARCH(" "&amp;Assumptions!$A$41:$A$55&amp;" "," "&amp;SUBSTITUTE(SUBSTITUTE(SUBSTITUTE(SUBSTITUTE(B294,"-"," "),","," "),"/"," "),"."," ")&amp;" ")),0),0)),"Other"))</f>
        <v>Other</v>
      </c>
      <c r="D294" s="45" t="n">
        <f aca="false">IF(A294="","",BG294*(1-Assumptions!$B$18))</f>
        <v>5.97</v>
      </c>
      <c r="E294" s="46" t="n">
        <f aca="false">IF(A294="","",INDEX(Assumptions!$B$23:$B$26,MOD(VALUE(LEFT(A294,5)),4)+1))</f>
        <v>8</v>
      </c>
      <c r="F294" s="47" t="n">
        <v>206</v>
      </c>
      <c r="G294" s="48" t="n">
        <v>12</v>
      </c>
      <c r="H294" s="48" t="n">
        <v>4</v>
      </c>
      <c r="I294" s="48" t="n">
        <v>0</v>
      </c>
      <c r="J294" s="48" t="n">
        <v>0</v>
      </c>
      <c r="K294" s="48" t="n">
        <v>6</v>
      </c>
      <c r="L294" s="48" t="n">
        <v>21</v>
      </c>
      <c r="M294" s="48" t="n">
        <v>5</v>
      </c>
      <c r="N294" s="48" t="n">
        <v>7</v>
      </c>
      <c r="O294" s="48" t="n">
        <v>21</v>
      </c>
      <c r="P294" s="48" t="n">
        <v>8</v>
      </c>
      <c r="Q294" s="48" t="n">
        <v>10</v>
      </c>
      <c r="R294" s="48" t="n">
        <v>26</v>
      </c>
      <c r="S294" s="48" t="n">
        <v>13</v>
      </c>
      <c r="T294" s="48" t="n">
        <v>14</v>
      </c>
      <c r="U294" s="48" t="n">
        <v>45</v>
      </c>
      <c r="V294" s="48" t="n">
        <v>39</v>
      </c>
      <c r="W294" s="48" t="n">
        <v>32</v>
      </c>
      <c r="X294" s="48" t="n">
        <v>9</v>
      </c>
      <c r="Y294" s="48" t="n">
        <v>15</v>
      </c>
      <c r="Z294" s="48" t="n">
        <v>11</v>
      </c>
      <c r="AA294" s="48" t="n">
        <v>14</v>
      </c>
      <c r="AB294" s="48" t="n">
        <v>14</v>
      </c>
      <c r="AC294" s="48" t="n">
        <v>28</v>
      </c>
      <c r="AD294" s="48" t="n">
        <v>14</v>
      </c>
      <c r="AE294" s="48" t="n">
        <v>34</v>
      </c>
      <c r="AF294" s="48" t="n">
        <v>21</v>
      </c>
      <c r="AG294" s="48" t="n">
        <v>23</v>
      </c>
      <c r="AH294" s="48" t="n">
        <v>5</v>
      </c>
      <c r="AI294" s="48" t="n">
        <v>12</v>
      </c>
      <c r="AJ294" s="48" t="n">
        <v>18</v>
      </c>
      <c r="AK294" s="48" t="n">
        <v>11</v>
      </c>
      <c r="AL294" s="48" t="n">
        <v>14</v>
      </c>
      <c r="AM294" s="48" t="n">
        <v>7</v>
      </c>
      <c r="AN294" s="48" t="n">
        <v>13</v>
      </c>
      <c r="AO294" s="48" t="n">
        <v>17</v>
      </c>
      <c r="AP294" s="48" t="n">
        <v>15</v>
      </c>
      <c r="AQ294" s="48" t="n">
        <v>13</v>
      </c>
      <c r="AR294" s="48" t="n">
        <v>5</v>
      </c>
      <c r="AS294" s="48" t="n">
        <v>9</v>
      </c>
      <c r="AT294" s="48" t="n">
        <v>9</v>
      </c>
      <c r="AU294" s="48" t="n">
        <v>3</v>
      </c>
      <c r="AV294" s="48" t="n">
        <v>16</v>
      </c>
      <c r="AW294" s="48" t="n">
        <v>24</v>
      </c>
      <c r="AX294" s="48" t="n">
        <v>16</v>
      </c>
      <c r="AY294" s="48" t="n">
        <v>12</v>
      </c>
      <c r="AZ294" s="48" t="n">
        <v>17</v>
      </c>
      <c r="BA294" s="48" t="n">
        <v>17</v>
      </c>
      <c r="BB294" s="48" t="n">
        <v>13</v>
      </c>
      <c r="BC294" s="48" t="n">
        <v>13</v>
      </c>
      <c r="BD294" s="48" t="n">
        <v>26</v>
      </c>
      <c r="BE294" s="48" t="n">
        <v>8</v>
      </c>
      <c r="BF294" s="48" t="n">
        <v>6</v>
      </c>
      <c r="BG294" s="49" t="n">
        <v>9.95</v>
      </c>
    </row>
    <row r="295" customFormat="false" ht="15" hidden="false" customHeight="false" outlineLevel="0" collapsed="false">
      <c r="A295" s="43" t="s">
        <v>826</v>
      </c>
      <c r="B295" s="43" t="s">
        <v>827</v>
      </c>
      <c r="C295" s="44" t="str">
        <f aca="false">IF(A295="","",IFERROR(INDEX(Assumptions!$B$41:$B$55,MATCH(TRUE(),INDEX(ISNUMBER(SEARCH(" "&amp;Assumptions!$A$41:$A$55&amp;" "," "&amp;SUBSTITUTE(SUBSTITUTE(SUBSTITUTE(SUBSTITUTE(B295,"-"," "),","," "),"/"," "),"."," ")&amp;" ")),0),0)),"Other"))</f>
        <v>Other</v>
      </c>
      <c r="D295" s="45" t="n">
        <f aca="false">IF(A295="","",BG295*(1-Assumptions!$B$18))</f>
        <v>2.55</v>
      </c>
      <c r="E295" s="46" t="n">
        <f aca="false">IF(A295="","",INDEX(Assumptions!$B$23:$B$26,MOD(VALUE(LEFT(A295,5)),4)+1))</f>
        <v>2</v>
      </c>
      <c r="F295" s="47" t="n">
        <v>458</v>
      </c>
      <c r="G295" s="48" t="n">
        <v>84</v>
      </c>
      <c r="H295" s="48" t="n">
        <v>270</v>
      </c>
      <c r="I295" s="48" t="n">
        <v>108</v>
      </c>
      <c r="J295" s="48" t="n">
        <v>0</v>
      </c>
      <c r="K295" s="48" t="n">
        <v>50</v>
      </c>
      <c r="L295" s="48" t="n">
        <v>18</v>
      </c>
      <c r="M295" s="48" t="n">
        <v>19</v>
      </c>
      <c r="N295" s="48" t="n">
        <v>13</v>
      </c>
      <c r="O295" s="48" t="n">
        <v>47</v>
      </c>
      <c r="P295" s="48" t="n">
        <v>14</v>
      </c>
      <c r="Q295" s="48" t="n">
        <v>7</v>
      </c>
      <c r="R295" s="48" t="n">
        <v>5</v>
      </c>
      <c r="S295" s="48" t="n">
        <v>3</v>
      </c>
      <c r="T295" s="48" t="n">
        <v>11</v>
      </c>
      <c r="U295" s="48" t="n">
        <v>6</v>
      </c>
      <c r="V295" s="48" t="n">
        <v>4</v>
      </c>
      <c r="W295" s="48" t="n">
        <v>1</v>
      </c>
      <c r="X295" s="48" t="n">
        <v>12</v>
      </c>
      <c r="Y295" s="48" t="n">
        <v>0</v>
      </c>
      <c r="Z295" s="48" t="n">
        <v>11</v>
      </c>
      <c r="AA295" s="48" t="n">
        <v>0</v>
      </c>
      <c r="AB295" s="48" t="n">
        <v>0</v>
      </c>
      <c r="AC295" s="48" t="n">
        <v>2</v>
      </c>
      <c r="AD295" s="48" t="n">
        <v>2</v>
      </c>
      <c r="AE295" s="48" t="n">
        <v>2</v>
      </c>
      <c r="AF295" s="48" t="n">
        <v>5</v>
      </c>
      <c r="AG295" s="48" t="n">
        <v>5</v>
      </c>
      <c r="AH295" s="48" t="n">
        <v>3</v>
      </c>
      <c r="AI295" s="48" t="n">
        <v>2</v>
      </c>
      <c r="AJ295" s="48" t="n">
        <v>2</v>
      </c>
      <c r="AK295" s="48" t="n">
        <v>4</v>
      </c>
      <c r="AL295" s="48" t="n">
        <v>0</v>
      </c>
      <c r="AM295" s="48" t="n">
        <v>8</v>
      </c>
      <c r="AN295" s="48" t="n">
        <v>2</v>
      </c>
      <c r="AO295" s="48" t="n">
        <v>5</v>
      </c>
      <c r="AP295" s="48" t="n">
        <v>4</v>
      </c>
      <c r="AQ295" s="48" t="n">
        <v>14</v>
      </c>
      <c r="AR295" s="48" t="n">
        <v>11</v>
      </c>
      <c r="AS295" s="48" t="n">
        <v>7</v>
      </c>
      <c r="AT295" s="48" t="n">
        <v>29</v>
      </c>
      <c r="AU295" s="48" t="n">
        <v>16</v>
      </c>
      <c r="AV295" s="48" t="n">
        <v>150</v>
      </c>
      <c r="AW295" s="48" t="n">
        <v>16</v>
      </c>
      <c r="AX295" s="48" t="n">
        <v>38</v>
      </c>
      <c r="AY295" s="48" t="n">
        <v>44</v>
      </c>
      <c r="AZ295" s="48" t="n">
        <v>68</v>
      </c>
      <c r="BA295" s="48" t="n">
        <v>68</v>
      </c>
      <c r="BB295" s="48" t="n">
        <v>119</v>
      </c>
      <c r="BC295" s="48" t="n">
        <v>63</v>
      </c>
      <c r="BD295" s="48" t="n">
        <v>174</v>
      </c>
      <c r="BE295" s="48" t="n">
        <v>90</v>
      </c>
      <c r="BF295" s="48" t="n">
        <v>64</v>
      </c>
      <c r="BG295" s="49" t="n">
        <v>4.25</v>
      </c>
    </row>
    <row r="296" customFormat="false" ht="15" hidden="false" customHeight="false" outlineLevel="0" collapsed="false">
      <c r="A296" s="43" t="s">
        <v>828</v>
      </c>
      <c r="B296" s="43" t="s">
        <v>829</v>
      </c>
      <c r="C296" s="44" t="str">
        <f aca="false">IF(A296="","",IFERROR(INDEX(Assumptions!$B$41:$B$55,MATCH(TRUE(),INDEX(ISNUMBER(SEARCH(" "&amp;Assumptions!$A$41:$A$55&amp;" "," "&amp;SUBSTITUTE(SUBSTITUTE(SUBSTITUTE(SUBSTITUTE(B296,"-"," "),","," "),"/"," "),"."," ")&amp;" ")),0),0)),"Other"))</f>
        <v>Other</v>
      </c>
      <c r="D296" s="45" t="n">
        <f aca="false">IF(A296="","",BG296*(1-Assumptions!$B$18))</f>
        <v>1.53</v>
      </c>
      <c r="E296" s="46" t="n">
        <f aca="false">IF(A296="","",INDEX(Assumptions!$B$23:$B$26,MOD(VALUE(LEFT(A296,5)),4)+1))</f>
        <v>2</v>
      </c>
      <c r="F296" s="47" t="n">
        <v>2963</v>
      </c>
      <c r="G296" s="48" t="n">
        <v>49</v>
      </c>
      <c r="H296" s="48" t="n">
        <v>16</v>
      </c>
      <c r="I296" s="48" t="n">
        <v>80</v>
      </c>
      <c r="J296" s="48" t="n">
        <v>0</v>
      </c>
      <c r="K296" s="48" t="n">
        <v>62</v>
      </c>
      <c r="L296" s="48" t="n">
        <v>25</v>
      </c>
      <c r="M296" s="48" t="n">
        <v>22</v>
      </c>
      <c r="N296" s="48" t="n">
        <v>42</v>
      </c>
      <c r="O296" s="48" t="n">
        <v>40</v>
      </c>
      <c r="P296" s="48" t="n">
        <v>73</v>
      </c>
      <c r="Q296" s="48" t="n">
        <v>88</v>
      </c>
      <c r="R296" s="48" t="n">
        <v>100</v>
      </c>
      <c r="S296" s="48" t="n">
        <v>22</v>
      </c>
      <c r="T296" s="48" t="n">
        <v>13</v>
      </c>
      <c r="U296" s="48" t="n">
        <v>96</v>
      </c>
      <c r="V296" s="48" t="n">
        <v>41</v>
      </c>
      <c r="W296" s="48" t="n">
        <v>153</v>
      </c>
      <c r="X296" s="48" t="n">
        <v>61</v>
      </c>
      <c r="Y296" s="48" t="n">
        <v>30</v>
      </c>
      <c r="Z296" s="48" t="n">
        <v>21</v>
      </c>
      <c r="AA296" s="48" t="n">
        <v>89</v>
      </c>
      <c r="AB296" s="48" t="n">
        <v>30</v>
      </c>
      <c r="AC296" s="48" t="n">
        <v>254</v>
      </c>
      <c r="AD296" s="48" t="n">
        <v>29</v>
      </c>
      <c r="AE296" s="48" t="n">
        <v>67</v>
      </c>
      <c r="AF296" s="48" t="n">
        <v>47</v>
      </c>
      <c r="AG296" s="48" t="n">
        <v>31</v>
      </c>
      <c r="AH296" s="48" t="n">
        <v>72</v>
      </c>
      <c r="AI296" s="48" t="n">
        <v>43</v>
      </c>
      <c r="AJ296" s="48" t="n">
        <v>75</v>
      </c>
      <c r="AK296" s="48" t="n">
        <v>24</v>
      </c>
      <c r="AL296" s="48" t="n">
        <v>26</v>
      </c>
      <c r="AM296" s="48" t="n">
        <v>42</v>
      </c>
      <c r="AN296" s="48" t="n">
        <v>18</v>
      </c>
      <c r="AO296" s="48" t="n">
        <v>78</v>
      </c>
      <c r="AP296" s="48" t="n">
        <v>103</v>
      </c>
      <c r="AQ296" s="48" t="n">
        <v>24</v>
      </c>
      <c r="AR296" s="48" t="n">
        <v>23</v>
      </c>
      <c r="AS296" s="48" t="n">
        <v>123</v>
      </c>
      <c r="AT296" s="48" t="n">
        <v>53</v>
      </c>
      <c r="AU296" s="48" t="n">
        <v>14</v>
      </c>
      <c r="AV296" s="48" t="n">
        <v>162</v>
      </c>
      <c r="AW296" s="48" t="n">
        <v>56</v>
      </c>
      <c r="AX296" s="48" t="n">
        <v>77</v>
      </c>
      <c r="AY296" s="48" t="n">
        <v>63</v>
      </c>
      <c r="AZ296" s="48" t="n">
        <v>78</v>
      </c>
      <c r="BA296" s="48" t="n">
        <v>95</v>
      </c>
      <c r="BB296" s="48" t="n">
        <v>85</v>
      </c>
      <c r="BC296" s="48" t="n">
        <v>17</v>
      </c>
      <c r="BD296" s="48" t="n">
        <v>29</v>
      </c>
      <c r="BE296" s="48" t="n">
        <v>38</v>
      </c>
      <c r="BF296" s="48" t="n">
        <v>22</v>
      </c>
      <c r="BG296" s="49" t="n">
        <v>2.55</v>
      </c>
    </row>
    <row r="297" customFormat="false" ht="15" hidden="false" customHeight="false" outlineLevel="0" collapsed="false">
      <c r="A297" s="43" t="s">
        <v>830</v>
      </c>
      <c r="B297" s="43" t="s">
        <v>831</v>
      </c>
      <c r="C297" s="44" t="str">
        <f aca="false">IF(A297="","",IFERROR(INDEX(Assumptions!$B$41:$B$55,MATCH(TRUE(),INDEX(ISNUMBER(SEARCH(" "&amp;Assumptions!$A$41:$A$55&amp;" "," "&amp;SUBSTITUTE(SUBSTITUTE(SUBSTITUTE(SUBSTITUTE(B297,"-"," "),","," "),"/"," "),"."," ")&amp;" ")),0),0)),"Other"))</f>
        <v>Other</v>
      </c>
      <c r="D297" s="45" t="n">
        <f aca="false">IF(A297="","",BG297*(1-Assumptions!$B$18))</f>
        <v>10.17</v>
      </c>
      <c r="E297" s="46" t="n">
        <f aca="false">IF(A297="","",INDEX(Assumptions!$B$23:$B$26,MOD(VALUE(LEFT(A297,5)),4)+1))</f>
        <v>8</v>
      </c>
      <c r="F297" s="47" t="n">
        <v>28</v>
      </c>
      <c r="G297" s="48" t="n">
        <v>0</v>
      </c>
      <c r="H297" s="48" t="n">
        <v>0</v>
      </c>
      <c r="I297" s="48" t="n">
        <v>0</v>
      </c>
      <c r="J297" s="48" t="n">
        <v>0</v>
      </c>
      <c r="K297" s="48" t="n">
        <v>0</v>
      </c>
      <c r="L297" s="48" t="n">
        <v>0</v>
      </c>
      <c r="M297" s="48" t="n">
        <v>0</v>
      </c>
      <c r="N297" s="48" t="n">
        <v>0</v>
      </c>
      <c r="O297" s="48" t="n">
        <v>0</v>
      </c>
      <c r="P297" s="48" t="n">
        <v>0</v>
      </c>
      <c r="Q297" s="48" t="n">
        <v>0</v>
      </c>
      <c r="R297" s="48" t="n">
        <v>0</v>
      </c>
      <c r="S297" s="48" t="n">
        <v>0</v>
      </c>
      <c r="T297" s="48" t="n">
        <v>59</v>
      </c>
      <c r="U297" s="48" t="n">
        <v>41</v>
      </c>
      <c r="V297" s="48" t="n">
        <v>17</v>
      </c>
      <c r="W297" s="48" t="n">
        <v>28</v>
      </c>
      <c r="X297" s="48" t="n">
        <v>12</v>
      </c>
      <c r="Y297" s="48" t="n">
        <v>28</v>
      </c>
      <c r="Z297" s="48" t="n">
        <v>1</v>
      </c>
      <c r="AA297" s="48" t="n">
        <v>1</v>
      </c>
      <c r="AB297" s="48" t="n">
        <v>17</v>
      </c>
      <c r="AC297" s="48" t="n">
        <v>9</v>
      </c>
      <c r="AD297" s="48" t="n">
        <v>10</v>
      </c>
      <c r="AE297" s="48" t="n">
        <v>13</v>
      </c>
      <c r="AF297" s="48" t="n">
        <v>5</v>
      </c>
      <c r="AG297" s="48" t="n">
        <v>9</v>
      </c>
      <c r="AH297" s="48" t="n">
        <v>11</v>
      </c>
      <c r="AI297" s="48" t="n">
        <v>6</v>
      </c>
      <c r="AJ297" s="48" t="n">
        <v>3</v>
      </c>
      <c r="AK297" s="48" t="n">
        <v>5</v>
      </c>
      <c r="AL297" s="48" t="n">
        <v>4</v>
      </c>
      <c r="AM297" s="48" t="n">
        <v>6</v>
      </c>
      <c r="AN297" s="48" t="n">
        <v>9</v>
      </c>
      <c r="AO297" s="48" t="n">
        <v>8</v>
      </c>
      <c r="AP297" s="48" t="n">
        <v>0</v>
      </c>
      <c r="AQ297" s="48" t="n">
        <v>5</v>
      </c>
      <c r="AR297" s="48" t="n">
        <v>1</v>
      </c>
      <c r="AS297" s="48" t="n">
        <v>8</v>
      </c>
      <c r="AT297" s="48" t="n">
        <v>0</v>
      </c>
      <c r="AU297" s="48" t="n">
        <v>17</v>
      </c>
      <c r="AV297" s="48" t="n">
        <v>27</v>
      </c>
      <c r="AW297" s="48" t="n">
        <v>4</v>
      </c>
      <c r="AX297" s="48" t="n">
        <v>16</v>
      </c>
      <c r="AY297" s="48" t="n">
        <v>12</v>
      </c>
      <c r="AZ297" s="48" t="n">
        <v>27</v>
      </c>
      <c r="BA297" s="48" t="n">
        <v>3</v>
      </c>
      <c r="BB297" s="48" t="n">
        <v>7</v>
      </c>
      <c r="BC297" s="48" t="n">
        <v>10</v>
      </c>
      <c r="BD297" s="48" t="n">
        <v>18</v>
      </c>
      <c r="BE297" s="48" t="n">
        <v>24</v>
      </c>
      <c r="BF297" s="48" t="n">
        <v>8</v>
      </c>
      <c r="BG297" s="49" t="n">
        <v>16.95</v>
      </c>
    </row>
    <row r="298" customFormat="false" ht="15" hidden="false" customHeight="false" outlineLevel="0" collapsed="false">
      <c r="A298" s="43" t="s">
        <v>832</v>
      </c>
      <c r="B298" s="43" t="s">
        <v>833</v>
      </c>
      <c r="C298" s="44" t="str">
        <f aca="false">IF(A298="","",IFERROR(INDEX(Assumptions!$B$41:$B$55,MATCH(TRUE(),INDEX(ISNUMBER(SEARCH(" "&amp;Assumptions!$A$41:$A$55&amp;" "," "&amp;SUBSTITUTE(SUBSTITUTE(SUBSTITUTE(SUBSTITUTE(B298,"-"," "),","," "),"/"," "),"."," ")&amp;" ")),0),0)),"Other"))</f>
        <v>Other</v>
      </c>
      <c r="D298" s="45" t="n">
        <f aca="false">IF(A298="","",BG298*(1-Assumptions!$B$18))</f>
        <v>0.174</v>
      </c>
      <c r="E298" s="46" t="n">
        <f aca="false">IF(A298="","",INDEX(Assumptions!$B$23:$B$26,MOD(VALUE(LEFT(A298,5)),4)+1))</f>
        <v>2</v>
      </c>
      <c r="F298" s="47" t="n">
        <v>4299</v>
      </c>
      <c r="G298" s="48" t="n">
        <v>319</v>
      </c>
      <c r="H298" s="48" t="n">
        <v>223</v>
      </c>
      <c r="I298" s="48" t="n">
        <v>1423</v>
      </c>
      <c r="J298" s="48" t="n">
        <v>0</v>
      </c>
      <c r="K298" s="48" t="n">
        <v>110</v>
      </c>
      <c r="L298" s="48" t="n">
        <v>101</v>
      </c>
      <c r="M298" s="48" t="n">
        <v>85</v>
      </c>
      <c r="N298" s="48" t="n">
        <v>169</v>
      </c>
      <c r="O298" s="48" t="n">
        <v>968</v>
      </c>
      <c r="P298" s="48" t="n">
        <v>611</v>
      </c>
      <c r="Q298" s="48" t="n">
        <v>1014</v>
      </c>
      <c r="R298" s="48" t="n">
        <v>118</v>
      </c>
      <c r="S298" s="48" t="n">
        <v>122</v>
      </c>
      <c r="T298" s="48" t="n">
        <v>1420</v>
      </c>
      <c r="U298" s="48" t="n">
        <v>1456</v>
      </c>
      <c r="V298" s="48" t="n">
        <v>134</v>
      </c>
      <c r="W298" s="48" t="n">
        <v>1432</v>
      </c>
      <c r="X298" s="48" t="n">
        <v>610</v>
      </c>
      <c r="Y298" s="48" t="n">
        <v>402</v>
      </c>
      <c r="Z298" s="48" t="n">
        <v>93</v>
      </c>
      <c r="AA298" s="48" t="n">
        <v>216</v>
      </c>
      <c r="AB298" s="48" t="n">
        <v>128</v>
      </c>
      <c r="AC298" s="48" t="n">
        <v>130</v>
      </c>
      <c r="AD298" s="48" t="n">
        <v>1120</v>
      </c>
      <c r="AE298" s="48" t="n">
        <v>84</v>
      </c>
      <c r="AF298" s="48" t="n">
        <v>80</v>
      </c>
      <c r="AG298" s="48" t="n">
        <v>46</v>
      </c>
      <c r="AH298" s="48" t="n">
        <v>1512</v>
      </c>
      <c r="AI298" s="48" t="n">
        <v>280</v>
      </c>
      <c r="AJ298" s="48" t="n">
        <v>537</v>
      </c>
      <c r="AK298" s="48" t="n">
        <v>75</v>
      </c>
      <c r="AL298" s="48" t="n">
        <v>78</v>
      </c>
      <c r="AM298" s="48" t="n">
        <v>936</v>
      </c>
      <c r="AN298" s="48" t="n">
        <v>172</v>
      </c>
      <c r="AO298" s="48" t="n">
        <v>1715</v>
      </c>
      <c r="AP298" s="48" t="n">
        <v>138</v>
      </c>
      <c r="AQ298" s="48" t="n">
        <v>149</v>
      </c>
      <c r="AR298" s="48" t="n">
        <v>413</v>
      </c>
      <c r="AS298" s="48" t="n">
        <v>485</v>
      </c>
      <c r="AT298" s="48" t="n">
        <v>76</v>
      </c>
      <c r="AU298" s="48" t="n">
        <v>200</v>
      </c>
      <c r="AV298" s="48" t="n">
        <v>291</v>
      </c>
      <c r="AW298" s="48" t="n">
        <v>577</v>
      </c>
      <c r="AX298" s="48" t="n">
        <v>525</v>
      </c>
      <c r="AY298" s="48" t="n">
        <v>65</v>
      </c>
      <c r="AZ298" s="48" t="n">
        <v>666</v>
      </c>
      <c r="BA298" s="48" t="n">
        <v>293</v>
      </c>
      <c r="BB298" s="48" t="n">
        <v>702</v>
      </c>
      <c r="BC298" s="48" t="n">
        <v>254</v>
      </c>
      <c r="BD298" s="48" t="n">
        <v>1351</v>
      </c>
      <c r="BE298" s="48" t="n">
        <v>101</v>
      </c>
      <c r="BF298" s="48" t="n">
        <v>636</v>
      </c>
      <c r="BG298" s="49" t="n">
        <v>0.29</v>
      </c>
    </row>
    <row r="299" customFormat="false" ht="15" hidden="false" customHeight="false" outlineLevel="0" collapsed="false">
      <c r="A299" s="43" t="s">
        <v>834</v>
      </c>
      <c r="B299" s="43" t="s">
        <v>835</v>
      </c>
      <c r="C299" s="44" t="str">
        <f aca="false">IF(A299="","",IFERROR(INDEX(Assumptions!$B$41:$B$55,MATCH(TRUE(),INDEX(ISNUMBER(SEARCH(" "&amp;Assumptions!$A$41:$A$55&amp;" "," "&amp;SUBSTITUTE(SUBSTITUTE(SUBSTITUTE(SUBSTITUTE(B299,"-"," "),","," "),"/"," "),"."," ")&amp;" ")),0),0)),"Other"))</f>
        <v>Other</v>
      </c>
      <c r="D299" s="45" t="n">
        <f aca="false">IF(A299="","",BG299*(1-Assumptions!$B$18))</f>
        <v>5.97</v>
      </c>
      <c r="E299" s="46" t="n">
        <f aca="false">IF(A299="","",INDEX(Assumptions!$B$23:$B$26,MOD(VALUE(LEFT(A299,5)),4)+1))</f>
        <v>2</v>
      </c>
      <c r="F299" s="47" t="n">
        <v>169</v>
      </c>
      <c r="G299" s="48" t="n">
        <v>15</v>
      </c>
      <c r="H299" s="48" t="n">
        <v>34</v>
      </c>
      <c r="I299" s="48" t="n">
        <v>6</v>
      </c>
      <c r="J299" s="48" t="n">
        <v>0</v>
      </c>
      <c r="K299" s="48" t="n">
        <v>24</v>
      </c>
      <c r="L299" s="48" t="n">
        <v>11</v>
      </c>
      <c r="M299" s="48" t="n">
        <v>20</v>
      </c>
      <c r="N299" s="48" t="n">
        <v>11</v>
      </c>
      <c r="O299" s="48" t="n">
        <v>7</v>
      </c>
      <c r="P299" s="48" t="n">
        <v>4</v>
      </c>
      <c r="Q299" s="48" t="n">
        <v>16</v>
      </c>
      <c r="R299" s="48" t="n">
        <v>3</v>
      </c>
      <c r="S299" s="48" t="n">
        <v>8</v>
      </c>
      <c r="T299" s="48" t="n">
        <v>6</v>
      </c>
      <c r="U299" s="48" t="n">
        <v>27</v>
      </c>
      <c r="V299" s="48" t="n">
        <v>7</v>
      </c>
      <c r="W299" s="48" t="n">
        <v>8</v>
      </c>
      <c r="X299" s="48" t="n">
        <v>3</v>
      </c>
      <c r="Y299" s="48" t="n">
        <v>29</v>
      </c>
      <c r="Z299" s="48" t="n">
        <v>2</v>
      </c>
      <c r="AA299" s="48" t="n">
        <v>2</v>
      </c>
      <c r="AB299" s="48" t="n">
        <v>9</v>
      </c>
      <c r="AC299" s="48" t="n">
        <v>13</v>
      </c>
      <c r="AD299" s="48" t="n">
        <v>26</v>
      </c>
      <c r="AE299" s="48" t="n">
        <v>2</v>
      </c>
      <c r="AF299" s="48" t="n">
        <v>13</v>
      </c>
      <c r="AG299" s="48" t="n">
        <v>12</v>
      </c>
      <c r="AH299" s="48" t="n">
        <v>6</v>
      </c>
      <c r="AI299" s="48" t="n">
        <v>3</v>
      </c>
      <c r="AJ299" s="48" t="n">
        <v>8</v>
      </c>
      <c r="AK299" s="48" t="n">
        <v>14</v>
      </c>
      <c r="AL299" s="48" t="n">
        <v>5</v>
      </c>
      <c r="AM299" s="48" t="n">
        <v>8</v>
      </c>
      <c r="AN299" s="48" t="n">
        <v>16</v>
      </c>
      <c r="AO299" s="48" t="n">
        <v>8</v>
      </c>
      <c r="AP299" s="48" t="n">
        <v>3</v>
      </c>
      <c r="AQ299" s="48" t="n">
        <v>11</v>
      </c>
      <c r="AR299" s="48" t="n">
        <v>15</v>
      </c>
      <c r="AS299" s="48" t="n">
        <v>8</v>
      </c>
      <c r="AT299" s="48" t="n">
        <v>19</v>
      </c>
      <c r="AU299" s="48" t="n">
        <v>19</v>
      </c>
      <c r="AV299" s="48" t="n">
        <v>154</v>
      </c>
      <c r="AW299" s="48" t="n">
        <v>11</v>
      </c>
      <c r="AX299" s="48" t="n">
        <v>31</v>
      </c>
      <c r="AY299" s="48" t="n">
        <v>15</v>
      </c>
      <c r="AZ299" s="48" t="n">
        <v>11</v>
      </c>
      <c r="BA299" s="48" t="n">
        <v>14</v>
      </c>
      <c r="BB299" s="48" t="n">
        <v>32</v>
      </c>
      <c r="BC299" s="48" t="n">
        <v>14</v>
      </c>
      <c r="BD299" s="48" t="n">
        <v>13</v>
      </c>
      <c r="BE299" s="48" t="n">
        <v>36</v>
      </c>
      <c r="BF299" s="48" t="n">
        <v>8</v>
      </c>
      <c r="BG299" s="49" t="n">
        <v>9.95</v>
      </c>
    </row>
    <row r="300" customFormat="false" ht="15" hidden="false" customHeight="false" outlineLevel="0" collapsed="false">
      <c r="A300" s="43" t="s">
        <v>836</v>
      </c>
      <c r="B300" s="43" t="s">
        <v>837</v>
      </c>
      <c r="C300" s="44" t="str">
        <f aca="false">IF(A300="","",IFERROR(INDEX(Assumptions!$B$41:$B$55,MATCH(TRUE(),INDEX(ISNUMBER(SEARCH(" "&amp;Assumptions!$A$41:$A$55&amp;" "," "&amp;SUBSTITUTE(SUBSTITUTE(SUBSTITUTE(SUBSTITUTE(B300,"-"," "),","," "),"/"," "),"."," ")&amp;" ")),0),0)),"Other"))</f>
        <v>Other</v>
      </c>
      <c r="D300" s="45" t="n">
        <f aca="false">IF(A300="","",BG300*(1-Assumptions!$B$18))</f>
        <v>1.77</v>
      </c>
      <c r="E300" s="46" t="n">
        <f aca="false">IF(A300="","",INDEX(Assumptions!$B$23:$B$26,MOD(VALUE(LEFT(A300,5)),4)+1))</f>
        <v>8</v>
      </c>
      <c r="F300" s="47" t="n">
        <v>365</v>
      </c>
      <c r="G300" s="48" t="n">
        <v>100</v>
      </c>
      <c r="H300" s="48" t="n">
        <v>83</v>
      </c>
      <c r="I300" s="48" t="n">
        <v>34</v>
      </c>
      <c r="J300" s="48" t="n">
        <v>0</v>
      </c>
      <c r="K300" s="48" t="n">
        <v>42</v>
      </c>
      <c r="L300" s="48" t="n">
        <v>50</v>
      </c>
      <c r="M300" s="48" t="n">
        <v>21</v>
      </c>
      <c r="N300" s="48" t="n">
        <v>27</v>
      </c>
      <c r="O300" s="48" t="n">
        <v>65</v>
      </c>
      <c r="P300" s="48" t="n">
        <v>46</v>
      </c>
      <c r="Q300" s="48" t="n">
        <v>60</v>
      </c>
      <c r="R300" s="48" t="n">
        <v>96</v>
      </c>
      <c r="S300" s="48" t="n">
        <v>67</v>
      </c>
      <c r="T300" s="48" t="n">
        <v>33</v>
      </c>
      <c r="U300" s="48" t="n">
        <v>11</v>
      </c>
      <c r="V300" s="48" t="n">
        <v>45</v>
      </c>
      <c r="W300" s="48" t="n">
        <v>162</v>
      </c>
      <c r="X300" s="48" t="n">
        <v>10</v>
      </c>
      <c r="Y300" s="48" t="n">
        <v>0</v>
      </c>
      <c r="Z300" s="48" t="n">
        <v>0</v>
      </c>
      <c r="AA300" s="48" t="n">
        <v>1</v>
      </c>
      <c r="AB300" s="48" t="n">
        <v>0</v>
      </c>
      <c r="AC300" s="48" t="n">
        <v>0</v>
      </c>
      <c r="AD300" s="48" t="n">
        <v>0</v>
      </c>
      <c r="AE300" s="48" t="n">
        <v>0</v>
      </c>
      <c r="AF300" s="48" t="n">
        <v>0</v>
      </c>
      <c r="AG300" s="48" t="n">
        <v>11</v>
      </c>
      <c r="AH300" s="48" t="n">
        <v>34</v>
      </c>
      <c r="AI300" s="48" t="n">
        <v>66</v>
      </c>
      <c r="AJ300" s="48" t="n">
        <v>39</v>
      </c>
      <c r="AK300" s="48" t="n">
        <v>9</v>
      </c>
      <c r="AL300" s="48" t="n">
        <v>32</v>
      </c>
      <c r="AM300" s="48" t="n">
        <v>21</v>
      </c>
      <c r="AN300" s="48" t="n">
        <v>428</v>
      </c>
      <c r="AO300" s="48" t="n">
        <v>31</v>
      </c>
      <c r="AP300" s="48" t="n">
        <v>48</v>
      </c>
      <c r="AQ300" s="48" t="n">
        <v>17</v>
      </c>
      <c r="AR300" s="48" t="n">
        <v>78</v>
      </c>
      <c r="AS300" s="48" t="n">
        <v>71</v>
      </c>
      <c r="AT300" s="48" t="n">
        <v>110</v>
      </c>
      <c r="AU300" s="48" t="n">
        <v>14</v>
      </c>
      <c r="AV300" s="48" t="n">
        <v>93</v>
      </c>
      <c r="AW300" s="48" t="n">
        <v>33</v>
      </c>
      <c r="AX300" s="48" t="n">
        <v>20</v>
      </c>
      <c r="AY300" s="48" t="n">
        <v>41</v>
      </c>
      <c r="AZ300" s="48" t="n">
        <v>100</v>
      </c>
      <c r="BA300" s="48" t="n">
        <v>60</v>
      </c>
      <c r="BB300" s="48" t="n">
        <v>69</v>
      </c>
      <c r="BC300" s="48" t="n">
        <v>63</v>
      </c>
      <c r="BD300" s="48" t="n">
        <v>98</v>
      </c>
      <c r="BE300" s="48" t="n">
        <v>62</v>
      </c>
      <c r="BF300" s="48" t="n">
        <v>108</v>
      </c>
      <c r="BG300" s="49" t="n">
        <v>2.95</v>
      </c>
    </row>
    <row r="301" customFormat="false" ht="15" hidden="false" customHeight="false" outlineLevel="0" collapsed="false">
      <c r="A301" s="43" t="s">
        <v>838</v>
      </c>
      <c r="B301" s="43" t="s">
        <v>839</v>
      </c>
      <c r="C301" s="44" t="str">
        <f aca="false">IF(A301="","",IFERROR(INDEX(Assumptions!$B$41:$B$55,MATCH(TRUE(),INDEX(ISNUMBER(SEARCH(" "&amp;Assumptions!$A$41:$A$55&amp;" "," "&amp;SUBSTITUTE(SUBSTITUTE(SUBSTITUTE(SUBSTITUTE(B301,"-"," "),","," "),"/"," "),"."," ")&amp;" ")),0),0)),"Other"))</f>
        <v>Other</v>
      </c>
      <c r="D301" s="45" t="n">
        <f aca="false">IF(A301="","",BG301*(1-Assumptions!$B$18))</f>
        <v>1.26</v>
      </c>
      <c r="E301" s="46" t="n">
        <f aca="false">IF(A301="","",INDEX(Assumptions!$B$23:$B$26,MOD(VALUE(LEFT(A301,5)),4)+1))</f>
        <v>2</v>
      </c>
      <c r="F301" s="47" t="n">
        <v>866</v>
      </c>
      <c r="G301" s="48" t="n">
        <v>359</v>
      </c>
      <c r="H301" s="48" t="n">
        <v>1</v>
      </c>
      <c r="I301" s="48" t="n">
        <v>0</v>
      </c>
      <c r="J301" s="48" t="n">
        <v>0</v>
      </c>
      <c r="K301" s="48" t="n">
        <v>0</v>
      </c>
      <c r="L301" s="48" t="n">
        <v>0</v>
      </c>
      <c r="M301" s="48" t="n">
        <v>0</v>
      </c>
      <c r="N301" s="48" t="n">
        <v>0</v>
      </c>
      <c r="O301" s="48" t="n">
        <v>0</v>
      </c>
      <c r="P301" s="48" t="n">
        <v>0</v>
      </c>
      <c r="Q301" s="48" t="n">
        <v>0</v>
      </c>
      <c r="R301" s="48" t="n">
        <v>0</v>
      </c>
      <c r="S301" s="48" t="n">
        <v>0</v>
      </c>
      <c r="T301" s="48" t="n">
        <v>0</v>
      </c>
      <c r="U301" s="48" t="n">
        <v>0</v>
      </c>
      <c r="V301" s="48" t="n">
        <v>0</v>
      </c>
      <c r="W301" s="48" t="n">
        <v>0</v>
      </c>
      <c r="X301" s="48" t="n">
        <v>0</v>
      </c>
      <c r="Y301" s="48" t="n">
        <v>1</v>
      </c>
      <c r="Z301" s="48" t="n">
        <v>0</v>
      </c>
      <c r="AA301" s="48" t="n">
        <v>0</v>
      </c>
      <c r="AB301" s="48" t="n">
        <v>0</v>
      </c>
      <c r="AC301" s="48" t="n">
        <v>0</v>
      </c>
      <c r="AD301" s="48" t="n">
        <v>0</v>
      </c>
      <c r="AE301" s="48" t="n">
        <v>1</v>
      </c>
      <c r="AF301" s="48" t="n">
        <v>2</v>
      </c>
      <c r="AG301" s="48" t="n">
        <v>0</v>
      </c>
      <c r="AH301" s="48" t="n">
        <v>0</v>
      </c>
      <c r="AI301" s="48" t="n">
        <v>0</v>
      </c>
      <c r="AJ301" s="48" t="n">
        <v>0</v>
      </c>
      <c r="AK301" s="48" t="n">
        <v>0</v>
      </c>
      <c r="AL301" s="48" t="n">
        <v>0</v>
      </c>
      <c r="AM301" s="48" t="n">
        <v>0</v>
      </c>
      <c r="AN301" s="48" t="n">
        <v>0</v>
      </c>
      <c r="AO301" s="48" t="n">
        <v>0</v>
      </c>
      <c r="AP301" s="48" t="n">
        <v>0</v>
      </c>
      <c r="AQ301" s="48" t="n">
        <v>3</v>
      </c>
      <c r="AR301" s="48" t="n">
        <v>183</v>
      </c>
      <c r="AS301" s="48" t="n">
        <v>148</v>
      </c>
      <c r="AT301" s="48" t="n">
        <v>242</v>
      </c>
      <c r="AU301" s="48" t="n">
        <v>94</v>
      </c>
      <c r="AV301" s="48" t="n">
        <v>373</v>
      </c>
      <c r="AW301" s="48" t="n">
        <v>212</v>
      </c>
      <c r="AX301" s="48" t="n">
        <v>198</v>
      </c>
      <c r="AY301" s="48" t="n">
        <v>107</v>
      </c>
      <c r="AZ301" s="48" t="n">
        <v>131</v>
      </c>
      <c r="BA301" s="48" t="n">
        <v>177</v>
      </c>
      <c r="BB301" s="48" t="n">
        <v>470</v>
      </c>
      <c r="BC301" s="48" t="n">
        <v>322</v>
      </c>
      <c r="BD301" s="48" t="n">
        <v>394</v>
      </c>
      <c r="BE301" s="48" t="n">
        <v>203</v>
      </c>
      <c r="BF301" s="48" t="n">
        <v>131</v>
      </c>
      <c r="BG301" s="49" t="n">
        <v>2.1</v>
      </c>
    </row>
    <row r="302" customFormat="false" ht="15" hidden="false" customHeight="false" outlineLevel="0" collapsed="false">
      <c r="A302" s="43" t="s">
        <v>840</v>
      </c>
      <c r="B302" s="43" t="s">
        <v>841</v>
      </c>
      <c r="C302" s="44" t="str">
        <f aca="false">IF(A302="","",IFERROR(INDEX(Assumptions!$B$41:$B$55,MATCH(TRUE(),INDEX(ISNUMBER(SEARCH(" "&amp;Assumptions!$A$41:$A$55&amp;" "," "&amp;SUBSTITUTE(SUBSTITUTE(SUBSTITUTE(SUBSTITUTE(B302,"-"," "),","," "),"/"," "),"."," ")&amp;" ")),0),0)),"Other"))</f>
        <v>Lighting</v>
      </c>
      <c r="D302" s="45" t="n">
        <f aca="false">IF(A302="","",BG302*(1-Assumptions!$B$18))</f>
        <v>0.75</v>
      </c>
      <c r="E302" s="46" t="n">
        <f aca="false">IF(A302="","",INDEX(Assumptions!$B$23:$B$26,MOD(VALUE(LEFT(A302,5)),4)+1))</f>
        <v>4</v>
      </c>
      <c r="F302" s="47" t="n">
        <v>1895</v>
      </c>
      <c r="G302" s="48" t="n">
        <v>128</v>
      </c>
      <c r="H302" s="48" t="n">
        <v>9</v>
      </c>
      <c r="I302" s="48" t="n">
        <v>25</v>
      </c>
      <c r="J302" s="48" t="n">
        <v>0</v>
      </c>
      <c r="K302" s="48" t="n">
        <v>58</v>
      </c>
      <c r="L302" s="48" t="n">
        <v>137</v>
      </c>
      <c r="M302" s="48" t="n">
        <v>367</v>
      </c>
      <c r="N302" s="48" t="n">
        <v>85</v>
      </c>
      <c r="O302" s="48" t="n">
        <v>172</v>
      </c>
      <c r="P302" s="48" t="n">
        <v>75</v>
      </c>
      <c r="Q302" s="48" t="n">
        <v>101</v>
      </c>
      <c r="R302" s="48" t="n">
        <v>151</v>
      </c>
      <c r="S302" s="48" t="n">
        <v>103</v>
      </c>
      <c r="T302" s="48" t="n">
        <v>110</v>
      </c>
      <c r="U302" s="48" t="n">
        <v>110</v>
      </c>
      <c r="V302" s="48" t="n">
        <v>135</v>
      </c>
      <c r="W302" s="48" t="n">
        <v>12</v>
      </c>
      <c r="X302" s="48" t="n">
        <v>83</v>
      </c>
      <c r="Y302" s="48" t="n">
        <v>75</v>
      </c>
      <c r="Z302" s="48" t="n">
        <v>57</v>
      </c>
      <c r="AA302" s="48" t="n">
        <v>2</v>
      </c>
      <c r="AB302" s="48" t="n">
        <v>42</v>
      </c>
      <c r="AC302" s="48" t="n">
        <v>157</v>
      </c>
      <c r="AD302" s="48" t="n">
        <v>68</v>
      </c>
      <c r="AE302" s="48" t="n">
        <v>82</v>
      </c>
      <c r="AF302" s="48" t="n">
        <v>57</v>
      </c>
      <c r="AG302" s="48" t="n">
        <v>177</v>
      </c>
      <c r="AH302" s="48" t="n">
        <v>438</v>
      </c>
      <c r="AI302" s="48" t="n">
        <v>405</v>
      </c>
      <c r="AJ302" s="48" t="n">
        <v>290</v>
      </c>
      <c r="AK302" s="48" t="n">
        <v>10</v>
      </c>
      <c r="AL302" s="48" t="n">
        <v>72</v>
      </c>
      <c r="AM302" s="48" t="n">
        <v>78</v>
      </c>
      <c r="AN302" s="48" t="n">
        <v>145</v>
      </c>
      <c r="AO302" s="48" t="n">
        <v>63</v>
      </c>
      <c r="AP302" s="48" t="n">
        <v>105</v>
      </c>
      <c r="AQ302" s="48" t="n">
        <v>125</v>
      </c>
      <c r="AR302" s="48" t="n">
        <v>144</v>
      </c>
      <c r="AS302" s="48" t="n">
        <v>123</v>
      </c>
      <c r="AT302" s="48" t="n">
        <v>181</v>
      </c>
      <c r="AU302" s="48" t="n">
        <v>22</v>
      </c>
      <c r="AV302" s="48" t="n">
        <v>123</v>
      </c>
      <c r="AW302" s="48" t="n">
        <v>110</v>
      </c>
      <c r="AX302" s="48" t="n">
        <v>28</v>
      </c>
      <c r="AY302" s="48" t="n">
        <v>153</v>
      </c>
      <c r="AZ302" s="48" t="n">
        <v>490</v>
      </c>
      <c r="BA302" s="48" t="n">
        <v>47</v>
      </c>
      <c r="BB302" s="48" t="n">
        <v>63</v>
      </c>
      <c r="BC302" s="48" t="n">
        <v>60</v>
      </c>
      <c r="BD302" s="48" t="n">
        <v>156</v>
      </c>
      <c r="BE302" s="48" t="n">
        <v>114</v>
      </c>
      <c r="BF302" s="48" t="n">
        <v>37</v>
      </c>
      <c r="BG302" s="49" t="n">
        <v>1.25</v>
      </c>
    </row>
    <row r="303" customFormat="false" ht="15" hidden="false" customHeight="false" outlineLevel="0" collapsed="false">
      <c r="A303" s="43" t="s">
        <v>842</v>
      </c>
      <c r="B303" s="43" t="s">
        <v>843</v>
      </c>
      <c r="C303" s="44" t="str">
        <f aca="false">IF(A303="","",IFERROR(INDEX(Assumptions!$B$41:$B$55,MATCH(TRUE(),INDEX(ISNUMBER(SEARCH(" "&amp;Assumptions!$A$41:$A$55&amp;" "," "&amp;SUBSTITUTE(SUBSTITUTE(SUBSTITUTE(SUBSTITUTE(B303,"-"," "),","," "),"/"," "),"."," ")&amp;" ")),0),0)),"Other"))</f>
        <v>Other</v>
      </c>
      <c r="D303" s="45" t="n">
        <f aca="false">IF(A303="","",BG303*(1-Assumptions!$B$18))</f>
        <v>1.17</v>
      </c>
      <c r="E303" s="46" t="n">
        <f aca="false">IF(A303="","",INDEX(Assumptions!$B$23:$B$26,MOD(VALUE(LEFT(A303,5)),4)+1))</f>
        <v>8</v>
      </c>
      <c r="F303" s="47" t="n">
        <v>442</v>
      </c>
      <c r="G303" s="48" t="n">
        <v>0</v>
      </c>
      <c r="H303" s="48" t="n">
        <v>0</v>
      </c>
      <c r="I303" s="48" t="n">
        <v>0</v>
      </c>
      <c r="J303" s="48" t="n">
        <v>0</v>
      </c>
      <c r="K303" s="48" t="n">
        <v>0</v>
      </c>
      <c r="L303" s="48" t="n">
        <v>0</v>
      </c>
      <c r="M303" s="48" t="n">
        <v>0</v>
      </c>
      <c r="N303" s="48" t="n">
        <v>0</v>
      </c>
      <c r="O303" s="48" t="n">
        <v>0</v>
      </c>
      <c r="P303" s="48" t="n">
        <v>0</v>
      </c>
      <c r="Q303" s="48" t="n">
        <v>20</v>
      </c>
      <c r="R303" s="48" t="n">
        <v>240</v>
      </c>
      <c r="S303" s="48" t="n">
        <v>49</v>
      </c>
      <c r="T303" s="48" t="n">
        <v>59</v>
      </c>
      <c r="U303" s="48" t="n">
        <v>67</v>
      </c>
      <c r="V303" s="48" t="n">
        <v>65</v>
      </c>
      <c r="W303" s="48" t="n">
        <v>181</v>
      </c>
      <c r="X303" s="48" t="n">
        <v>43</v>
      </c>
      <c r="Y303" s="48" t="n">
        <v>51</v>
      </c>
      <c r="Z303" s="48" t="n">
        <v>4</v>
      </c>
      <c r="AA303" s="48" t="n">
        <v>27</v>
      </c>
      <c r="AB303" s="48" t="n">
        <v>25</v>
      </c>
      <c r="AC303" s="48" t="n">
        <v>15</v>
      </c>
      <c r="AD303" s="48" t="n">
        <v>172</v>
      </c>
      <c r="AE303" s="48" t="n">
        <v>23</v>
      </c>
      <c r="AF303" s="48" t="n">
        <v>97</v>
      </c>
      <c r="AG303" s="48" t="n">
        <v>0</v>
      </c>
      <c r="AH303" s="48" t="n">
        <v>22</v>
      </c>
      <c r="AI303" s="48" t="n">
        <v>32</v>
      </c>
      <c r="AJ303" s="48" t="n">
        <v>14</v>
      </c>
      <c r="AK303" s="48" t="n">
        <v>18</v>
      </c>
      <c r="AL303" s="48" t="n">
        <v>12</v>
      </c>
      <c r="AM303" s="48" t="n">
        <v>37</v>
      </c>
      <c r="AN303" s="48" t="n">
        <v>48</v>
      </c>
      <c r="AO303" s="48" t="n">
        <v>459</v>
      </c>
      <c r="AP303" s="48" t="n">
        <v>446</v>
      </c>
      <c r="AQ303" s="48" t="n">
        <v>5</v>
      </c>
      <c r="AR303" s="48" t="n">
        <v>45</v>
      </c>
      <c r="AS303" s="48" t="n">
        <v>20</v>
      </c>
      <c r="AT303" s="48" t="n">
        <v>14</v>
      </c>
      <c r="AU303" s="48" t="n">
        <v>206</v>
      </c>
      <c r="AV303" s="48" t="n">
        <v>85</v>
      </c>
      <c r="AW303" s="48" t="n">
        <v>69</v>
      </c>
      <c r="AX303" s="48" t="n">
        <v>498</v>
      </c>
      <c r="AY303" s="48" t="n">
        <v>118</v>
      </c>
      <c r="AZ303" s="48" t="n">
        <v>36</v>
      </c>
      <c r="BA303" s="48" t="n">
        <v>51</v>
      </c>
      <c r="BB303" s="48" t="n">
        <v>72</v>
      </c>
      <c r="BC303" s="48" t="n">
        <v>146</v>
      </c>
      <c r="BD303" s="48" t="n">
        <v>128</v>
      </c>
      <c r="BE303" s="48" t="n">
        <v>64</v>
      </c>
      <c r="BF303" s="48" t="n">
        <v>46</v>
      </c>
      <c r="BG303" s="49" t="n">
        <v>1.95</v>
      </c>
    </row>
    <row r="304" customFormat="false" ht="15" hidden="false" customHeight="false" outlineLevel="0" collapsed="false">
      <c r="A304" s="43" t="s">
        <v>844</v>
      </c>
      <c r="B304" s="43" t="s">
        <v>845</v>
      </c>
      <c r="C304" s="44" t="str">
        <f aca="false">IF(A304="","",IFERROR(INDEX(Assumptions!$B$41:$B$55,MATCH(TRUE(),INDEX(ISNUMBER(SEARCH(" "&amp;Assumptions!$A$41:$A$55&amp;" "," "&amp;SUBSTITUTE(SUBSTITUTE(SUBSTITUTE(SUBSTITUTE(B304,"-"," "),","," "),"/"," "),"."," ")&amp;" ")),0),0)),"Other"))</f>
        <v>Other</v>
      </c>
      <c r="D304" s="45" t="n">
        <f aca="false">IF(A304="","",BG304*(1-Assumptions!$B$18))</f>
        <v>1.77</v>
      </c>
      <c r="E304" s="46" t="n">
        <f aca="false">IF(A304="","",INDEX(Assumptions!$B$23:$B$26,MOD(VALUE(LEFT(A304,5)),4)+1))</f>
        <v>4</v>
      </c>
      <c r="F304" s="47" t="n">
        <v>317</v>
      </c>
      <c r="G304" s="48" t="n">
        <v>67</v>
      </c>
      <c r="H304" s="48" t="n">
        <v>54</v>
      </c>
      <c r="I304" s="48" t="n">
        <v>3</v>
      </c>
      <c r="J304" s="48" t="n">
        <v>0</v>
      </c>
      <c r="K304" s="48" t="n">
        <v>49</v>
      </c>
      <c r="L304" s="48" t="n">
        <v>46</v>
      </c>
      <c r="M304" s="48" t="n">
        <v>37</v>
      </c>
      <c r="N304" s="48" t="n">
        <v>60</v>
      </c>
      <c r="O304" s="48" t="n">
        <v>83</v>
      </c>
      <c r="P304" s="48" t="n">
        <v>34</v>
      </c>
      <c r="Q304" s="48" t="n">
        <v>36</v>
      </c>
      <c r="R304" s="48" t="n">
        <v>86</v>
      </c>
      <c r="S304" s="48" t="n">
        <v>47</v>
      </c>
      <c r="T304" s="48" t="n">
        <v>66</v>
      </c>
      <c r="U304" s="48" t="n">
        <v>103</v>
      </c>
      <c r="V304" s="48" t="n">
        <v>84</v>
      </c>
      <c r="W304" s="48" t="n">
        <v>24</v>
      </c>
      <c r="X304" s="48" t="n">
        <v>0</v>
      </c>
      <c r="Y304" s="48" t="n">
        <v>0</v>
      </c>
      <c r="Z304" s="48" t="n">
        <v>0</v>
      </c>
      <c r="AA304" s="48" t="n">
        <v>0</v>
      </c>
      <c r="AB304" s="48" t="n">
        <v>0</v>
      </c>
      <c r="AC304" s="48" t="n">
        <v>0</v>
      </c>
      <c r="AD304" s="48" t="n">
        <v>80</v>
      </c>
      <c r="AE304" s="48" t="n">
        <v>61</v>
      </c>
      <c r="AF304" s="48" t="n">
        <v>40</v>
      </c>
      <c r="AG304" s="48" t="n">
        <v>45</v>
      </c>
      <c r="AH304" s="48" t="n">
        <v>46</v>
      </c>
      <c r="AI304" s="48" t="n">
        <v>39</v>
      </c>
      <c r="AJ304" s="48" t="n">
        <v>44</v>
      </c>
      <c r="AK304" s="48" t="n">
        <v>49</v>
      </c>
      <c r="AL304" s="48" t="n">
        <v>10</v>
      </c>
      <c r="AM304" s="48" t="n">
        <v>29</v>
      </c>
      <c r="AN304" s="48" t="n">
        <v>36</v>
      </c>
      <c r="AO304" s="48" t="n">
        <v>67</v>
      </c>
      <c r="AP304" s="48" t="n">
        <v>67</v>
      </c>
      <c r="AQ304" s="48" t="n">
        <v>38</v>
      </c>
      <c r="AR304" s="48" t="n">
        <v>88</v>
      </c>
      <c r="AS304" s="48" t="n">
        <v>55</v>
      </c>
      <c r="AT304" s="48" t="n">
        <v>65</v>
      </c>
      <c r="AU304" s="48" t="n">
        <v>37</v>
      </c>
      <c r="AV304" s="48" t="n">
        <v>44</v>
      </c>
      <c r="AW304" s="48" t="n">
        <v>16</v>
      </c>
      <c r="AX304" s="48" t="n">
        <v>46</v>
      </c>
      <c r="AY304" s="48" t="n">
        <v>49</v>
      </c>
      <c r="AZ304" s="48" t="n">
        <v>23</v>
      </c>
      <c r="BA304" s="48" t="n">
        <v>47</v>
      </c>
      <c r="BB304" s="48" t="n">
        <v>122</v>
      </c>
      <c r="BC304" s="48" t="n">
        <v>33</v>
      </c>
      <c r="BD304" s="48" t="n">
        <v>134</v>
      </c>
      <c r="BE304" s="48" t="n">
        <v>30</v>
      </c>
      <c r="BF304" s="48" t="n">
        <v>37</v>
      </c>
      <c r="BG304" s="49" t="n">
        <v>2.95</v>
      </c>
    </row>
    <row r="305" customFormat="false" ht="15" hidden="false" customHeight="false" outlineLevel="0" collapsed="false">
      <c r="A305" s="43" t="s">
        <v>846</v>
      </c>
      <c r="B305" s="43" t="s">
        <v>847</v>
      </c>
      <c r="C305" s="44" t="str">
        <f aca="false">IF(A305="","",IFERROR(INDEX(Assumptions!$B$41:$B$55,MATCH(TRUE(),INDEX(ISNUMBER(SEARCH(" "&amp;Assumptions!$A$41:$A$55&amp;" "," "&amp;SUBSTITUTE(SUBSTITUTE(SUBSTITUTE(SUBSTITUTE(B305,"-"," "),","," "),"/"," "),"."," ")&amp;" ")),0),0)),"Other"))</f>
        <v>Other</v>
      </c>
      <c r="D305" s="45" t="n">
        <f aca="false">IF(A305="","",BG305*(1-Assumptions!$B$18))</f>
        <v>1.26</v>
      </c>
      <c r="E305" s="46" t="n">
        <f aca="false">IF(A305="","",INDEX(Assumptions!$B$23:$B$26,MOD(VALUE(LEFT(A305,5)),4)+1))</f>
        <v>2</v>
      </c>
      <c r="F305" s="47" t="n">
        <v>910</v>
      </c>
      <c r="G305" s="48" t="n">
        <v>164</v>
      </c>
      <c r="H305" s="48" t="n">
        <v>63</v>
      </c>
      <c r="I305" s="48" t="n">
        <v>14</v>
      </c>
      <c r="J305" s="48" t="n">
        <v>0</v>
      </c>
      <c r="K305" s="48" t="n">
        <v>17</v>
      </c>
      <c r="L305" s="48" t="n">
        <v>77</v>
      </c>
      <c r="M305" s="48" t="n">
        <v>69</v>
      </c>
      <c r="N305" s="48" t="n">
        <v>25</v>
      </c>
      <c r="O305" s="48" t="n">
        <v>33</v>
      </c>
      <c r="P305" s="48" t="n">
        <v>35</v>
      </c>
      <c r="Q305" s="48" t="n">
        <v>135</v>
      </c>
      <c r="R305" s="48" t="n">
        <v>30</v>
      </c>
      <c r="S305" s="48" t="n">
        <v>61</v>
      </c>
      <c r="T305" s="48" t="n">
        <v>34</v>
      </c>
      <c r="U305" s="48" t="n">
        <v>36</v>
      </c>
      <c r="V305" s="48" t="n">
        <v>47</v>
      </c>
      <c r="W305" s="48" t="n">
        <v>44</v>
      </c>
      <c r="X305" s="48" t="n">
        <v>187</v>
      </c>
      <c r="Y305" s="48" t="n">
        <v>40</v>
      </c>
      <c r="Z305" s="48" t="n">
        <v>25</v>
      </c>
      <c r="AA305" s="48" t="n">
        <v>31</v>
      </c>
      <c r="AB305" s="48" t="n">
        <v>35</v>
      </c>
      <c r="AC305" s="48" t="n">
        <v>107</v>
      </c>
      <c r="AD305" s="48" t="n">
        <v>74</v>
      </c>
      <c r="AE305" s="48" t="n">
        <v>33</v>
      </c>
      <c r="AF305" s="48" t="n">
        <v>22</v>
      </c>
      <c r="AG305" s="48" t="n">
        <v>36</v>
      </c>
      <c r="AH305" s="48" t="n">
        <v>173</v>
      </c>
      <c r="AI305" s="48" t="n">
        <v>39</v>
      </c>
      <c r="AJ305" s="48" t="n">
        <v>129</v>
      </c>
      <c r="AK305" s="48" t="n">
        <v>28</v>
      </c>
      <c r="AL305" s="48" t="n">
        <v>40</v>
      </c>
      <c r="AM305" s="48" t="n">
        <v>34</v>
      </c>
      <c r="AN305" s="48" t="n">
        <v>39</v>
      </c>
      <c r="AO305" s="48" t="n">
        <v>47</v>
      </c>
      <c r="AP305" s="48" t="n">
        <v>32</v>
      </c>
      <c r="AQ305" s="48" t="n">
        <v>156</v>
      </c>
      <c r="AR305" s="48" t="n">
        <v>42</v>
      </c>
      <c r="AS305" s="48" t="n">
        <v>58</v>
      </c>
      <c r="AT305" s="48" t="n">
        <v>83</v>
      </c>
      <c r="AU305" s="48" t="n">
        <v>23</v>
      </c>
      <c r="AV305" s="48" t="n">
        <v>87</v>
      </c>
      <c r="AW305" s="48" t="n">
        <v>48</v>
      </c>
      <c r="AX305" s="48" t="n">
        <v>205</v>
      </c>
      <c r="AY305" s="48" t="n">
        <v>20</v>
      </c>
      <c r="AZ305" s="48" t="n">
        <v>456</v>
      </c>
      <c r="BA305" s="48" t="n">
        <v>35</v>
      </c>
      <c r="BB305" s="48" t="n">
        <v>27</v>
      </c>
      <c r="BC305" s="48" t="n">
        <v>68</v>
      </c>
      <c r="BD305" s="48" t="n">
        <v>51</v>
      </c>
      <c r="BE305" s="48" t="n">
        <v>48</v>
      </c>
      <c r="BF305" s="48" t="n">
        <v>200</v>
      </c>
      <c r="BG305" s="49" t="n">
        <v>2.1</v>
      </c>
    </row>
    <row r="306" customFormat="false" ht="15" hidden="false" customHeight="false" outlineLevel="0" collapsed="false">
      <c r="A306" s="43" t="s">
        <v>848</v>
      </c>
      <c r="B306" s="43" t="s">
        <v>849</v>
      </c>
      <c r="C306" s="44" t="str">
        <f aca="false">IF(A306="","",IFERROR(INDEX(Assumptions!$B$41:$B$55,MATCH(TRUE(),INDEX(ISNUMBER(SEARCH(" "&amp;Assumptions!$A$41:$A$55&amp;" "," "&amp;SUBSTITUTE(SUBSTITUTE(SUBSTITUTE(SUBSTITUTE(B306,"-"," "),","," "),"/"," "),"."," ")&amp;" ")),0),0)),"Other"))</f>
        <v>Other</v>
      </c>
      <c r="D306" s="45" t="n">
        <f aca="false">IF(A306="","",BG306*(1-Assumptions!$B$18))</f>
        <v>0.75</v>
      </c>
      <c r="E306" s="46" t="n">
        <f aca="false">IF(A306="","",INDEX(Assumptions!$B$23:$B$26,MOD(VALUE(LEFT(A306,5)),4)+1))</f>
        <v>2</v>
      </c>
      <c r="F306" s="47" t="n">
        <v>1156</v>
      </c>
      <c r="G306" s="48" t="n">
        <v>11</v>
      </c>
      <c r="H306" s="48" t="n">
        <v>56</v>
      </c>
      <c r="I306" s="48" t="n">
        <v>19</v>
      </c>
      <c r="J306" s="48" t="n">
        <v>0</v>
      </c>
      <c r="K306" s="48" t="n">
        <v>175</v>
      </c>
      <c r="L306" s="48" t="n">
        <v>81</v>
      </c>
      <c r="M306" s="48" t="n">
        <v>207</v>
      </c>
      <c r="N306" s="48" t="n">
        <v>97</v>
      </c>
      <c r="O306" s="48" t="n">
        <v>36</v>
      </c>
      <c r="P306" s="48" t="n">
        <v>83</v>
      </c>
      <c r="Q306" s="48" t="n">
        <v>288</v>
      </c>
      <c r="R306" s="48" t="n">
        <v>92</v>
      </c>
      <c r="S306" s="48" t="n">
        <v>182</v>
      </c>
      <c r="T306" s="48" t="n">
        <v>159</v>
      </c>
      <c r="U306" s="48" t="n">
        <v>153</v>
      </c>
      <c r="V306" s="48" t="n">
        <v>69</v>
      </c>
      <c r="W306" s="48" t="n">
        <v>66</v>
      </c>
      <c r="X306" s="48" t="n">
        <v>43</v>
      </c>
      <c r="Y306" s="48" t="n">
        <v>104</v>
      </c>
      <c r="Z306" s="48" t="n">
        <v>48</v>
      </c>
      <c r="AA306" s="48" t="n">
        <v>84</v>
      </c>
      <c r="AB306" s="48" t="n">
        <v>43</v>
      </c>
      <c r="AC306" s="48" t="n">
        <v>178</v>
      </c>
      <c r="AD306" s="48" t="n">
        <v>112</v>
      </c>
      <c r="AE306" s="48" t="n">
        <v>102</v>
      </c>
      <c r="AF306" s="48" t="n">
        <v>115</v>
      </c>
      <c r="AG306" s="48" t="n">
        <v>107</v>
      </c>
      <c r="AH306" s="48" t="n">
        <v>322</v>
      </c>
      <c r="AI306" s="48" t="n">
        <v>92</v>
      </c>
      <c r="AJ306" s="48" t="n">
        <v>146</v>
      </c>
      <c r="AK306" s="48" t="n">
        <v>35</v>
      </c>
      <c r="AL306" s="48" t="n">
        <v>156</v>
      </c>
      <c r="AM306" s="48" t="n">
        <v>53</v>
      </c>
      <c r="AN306" s="48" t="n">
        <v>40</v>
      </c>
      <c r="AO306" s="48" t="n">
        <v>77</v>
      </c>
      <c r="AP306" s="48" t="n">
        <v>96</v>
      </c>
      <c r="AQ306" s="48" t="n">
        <v>88</v>
      </c>
      <c r="AR306" s="48" t="n">
        <v>162</v>
      </c>
      <c r="AS306" s="48" t="n">
        <v>110</v>
      </c>
      <c r="AT306" s="48" t="n">
        <v>257</v>
      </c>
      <c r="AU306" s="48" t="n">
        <v>116</v>
      </c>
      <c r="AV306" s="48" t="n">
        <v>110</v>
      </c>
      <c r="AW306" s="48" t="n">
        <v>66</v>
      </c>
      <c r="AX306" s="48" t="n">
        <v>109</v>
      </c>
      <c r="AY306" s="48" t="n">
        <v>115</v>
      </c>
      <c r="AZ306" s="48" t="n">
        <v>35</v>
      </c>
      <c r="BA306" s="48" t="n">
        <v>108</v>
      </c>
      <c r="BB306" s="48" t="n">
        <v>180</v>
      </c>
      <c r="BC306" s="48" t="n">
        <v>153</v>
      </c>
      <c r="BD306" s="48" t="n">
        <v>47</v>
      </c>
      <c r="BE306" s="48" t="n">
        <v>34</v>
      </c>
      <c r="BF306" s="48" t="n">
        <v>50</v>
      </c>
      <c r="BG306" s="49" t="n">
        <v>1.25</v>
      </c>
    </row>
    <row r="307" customFormat="false" ht="15" hidden="false" customHeight="false" outlineLevel="0" collapsed="false">
      <c r="A307" s="43" t="s">
        <v>850</v>
      </c>
      <c r="B307" s="43" t="s">
        <v>851</v>
      </c>
      <c r="C307" s="44" t="str">
        <f aca="false">IF(A307="","",IFERROR(INDEX(Assumptions!$B$41:$B$55,MATCH(TRUE(),INDEX(ISNUMBER(SEARCH(" "&amp;Assumptions!$A$41:$A$55&amp;" "," "&amp;SUBSTITUTE(SUBSTITUTE(SUBSTITUTE(SUBSTITUTE(B307,"-"," "),","," "),"/"," "),"."," ")&amp;" ")),0),0)),"Other"))</f>
        <v>Bags</v>
      </c>
      <c r="D307" s="45" t="n">
        <f aca="false">IF(A307="","",BG307*(1-Assumptions!$B$18))</f>
        <v>0.51</v>
      </c>
      <c r="E307" s="46" t="n">
        <f aca="false">IF(A307="","",INDEX(Assumptions!$B$23:$B$26,MOD(VALUE(LEFT(A307,5)),4)+1))</f>
        <v>2</v>
      </c>
      <c r="F307" s="47" t="n">
        <v>592</v>
      </c>
      <c r="G307" s="48" t="n">
        <v>0</v>
      </c>
      <c r="H307" s="48" t="n">
        <v>0</v>
      </c>
      <c r="I307" s="48" t="n">
        <v>0</v>
      </c>
      <c r="J307" s="48" t="n">
        <v>0</v>
      </c>
      <c r="K307" s="48" t="n">
        <v>0</v>
      </c>
      <c r="L307" s="48" t="n">
        <v>0</v>
      </c>
      <c r="M307" s="48" t="n">
        <v>0</v>
      </c>
      <c r="N307" s="48" t="n">
        <v>0</v>
      </c>
      <c r="O307" s="48" t="n">
        <v>0</v>
      </c>
      <c r="P307" s="48" t="n">
        <v>0</v>
      </c>
      <c r="Q307" s="48" t="n">
        <v>0</v>
      </c>
      <c r="R307" s="48" t="n">
        <v>0</v>
      </c>
      <c r="S307" s="48" t="n">
        <v>0</v>
      </c>
      <c r="T307" s="48" t="n">
        <v>0</v>
      </c>
      <c r="U307" s="48" t="n">
        <v>0</v>
      </c>
      <c r="V307" s="48" t="n">
        <v>0</v>
      </c>
      <c r="W307" s="48" t="n">
        <v>0</v>
      </c>
      <c r="X307" s="48" t="n">
        <v>0</v>
      </c>
      <c r="Y307" s="48" t="n">
        <v>283</v>
      </c>
      <c r="Z307" s="48" t="n">
        <v>246</v>
      </c>
      <c r="AA307" s="48" t="n">
        <v>206</v>
      </c>
      <c r="AB307" s="48" t="n">
        <v>197</v>
      </c>
      <c r="AC307" s="48" t="n">
        <v>444</v>
      </c>
      <c r="AD307" s="48" t="n">
        <v>209</v>
      </c>
      <c r="AE307" s="48" t="n">
        <v>534</v>
      </c>
      <c r="AF307" s="48" t="n">
        <v>242</v>
      </c>
      <c r="AG307" s="48" t="n">
        <v>266</v>
      </c>
      <c r="AH307" s="48" t="n">
        <v>176</v>
      </c>
      <c r="AI307" s="48" t="n">
        <v>245</v>
      </c>
      <c r="AJ307" s="48" t="n">
        <v>466</v>
      </c>
      <c r="AK307" s="48" t="n">
        <v>154</v>
      </c>
      <c r="AL307" s="48" t="n">
        <v>136</v>
      </c>
      <c r="AM307" s="48" t="n">
        <v>191</v>
      </c>
      <c r="AN307" s="48" t="n">
        <v>110</v>
      </c>
      <c r="AO307" s="48" t="n">
        <v>264</v>
      </c>
      <c r="AP307" s="48" t="n">
        <v>444</v>
      </c>
      <c r="AQ307" s="48" t="n">
        <v>98</v>
      </c>
      <c r="AR307" s="48" t="n">
        <v>165</v>
      </c>
      <c r="AS307" s="48" t="n">
        <v>93</v>
      </c>
      <c r="AT307" s="48" t="n">
        <v>122</v>
      </c>
      <c r="AU307" s="48" t="n">
        <v>129</v>
      </c>
      <c r="AV307" s="48" t="n">
        <v>135</v>
      </c>
      <c r="AW307" s="48" t="n">
        <v>75</v>
      </c>
      <c r="AX307" s="48" t="n">
        <v>260</v>
      </c>
      <c r="AY307" s="48" t="n">
        <v>184</v>
      </c>
      <c r="AZ307" s="48" t="n">
        <v>245</v>
      </c>
      <c r="BA307" s="48" t="n">
        <v>280</v>
      </c>
      <c r="BB307" s="48" t="n">
        <v>117</v>
      </c>
      <c r="BC307" s="48" t="n">
        <v>384</v>
      </c>
      <c r="BD307" s="48" t="n">
        <v>186</v>
      </c>
      <c r="BE307" s="48" t="n">
        <v>222</v>
      </c>
      <c r="BF307" s="48" t="n">
        <v>191</v>
      </c>
      <c r="BG307" s="49" t="n">
        <v>0.85</v>
      </c>
    </row>
    <row r="308" customFormat="false" ht="15" hidden="false" customHeight="false" outlineLevel="0" collapsed="false">
      <c r="A308" s="43" t="s">
        <v>852</v>
      </c>
      <c r="B308" s="43" t="s">
        <v>853</v>
      </c>
      <c r="C308" s="44" t="str">
        <f aca="false">IF(A308="","",IFERROR(INDEX(Assumptions!$B$41:$B$55,MATCH(TRUE(),INDEX(ISNUMBER(SEARCH(" "&amp;Assumptions!$A$41:$A$55&amp;" "," "&amp;SUBSTITUTE(SUBSTITUTE(SUBSTITUTE(SUBSTITUTE(B308,"-"," "),","," "),"/"," "),"."," ")&amp;" ")),0),0)),"Other"))</f>
        <v>Kitchen</v>
      </c>
      <c r="D308" s="45" t="n">
        <f aca="false">IF(A308="","",BG308*(1-Assumptions!$B$18))</f>
        <v>0.99</v>
      </c>
      <c r="E308" s="46" t="n">
        <f aca="false">IF(A308="","",INDEX(Assumptions!$B$23:$B$26,MOD(VALUE(LEFT(A308,5)),4)+1))</f>
        <v>4</v>
      </c>
      <c r="F308" s="47" t="n">
        <v>1301</v>
      </c>
      <c r="G308" s="48" t="n">
        <v>133</v>
      </c>
      <c r="H308" s="48" t="n">
        <v>82</v>
      </c>
      <c r="I308" s="48" t="n">
        <v>7</v>
      </c>
      <c r="J308" s="48" t="n">
        <v>0</v>
      </c>
      <c r="K308" s="48" t="n">
        <v>39</v>
      </c>
      <c r="L308" s="48" t="n">
        <v>354</v>
      </c>
      <c r="M308" s="48" t="n">
        <v>118</v>
      </c>
      <c r="N308" s="48" t="n">
        <v>73</v>
      </c>
      <c r="O308" s="48" t="n">
        <v>89</v>
      </c>
      <c r="P308" s="48" t="n">
        <v>37</v>
      </c>
      <c r="Q308" s="48" t="n">
        <v>19</v>
      </c>
      <c r="R308" s="48" t="n">
        <v>155</v>
      </c>
      <c r="S308" s="48" t="n">
        <v>129</v>
      </c>
      <c r="T308" s="48" t="n">
        <v>45</v>
      </c>
      <c r="U308" s="48" t="n">
        <v>28</v>
      </c>
      <c r="V308" s="48" t="n">
        <v>84</v>
      </c>
      <c r="W308" s="48" t="n">
        <v>208</v>
      </c>
      <c r="X308" s="48" t="n">
        <v>69</v>
      </c>
      <c r="Y308" s="48" t="n">
        <v>51</v>
      </c>
      <c r="Z308" s="48" t="n">
        <v>39</v>
      </c>
      <c r="AA308" s="48" t="n">
        <v>52</v>
      </c>
      <c r="AB308" s="48" t="n">
        <v>51</v>
      </c>
      <c r="AC308" s="48" t="n">
        <v>178</v>
      </c>
      <c r="AD308" s="48" t="n">
        <v>66</v>
      </c>
      <c r="AE308" s="48" t="n">
        <v>100</v>
      </c>
      <c r="AF308" s="48" t="n">
        <v>20</v>
      </c>
      <c r="AG308" s="48" t="n">
        <v>34</v>
      </c>
      <c r="AH308" s="48" t="n">
        <v>37</v>
      </c>
      <c r="AI308" s="48" t="n">
        <v>20</v>
      </c>
      <c r="AJ308" s="48" t="n">
        <v>5</v>
      </c>
      <c r="AK308" s="48" t="n">
        <v>63</v>
      </c>
      <c r="AL308" s="48" t="n">
        <v>50</v>
      </c>
      <c r="AM308" s="48" t="n">
        <v>56</v>
      </c>
      <c r="AN308" s="48" t="n">
        <v>20</v>
      </c>
      <c r="AO308" s="48" t="n">
        <v>64</v>
      </c>
      <c r="AP308" s="48" t="n">
        <v>107</v>
      </c>
      <c r="AQ308" s="48" t="n">
        <v>157</v>
      </c>
      <c r="AR308" s="48" t="n">
        <v>72</v>
      </c>
      <c r="AS308" s="48" t="n">
        <v>58</v>
      </c>
      <c r="AT308" s="48" t="n">
        <v>99</v>
      </c>
      <c r="AU308" s="48" t="n">
        <v>98</v>
      </c>
      <c r="AV308" s="48" t="n">
        <v>147</v>
      </c>
      <c r="AW308" s="48" t="n">
        <v>64</v>
      </c>
      <c r="AX308" s="48" t="n">
        <v>77</v>
      </c>
      <c r="AY308" s="48" t="n">
        <v>89</v>
      </c>
      <c r="AZ308" s="48" t="n">
        <v>168</v>
      </c>
      <c r="BA308" s="48" t="n">
        <v>111</v>
      </c>
      <c r="BB308" s="48" t="n">
        <v>157</v>
      </c>
      <c r="BC308" s="48" t="n">
        <v>87</v>
      </c>
      <c r="BD308" s="48" t="n">
        <v>83</v>
      </c>
      <c r="BE308" s="48" t="n">
        <v>242</v>
      </c>
      <c r="BF308" s="48" t="n">
        <v>119</v>
      </c>
      <c r="BG308" s="49" t="n">
        <v>1.65</v>
      </c>
    </row>
    <row r="309" customFormat="false" ht="15" hidden="false" customHeight="false" outlineLevel="0" collapsed="false">
      <c r="A309" s="43" t="s">
        <v>854</v>
      </c>
      <c r="B309" s="43" t="s">
        <v>855</v>
      </c>
      <c r="C309" s="44" t="str">
        <f aca="false">IF(A309="","",IFERROR(INDEX(Assumptions!$B$41:$B$55,MATCH(TRUE(),INDEX(ISNUMBER(SEARCH(" "&amp;Assumptions!$A$41:$A$55&amp;" "," "&amp;SUBSTITUTE(SUBSTITUTE(SUBSTITUTE(SUBSTITUTE(B309,"-"," "),","," "),"/"," "),"."," ")&amp;" ")),0),0)),"Other"))</f>
        <v>Other</v>
      </c>
      <c r="D309" s="45" t="n">
        <f aca="false">IF(A309="","",BG309*(1-Assumptions!$B$18))</f>
        <v>4.77</v>
      </c>
      <c r="E309" s="46" t="n">
        <f aca="false">IF(A309="","",INDEX(Assumptions!$B$23:$B$26,MOD(VALUE(LEFT(A309,5)),4)+1))</f>
        <v>8</v>
      </c>
      <c r="F309" s="47" t="n">
        <v>284</v>
      </c>
      <c r="G309" s="48" t="n">
        <v>32</v>
      </c>
      <c r="H309" s="48" t="n">
        <v>17</v>
      </c>
      <c r="I309" s="48" t="n">
        <v>22</v>
      </c>
      <c r="J309" s="48" t="n">
        <v>0</v>
      </c>
      <c r="K309" s="48" t="n">
        <v>3</v>
      </c>
      <c r="L309" s="48" t="n">
        <v>5</v>
      </c>
      <c r="M309" s="48" t="n">
        <v>10</v>
      </c>
      <c r="N309" s="48" t="n">
        <v>29</v>
      </c>
      <c r="O309" s="48" t="n">
        <v>25</v>
      </c>
      <c r="P309" s="48" t="n">
        <v>7</v>
      </c>
      <c r="Q309" s="48" t="n">
        <v>6</v>
      </c>
      <c r="R309" s="48" t="n">
        <v>39</v>
      </c>
      <c r="S309" s="48" t="n">
        <v>10</v>
      </c>
      <c r="T309" s="48" t="n">
        <v>21</v>
      </c>
      <c r="U309" s="48" t="n">
        <v>6</v>
      </c>
      <c r="V309" s="48" t="n">
        <v>6</v>
      </c>
      <c r="W309" s="48" t="n">
        <v>20</v>
      </c>
      <c r="X309" s="48" t="n">
        <v>14</v>
      </c>
      <c r="Y309" s="48" t="n">
        <v>17</v>
      </c>
      <c r="Z309" s="48" t="n">
        <v>0</v>
      </c>
      <c r="AA309" s="48" t="n">
        <v>2</v>
      </c>
      <c r="AB309" s="48" t="n">
        <v>13</v>
      </c>
      <c r="AC309" s="48" t="n">
        <v>24</v>
      </c>
      <c r="AD309" s="48" t="n">
        <v>0</v>
      </c>
      <c r="AE309" s="48" t="n">
        <v>5</v>
      </c>
      <c r="AF309" s="48" t="n">
        <v>7</v>
      </c>
      <c r="AG309" s="48" t="n">
        <v>13</v>
      </c>
      <c r="AH309" s="48" t="n">
        <v>5</v>
      </c>
      <c r="AI309" s="48" t="n">
        <v>6</v>
      </c>
      <c r="AJ309" s="48" t="n">
        <v>3</v>
      </c>
      <c r="AK309" s="48" t="n">
        <v>12</v>
      </c>
      <c r="AL309" s="48" t="n">
        <v>39</v>
      </c>
      <c r="AM309" s="48" t="n">
        <v>2</v>
      </c>
      <c r="AN309" s="48" t="n">
        <v>16</v>
      </c>
      <c r="AO309" s="48" t="n">
        <v>5</v>
      </c>
      <c r="AP309" s="48" t="n">
        <v>17</v>
      </c>
      <c r="AQ309" s="48" t="n">
        <v>22</v>
      </c>
      <c r="AR309" s="48" t="n">
        <v>7</v>
      </c>
      <c r="AS309" s="48" t="n">
        <v>2</v>
      </c>
      <c r="AT309" s="48" t="n">
        <v>2</v>
      </c>
      <c r="AU309" s="48" t="n">
        <v>523</v>
      </c>
      <c r="AV309" s="48" t="n">
        <v>1</v>
      </c>
      <c r="AW309" s="48" t="n">
        <v>7</v>
      </c>
      <c r="AX309" s="48" t="n">
        <v>17</v>
      </c>
      <c r="AY309" s="48" t="n">
        <v>10</v>
      </c>
      <c r="AZ309" s="48" t="n">
        <v>2</v>
      </c>
      <c r="BA309" s="48" t="n">
        <v>12</v>
      </c>
      <c r="BB309" s="48" t="n">
        <v>15</v>
      </c>
      <c r="BC309" s="48" t="n">
        <v>21</v>
      </c>
      <c r="BD309" s="48" t="n">
        <v>11</v>
      </c>
      <c r="BE309" s="48" t="n">
        <v>15</v>
      </c>
      <c r="BF309" s="48" t="n">
        <v>11</v>
      </c>
      <c r="BG309" s="49" t="n">
        <v>7.95</v>
      </c>
    </row>
    <row r="310" customFormat="false" ht="15" hidden="false" customHeight="false" outlineLevel="0" collapsed="false">
      <c r="A310" s="43" t="s">
        <v>856</v>
      </c>
      <c r="B310" s="43" t="s">
        <v>857</v>
      </c>
      <c r="C310" s="44" t="str">
        <f aca="false">IF(A310="","",IFERROR(INDEX(Assumptions!$B$41:$B$55,MATCH(TRUE(),INDEX(ISNUMBER(SEARCH(" "&amp;Assumptions!$A$41:$A$55&amp;" "," "&amp;SUBSTITUTE(SUBSTITUTE(SUBSTITUTE(SUBSTITUTE(B310,"-"," "),","," "),"/"," "),"."," ")&amp;" ")),0),0)),"Other"))</f>
        <v>Other</v>
      </c>
      <c r="D310" s="45" t="n">
        <f aca="false">IF(A310="","",BG310*(1-Assumptions!$B$18))</f>
        <v>4.77</v>
      </c>
      <c r="E310" s="46" t="n">
        <f aca="false">IF(A310="","",INDEX(Assumptions!$B$23:$B$26,MOD(VALUE(LEFT(A310,5)),4)+1))</f>
        <v>8</v>
      </c>
      <c r="F310" s="47" t="n">
        <v>810</v>
      </c>
      <c r="G310" s="48" t="n">
        <v>10</v>
      </c>
      <c r="H310" s="48" t="n">
        <v>27</v>
      </c>
      <c r="I310" s="48" t="n">
        <v>8</v>
      </c>
      <c r="J310" s="48" t="n">
        <v>0</v>
      </c>
      <c r="K310" s="48" t="n">
        <v>15</v>
      </c>
      <c r="L310" s="48" t="n">
        <v>16</v>
      </c>
      <c r="M310" s="48" t="n">
        <v>15</v>
      </c>
      <c r="N310" s="48" t="n">
        <v>21</v>
      </c>
      <c r="O310" s="48" t="n">
        <v>28</v>
      </c>
      <c r="P310" s="48" t="n">
        <v>7</v>
      </c>
      <c r="Q310" s="48" t="n">
        <v>20</v>
      </c>
      <c r="R310" s="48" t="n">
        <v>8</v>
      </c>
      <c r="S310" s="48" t="n">
        <v>17</v>
      </c>
      <c r="T310" s="48" t="n">
        <v>26</v>
      </c>
      <c r="U310" s="48" t="n">
        <v>7</v>
      </c>
      <c r="V310" s="48" t="n">
        <v>1</v>
      </c>
      <c r="W310" s="48" t="n">
        <v>7</v>
      </c>
      <c r="X310" s="48" t="n">
        <v>7</v>
      </c>
      <c r="Y310" s="48" t="n">
        <v>18</v>
      </c>
      <c r="Z310" s="48" t="n">
        <v>19</v>
      </c>
      <c r="AA310" s="48" t="n">
        <v>1</v>
      </c>
      <c r="AB310" s="48" t="n">
        <v>20</v>
      </c>
      <c r="AC310" s="48" t="n">
        <v>13</v>
      </c>
      <c r="AD310" s="48" t="n">
        <v>103</v>
      </c>
      <c r="AE310" s="48" t="n">
        <v>2</v>
      </c>
      <c r="AF310" s="48" t="n">
        <v>2</v>
      </c>
      <c r="AG310" s="48" t="n">
        <v>511</v>
      </c>
      <c r="AH310" s="48" t="n">
        <v>6</v>
      </c>
      <c r="AI310" s="48" t="n">
        <v>9</v>
      </c>
      <c r="AJ310" s="48" t="n">
        <v>0</v>
      </c>
      <c r="AK310" s="48" t="n">
        <v>25</v>
      </c>
      <c r="AL310" s="48" t="n">
        <v>0</v>
      </c>
      <c r="AM310" s="48" t="n">
        <v>16</v>
      </c>
      <c r="AN310" s="48" t="n">
        <v>3</v>
      </c>
      <c r="AO310" s="48" t="n">
        <v>2</v>
      </c>
      <c r="AP310" s="48" t="n">
        <v>4</v>
      </c>
      <c r="AQ310" s="48" t="n">
        <v>20</v>
      </c>
      <c r="AR310" s="48" t="n">
        <v>11</v>
      </c>
      <c r="AS310" s="48" t="n">
        <v>11</v>
      </c>
      <c r="AT310" s="48" t="n">
        <v>1</v>
      </c>
      <c r="AU310" s="48" t="n">
        <v>103</v>
      </c>
      <c r="AV310" s="48" t="n">
        <v>1</v>
      </c>
      <c r="AW310" s="48" t="n">
        <v>4</v>
      </c>
      <c r="AX310" s="48" t="n">
        <v>13</v>
      </c>
      <c r="AY310" s="48" t="n">
        <v>10</v>
      </c>
      <c r="AZ310" s="48" t="n">
        <v>3</v>
      </c>
      <c r="BA310" s="48" t="n">
        <v>2</v>
      </c>
      <c r="BB310" s="48" t="n">
        <v>5</v>
      </c>
      <c r="BC310" s="48" t="n">
        <v>4</v>
      </c>
      <c r="BD310" s="48" t="n">
        <v>2</v>
      </c>
      <c r="BE310" s="48" t="n">
        <v>18</v>
      </c>
      <c r="BF310" s="48" t="n">
        <v>2</v>
      </c>
      <c r="BG310" s="49" t="n">
        <v>7.95</v>
      </c>
    </row>
    <row r="311" customFormat="false" ht="15" hidden="false" customHeight="false" outlineLevel="0" collapsed="false">
      <c r="A311" s="43" t="s">
        <v>858</v>
      </c>
      <c r="B311" s="43" t="s">
        <v>859</v>
      </c>
      <c r="C311" s="44" t="str">
        <f aca="false">IF(A311="","",IFERROR(INDEX(Assumptions!$B$41:$B$55,MATCH(TRUE(),INDEX(ISNUMBER(SEARCH(" "&amp;Assumptions!$A$41:$A$55&amp;" "," "&amp;SUBSTITUTE(SUBSTITUTE(SUBSTITUTE(SUBSTITUTE(B311,"-"," "),","," "),"/"," "),"."," ")&amp;" ")),0),0)),"Other"))</f>
        <v>Other</v>
      </c>
      <c r="D311" s="45" t="n">
        <f aca="false">IF(A311="","",BG311*(1-Assumptions!$B$18))</f>
        <v>0.51</v>
      </c>
      <c r="E311" s="46" t="n">
        <f aca="false">IF(A311="","",INDEX(Assumptions!$B$23:$B$26,MOD(VALUE(LEFT(A311,5)),4)+1))</f>
        <v>4</v>
      </c>
      <c r="F311" s="47" t="n">
        <v>5184</v>
      </c>
      <c r="G311" s="48" t="n">
        <v>275</v>
      </c>
      <c r="H311" s="48" t="n">
        <v>282</v>
      </c>
      <c r="I311" s="48" t="n">
        <v>20</v>
      </c>
      <c r="J311" s="48" t="n">
        <v>0</v>
      </c>
      <c r="K311" s="48" t="n">
        <v>8</v>
      </c>
      <c r="L311" s="48" t="n">
        <v>12</v>
      </c>
      <c r="M311" s="48" t="n">
        <v>2</v>
      </c>
      <c r="N311" s="48" t="n">
        <v>1</v>
      </c>
      <c r="O311" s="48" t="n">
        <v>1</v>
      </c>
      <c r="P311" s="48" t="n">
        <v>0</v>
      </c>
      <c r="Q311" s="48" t="n">
        <v>0</v>
      </c>
      <c r="R311" s="48" t="n">
        <v>1</v>
      </c>
      <c r="S311" s="48" t="n">
        <v>0</v>
      </c>
      <c r="T311" s="48" t="n">
        <v>1</v>
      </c>
      <c r="U311" s="48" t="n">
        <v>0</v>
      </c>
      <c r="V311" s="48" t="n">
        <v>0</v>
      </c>
      <c r="W311" s="48" t="n">
        <v>0</v>
      </c>
      <c r="X311" s="48" t="n">
        <v>12</v>
      </c>
      <c r="Y311" s="48" t="n">
        <v>0</v>
      </c>
      <c r="Z311" s="48" t="n">
        <v>1</v>
      </c>
      <c r="AA311" s="48" t="n">
        <v>0</v>
      </c>
      <c r="AB311" s="48" t="n">
        <v>0</v>
      </c>
      <c r="AC311" s="48" t="n">
        <v>0</v>
      </c>
      <c r="AD311" s="48" t="n">
        <v>0</v>
      </c>
      <c r="AE311" s="48" t="n">
        <v>0</v>
      </c>
      <c r="AF311" s="48" t="n">
        <v>2</v>
      </c>
      <c r="AG311" s="48" t="n">
        <v>13</v>
      </c>
      <c r="AH311" s="48" t="n">
        <v>1</v>
      </c>
      <c r="AI311" s="48" t="n">
        <v>1</v>
      </c>
      <c r="AJ311" s="48" t="n">
        <v>1</v>
      </c>
      <c r="AK311" s="48" t="n">
        <v>104</v>
      </c>
      <c r="AL311" s="48" t="n">
        <v>38</v>
      </c>
      <c r="AM311" s="48" t="n">
        <v>19</v>
      </c>
      <c r="AN311" s="48" t="n">
        <v>347</v>
      </c>
      <c r="AO311" s="48" t="n">
        <v>205</v>
      </c>
      <c r="AP311" s="48" t="n">
        <v>12</v>
      </c>
      <c r="AQ311" s="48" t="n">
        <v>324</v>
      </c>
      <c r="AR311" s="48" t="n">
        <v>57</v>
      </c>
      <c r="AS311" s="48" t="n">
        <v>209</v>
      </c>
      <c r="AT311" s="48" t="n">
        <v>221</v>
      </c>
      <c r="AU311" s="48" t="n">
        <v>929</v>
      </c>
      <c r="AV311" s="48" t="n">
        <v>517</v>
      </c>
      <c r="AW311" s="48" t="n">
        <v>309</v>
      </c>
      <c r="AX311" s="48" t="n">
        <v>354</v>
      </c>
      <c r="AY311" s="48" t="n">
        <v>320</v>
      </c>
      <c r="AZ311" s="48" t="n">
        <v>483</v>
      </c>
      <c r="BA311" s="48" t="n">
        <v>430</v>
      </c>
      <c r="BB311" s="48" t="n">
        <v>377</v>
      </c>
      <c r="BC311" s="48" t="n">
        <v>951</v>
      </c>
      <c r="BD311" s="48" t="n">
        <v>714</v>
      </c>
      <c r="BE311" s="48" t="n">
        <v>269</v>
      </c>
      <c r="BF311" s="48" t="n">
        <v>345</v>
      </c>
      <c r="BG311" s="49" t="n">
        <v>0.85</v>
      </c>
    </row>
    <row r="312" customFormat="false" ht="15" hidden="false" customHeight="false" outlineLevel="0" collapsed="false">
      <c r="A312" s="43" t="s">
        <v>860</v>
      </c>
      <c r="B312" s="43" t="s">
        <v>861</v>
      </c>
      <c r="C312" s="44" t="str">
        <f aca="false">IF(A312="","",IFERROR(INDEX(Assumptions!$B$41:$B$55,MATCH(TRUE(),INDEX(ISNUMBER(SEARCH(" "&amp;Assumptions!$A$41:$A$55&amp;" "," "&amp;SUBSTITUTE(SUBSTITUTE(SUBSTITUTE(SUBSTITUTE(B312,"-"," "),","," "),"/"," "),"."," ")&amp;" ")),0),0)),"Other"))</f>
        <v>Other</v>
      </c>
      <c r="D312" s="45" t="n">
        <f aca="false">IF(A312="","",BG312*(1-Assumptions!$B$18))</f>
        <v>0.75</v>
      </c>
      <c r="E312" s="46" t="n">
        <f aca="false">IF(A312="","",INDEX(Assumptions!$B$23:$B$26,MOD(VALUE(LEFT(A312,5)),4)+1))</f>
        <v>8</v>
      </c>
      <c r="F312" s="47" t="n">
        <v>337</v>
      </c>
      <c r="G312" s="48" t="n">
        <v>328</v>
      </c>
      <c r="H312" s="48" t="n">
        <v>241</v>
      </c>
      <c r="I312" s="48" t="n">
        <v>32</v>
      </c>
      <c r="J312" s="48" t="n">
        <v>0</v>
      </c>
      <c r="K312" s="48" t="n">
        <v>127</v>
      </c>
      <c r="L312" s="48" t="n">
        <v>49</v>
      </c>
      <c r="M312" s="48" t="n">
        <v>401</v>
      </c>
      <c r="N312" s="48" t="n">
        <v>58</v>
      </c>
      <c r="O312" s="48" t="n">
        <v>132</v>
      </c>
      <c r="P312" s="48" t="n">
        <v>44</v>
      </c>
      <c r="Q312" s="48" t="n">
        <v>110</v>
      </c>
      <c r="R312" s="48" t="n">
        <v>212</v>
      </c>
      <c r="S312" s="48" t="n">
        <v>95</v>
      </c>
      <c r="T312" s="48" t="n">
        <v>31</v>
      </c>
      <c r="U312" s="48" t="n">
        <v>74</v>
      </c>
      <c r="V312" s="48" t="n">
        <v>63</v>
      </c>
      <c r="W312" s="48" t="n">
        <v>101</v>
      </c>
      <c r="X312" s="48" t="n">
        <v>44</v>
      </c>
      <c r="Y312" s="48" t="n">
        <v>124</v>
      </c>
      <c r="Z312" s="48" t="n">
        <v>92</v>
      </c>
      <c r="AA312" s="48" t="n">
        <v>182</v>
      </c>
      <c r="AB312" s="48" t="n">
        <v>249</v>
      </c>
      <c r="AC312" s="48" t="n">
        <v>134</v>
      </c>
      <c r="AD312" s="48" t="n">
        <v>139</v>
      </c>
      <c r="AE312" s="48" t="n">
        <v>53</v>
      </c>
      <c r="AF312" s="48" t="n">
        <v>48</v>
      </c>
      <c r="AG312" s="48" t="n">
        <v>76</v>
      </c>
      <c r="AH312" s="48" t="n">
        <v>98</v>
      </c>
      <c r="AI312" s="48" t="n">
        <v>27</v>
      </c>
      <c r="AJ312" s="48" t="n">
        <v>86</v>
      </c>
      <c r="AK312" s="48" t="n">
        <v>27</v>
      </c>
      <c r="AL312" s="48" t="n">
        <v>69</v>
      </c>
      <c r="AM312" s="48" t="n">
        <v>38</v>
      </c>
      <c r="AN312" s="48" t="n">
        <v>36</v>
      </c>
      <c r="AO312" s="48" t="n">
        <v>75</v>
      </c>
      <c r="AP312" s="48" t="n">
        <v>225</v>
      </c>
      <c r="AQ312" s="48" t="n">
        <v>28</v>
      </c>
      <c r="AR312" s="48" t="n">
        <v>32</v>
      </c>
      <c r="AS312" s="48" t="n">
        <v>45</v>
      </c>
      <c r="AT312" s="48" t="n">
        <v>61</v>
      </c>
      <c r="AU312" s="48" t="n">
        <v>161</v>
      </c>
      <c r="AV312" s="48" t="n">
        <v>214</v>
      </c>
      <c r="AW312" s="48" t="n">
        <v>33</v>
      </c>
      <c r="AX312" s="48" t="n">
        <v>95</v>
      </c>
      <c r="AY312" s="48" t="n">
        <v>137</v>
      </c>
      <c r="AZ312" s="48" t="n">
        <v>182</v>
      </c>
      <c r="BA312" s="48" t="n">
        <v>153</v>
      </c>
      <c r="BB312" s="48" t="n">
        <v>155</v>
      </c>
      <c r="BC312" s="48" t="n">
        <v>103</v>
      </c>
      <c r="BD312" s="48" t="n">
        <v>98</v>
      </c>
      <c r="BE312" s="48" t="n">
        <v>239</v>
      </c>
      <c r="BF312" s="48" t="n">
        <v>190</v>
      </c>
      <c r="BG312" s="49" t="n">
        <v>1.25</v>
      </c>
    </row>
    <row r="313" customFormat="false" ht="15" hidden="false" customHeight="false" outlineLevel="0" collapsed="false">
      <c r="A313" s="43" t="s">
        <v>862</v>
      </c>
      <c r="B313" s="43" t="s">
        <v>863</v>
      </c>
      <c r="C313" s="44" t="str">
        <f aca="false">IF(A313="","",IFERROR(INDEX(Assumptions!$B$41:$B$55,MATCH(TRUE(),INDEX(ISNUMBER(SEARCH(" "&amp;Assumptions!$A$41:$A$55&amp;" "," "&amp;SUBSTITUTE(SUBSTITUTE(SUBSTITUTE(SUBSTITUTE(B313,"-"," "),","," "),"/"," "),"."," ")&amp;" ")),0),0)),"Other"))</f>
        <v>Other</v>
      </c>
      <c r="D313" s="45" t="n">
        <f aca="false">IF(A313="","",BG313*(1-Assumptions!$B$18))</f>
        <v>5.97</v>
      </c>
      <c r="E313" s="46" t="n">
        <f aca="false">IF(A313="","",INDEX(Assumptions!$B$23:$B$26,MOD(VALUE(LEFT(A313,5)),4)+1))</f>
        <v>2</v>
      </c>
      <c r="F313" s="47" t="n">
        <v>157</v>
      </c>
      <c r="G313" s="48" t="n">
        <v>34</v>
      </c>
      <c r="H313" s="48" t="n">
        <v>50</v>
      </c>
      <c r="I313" s="48" t="n">
        <v>1</v>
      </c>
      <c r="J313" s="48" t="n">
        <v>0</v>
      </c>
      <c r="K313" s="48" t="n">
        <v>9</v>
      </c>
      <c r="L313" s="48" t="n">
        <v>108</v>
      </c>
      <c r="M313" s="48" t="n">
        <v>32</v>
      </c>
      <c r="N313" s="48" t="n">
        <v>18</v>
      </c>
      <c r="O313" s="48" t="n">
        <v>7</v>
      </c>
      <c r="P313" s="48" t="n">
        <v>8</v>
      </c>
      <c r="Q313" s="48" t="n">
        <v>65</v>
      </c>
      <c r="R313" s="48" t="n">
        <v>26</v>
      </c>
      <c r="S313" s="48" t="n">
        <v>38</v>
      </c>
      <c r="T313" s="48" t="n">
        <v>22</v>
      </c>
      <c r="U313" s="48" t="n">
        <v>8</v>
      </c>
      <c r="V313" s="48" t="n">
        <v>10</v>
      </c>
      <c r="W313" s="48" t="n">
        <v>40</v>
      </c>
      <c r="X313" s="48" t="n">
        <v>11</v>
      </c>
      <c r="Y313" s="48" t="n">
        <v>10</v>
      </c>
      <c r="Z313" s="48" t="n">
        <v>8</v>
      </c>
      <c r="AA313" s="48" t="n">
        <v>1</v>
      </c>
      <c r="AB313" s="48" t="n">
        <v>19</v>
      </c>
      <c r="AC313" s="48" t="n">
        <v>8</v>
      </c>
      <c r="AD313" s="48" t="n">
        <v>110</v>
      </c>
      <c r="AE313" s="48" t="n">
        <v>11</v>
      </c>
      <c r="AF313" s="48" t="n">
        <v>6</v>
      </c>
      <c r="AG313" s="48" t="n">
        <v>1</v>
      </c>
      <c r="AH313" s="48" t="n">
        <v>4</v>
      </c>
      <c r="AI313" s="48" t="n">
        <v>1</v>
      </c>
      <c r="AJ313" s="48" t="n">
        <v>3</v>
      </c>
      <c r="AK313" s="48" t="n">
        <v>3</v>
      </c>
      <c r="AL313" s="48" t="n">
        <v>0</v>
      </c>
      <c r="AM313" s="48" t="n">
        <v>6</v>
      </c>
      <c r="AN313" s="48" t="n">
        <v>2</v>
      </c>
      <c r="AO313" s="48" t="n">
        <v>1</v>
      </c>
      <c r="AP313" s="48" t="n">
        <v>5</v>
      </c>
      <c r="AQ313" s="48" t="n">
        <v>0</v>
      </c>
      <c r="AR313" s="48" t="n">
        <v>0</v>
      </c>
      <c r="AS313" s="48" t="n">
        <v>0</v>
      </c>
      <c r="AT313" s="48" t="n">
        <v>3</v>
      </c>
      <c r="AU313" s="48" t="n">
        <v>3</v>
      </c>
      <c r="AV313" s="48" t="n">
        <v>0</v>
      </c>
      <c r="AW313" s="48" t="n">
        <v>0</v>
      </c>
      <c r="AX313" s="48" t="n">
        <v>8</v>
      </c>
      <c r="AY313" s="48" t="n">
        <v>0</v>
      </c>
      <c r="AZ313" s="48" t="n">
        <v>0</v>
      </c>
      <c r="BA313" s="48" t="n">
        <v>2</v>
      </c>
      <c r="BB313" s="48" t="n">
        <v>1</v>
      </c>
      <c r="BC313" s="48" t="n">
        <v>8</v>
      </c>
      <c r="BD313" s="48" t="n">
        <v>24</v>
      </c>
      <c r="BE313" s="48" t="n">
        <v>6</v>
      </c>
      <c r="BF313" s="48" t="n">
        <v>1</v>
      </c>
      <c r="BG313" s="49" t="n">
        <v>9.95</v>
      </c>
    </row>
    <row r="314" customFormat="false" ht="15" hidden="false" customHeight="false" outlineLevel="0" collapsed="false">
      <c r="A314" s="43" t="s">
        <v>864</v>
      </c>
      <c r="B314" s="43" t="s">
        <v>865</v>
      </c>
      <c r="C314" s="44" t="str">
        <f aca="false">IF(A314="","",IFERROR(INDEX(Assumptions!$B$41:$B$55,MATCH(TRUE(),INDEX(ISNUMBER(SEARCH(" "&amp;Assumptions!$A$41:$A$55&amp;" "," "&amp;SUBSTITUTE(SUBSTITUTE(SUBSTITUTE(SUBSTITUTE(B314,"-"," "),","," "),"/"," "),"."," ")&amp;" ")),0),0)),"Other"))</f>
        <v>Other</v>
      </c>
      <c r="D314" s="45" t="n">
        <f aca="false">IF(A314="","",BG314*(1-Assumptions!$B$18))</f>
        <v>2.55</v>
      </c>
      <c r="E314" s="46" t="n">
        <f aca="false">IF(A314="","",INDEX(Assumptions!$B$23:$B$26,MOD(VALUE(LEFT(A314,5)),4)+1))</f>
        <v>2</v>
      </c>
      <c r="F314" s="47" t="n">
        <v>275</v>
      </c>
      <c r="G314" s="48" t="n">
        <v>75</v>
      </c>
      <c r="H314" s="48" t="n">
        <v>15</v>
      </c>
      <c r="I314" s="48" t="n">
        <v>5</v>
      </c>
      <c r="J314" s="48" t="n">
        <v>0</v>
      </c>
      <c r="K314" s="48" t="n">
        <v>0</v>
      </c>
      <c r="L314" s="48" t="n">
        <v>1</v>
      </c>
      <c r="M314" s="48" t="n">
        <v>0</v>
      </c>
      <c r="N314" s="48" t="n">
        <v>0</v>
      </c>
      <c r="O314" s="48" t="n">
        <v>0</v>
      </c>
      <c r="P314" s="48" t="n">
        <v>0</v>
      </c>
      <c r="Q314" s="48" t="n">
        <v>2</v>
      </c>
      <c r="R314" s="48" t="n">
        <v>0</v>
      </c>
      <c r="S314" s="48" t="n">
        <v>1</v>
      </c>
      <c r="T314" s="48" t="n">
        <v>0</v>
      </c>
      <c r="U314" s="48" t="n">
        <v>1</v>
      </c>
      <c r="V314" s="48" t="n">
        <v>1</v>
      </c>
      <c r="W314" s="48" t="n">
        <v>4</v>
      </c>
      <c r="X314" s="48" t="n">
        <v>0</v>
      </c>
      <c r="Y314" s="48" t="n">
        <v>0</v>
      </c>
      <c r="Z314" s="48" t="n">
        <v>0</v>
      </c>
      <c r="AA314" s="48" t="n">
        <v>1</v>
      </c>
      <c r="AB314" s="48" t="n">
        <v>1</v>
      </c>
      <c r="AC314" s="48" t="n">
        <v>48</v>
      </c>
      <c r="AD314" s="48" t="n">
        <v>0</v>
      </c>
      <c r="AE314" s="48" t="n">
        <v>0</v>
      </c>
      <c r="AF314" s="48" t="n">
        <v>5</v>
      </c>
      <c r="AG314" s="48" t="n">
        <v>0</v>
      </c>
      <c r="AH314" s="48" t="n">
        <v>0</v>
      </c>
      <c r="AI314" s="48" t="n">
        <v>0</v>
      </c>
      <c r="AJ314" s="48" t="n">
        <v>7</v>
      </c>
      <c r="AK314" s="48" t="n">
        <v>1</v>
      </c>
      <c r="AL314" s="48" t="n">
        <v>1</v>
      </c>
      <c r="AM314" s="48" t="n">
        <v>0</v>
      </c>
      <c r="AN314" s="48" t="n">
        <v>49</v>
      </c>
      <c r="AO314" s="48" t="n">
        <v>48</v>
      </c>
      <c r="AP314" s="48" t="n">
        <v>0</v>
      </c>
      <c r="AQ314" s="48" t="n">
        <v>338</v>
      </c>
      <c r="AR314" s="48" t="n">
        <v>19</v>
      </c>
      <c r="AS314" s="48" t="n">
        <v>12</v>
      </c>
      <c r="AT314" s="48" t="n">
        <v>75</v>
      </c>
      <c r="AU314" s="48" t="n">
        <v>57</v>
      </c>
      <c r="AV314" s="48" t="n">
        <v>87</v>
      </c>
      <c r="AW314" s="48" t="n">
        <v>26</v>
      </c>
      <c r="AX314" s="48" t="n">
        <v>124</v>
      </c>
      <c r="AY314" s="48" t="n">
        <v>184</v>
      </c>
      <c r="AZ314" s="48" t="n">
        <v>49</v>
      </c>
      <c r="BA314" s="48" t="n">
        <v>82</v>
      </c>
      <c r="BB314" s="48" t="n">
        <v>124</v>
      </c>
      <c r="BC314" s="48" t="n">
        <v>108</v>
      </c>
      <c r="BD314" s="48" t="n">
        <v>92</v>
      </c>
      <c r="BE314" s="48" t="n">
        <v>52</v>
      </c>
      <c r="BF314" s="48" t="n">
        <v>92</v>
      </c>
      <c r="BG314" s="49" t="n">
        <v>4.25</v>
      </c>
    </row>
    <row r="315" customFormat="false" ht="15" hidden="false" customHeight="false" outlineLevel="0" collapsed="false">
      <c r="A315" s="43" t="s">
        <v>866</v>
      </c>
      <c r="B315" s="43" t="s">
        <v>867</v>
      </c>
      <c r="C315" s="44" t="str">
        <f aca="false">IF(A315="","",IFERROR(INDEX(Assumptions!$B$41:$B$55,MATCH(TRUE(),INDEX(ISNUMBER(SEARCH(" "&amp;Assumptions!$A$41:$A$55&amp;" "," "&amp;SUBSTITUTE(SUBSTITUTE(SUBSTITUTE(SUBSTITUTE(B315,"-"," "),","," "),"/"," "),"."," ")&amp;" ")),0),0)),"Other"))</f>
        <v>Other</v>
      </c>
      <c r="D315" s="45" t="n">
        <f aca="false">IF(A315="","",BG315*(1-Assumptions!$B$18))</f>
        <v>1.26</v>
      </c>
      <c r="E315" s="46" t="n">
        <f aca="false">IF(A315="","",INDEX(Assumptions!$B$23:$B$26,MOD(VALUE(LEFT(A315,5)),4)+1))</f>
        <v>4</v>
      </c>
      <c r="F315" s="47" t="n">
        <v>907</v>
      </c>
      <c r="G315" s="48" t="n">
        <v>128</v>
      </c>
      <c r="H315" s="48" t="n">
        <v>42</v>
      </c>
      <c r="I315" s="48" t="n">
        <v>8</v>
      </c>
      <c r="J315" s="48" t="n">
        <v>0</v>
      </c>
      <c r="K315" s="48" t="n">
        <v>14</v>
      </c>
      <c r="L315" s="48" t="n">
        <v>87</v>
      </c>
      <c r="M315" s="48" t="n">
        <v>42</v>
      </c>
      <c r="N315" s="48" t="n">
        <v>30</v>
      </c>
      <c r="O315" s="48" t="n">
        <v>150</v>
      </c>
      <c r="P315" s="48" t="n">
        <v>24</v>
      </c>
      <c r="Q315" s="48" t="n">
        <v>44</v>
      </c>
      <c r="R315" s="48" t="n">
        <v>129</v>
      </c>
      <c r="S315" s="48" t="n">
        <v>26</v>
      </c>
      <c r="T315" s="48" t="n">
        <v>14</v>
      </c>
      <c r="U315" s="48" t="n">
        <v>91</v>
      </c>
      <c r="V315" s="48" t="n">
        <v>26</v>
      </c>
      <c r="W315" s="48" t="n">
        <v>8</v>
      </c>
      <c r="X315" s="48" t="n">
        <v>189</v>
      </c>
      <c r="Y315" s="48" t="n">
        <v>26</v>
      </c>
      <c r="Z315" s="48" t="n">
        <v>48</v>
      </c>
      <c r="AA315" s="48" t="n">
        <v>60</v>
      </c>
      <c r="AB315" s="48" t="n">
        <v>21</v>
      </c>
      <c r="AC315" s="48" t="n">
        <v>53</v>
      </c>
      <c r="AD315" s="48" t="n">
        <v>86</v>
      </c>
      <c r="AE315" s="48" t="n">
        <v>223</v>
      </c>
      <c r="AF315" s="48" t="n">
        <v>81</v>
      </c>
      <c r="AG315" s="48" t="n">
        <v>46</v>
      </c>
      <c r="AH315" s="48" t="n">
        <v>80</v>
      </c>
      <c r="AI315" s="48" t="n">
        <v>47</v>
      </c>
      <c r="AJ315" s="48" t="n">
        <v>18</v>
      </c>
      <c r="AK315" s="48" t="n">
        <v>27</v>
      </c>
      <c r="AL315" s="48" t="n">
        <v>18</v>
      </c>
      <c r="AM315" s="48" t="n">
        <v>60</v>
      </c>
      <c r="AN315" s="48" t="n">
        <v>46</v>
      </c>
      <c r="AO315" s="48" t="n">
        <v>27</v>
      </c>
      <c r="AP315" s="48" t="n">
        <v>117</v>
      </c>
      <c r="AQ315" s="48" t="n">
        <v>16</v>
      </c>
      <c r="AR315" s="48" t="n">
        <v>50</v>
      </c>
      <c r="AS315" s="48" t="n">
        <v>11</v>
      </c>
      <c r="AT315" s="48" t="n">
        <v>40</v>
      </c>
      <c r="AU315" s="48" t="n">
        <v>36</v>
      </c>
      <c r="AV315" s="48" t="n">
        <v>133</v>
      </c>
      <c r="AW315" s="48" t="n">
        <v>47</v>
      </c>
      <c r="AX315" s="48" t="n">
        <v>531</v>
      </c>
      <c r="AY315" s="48" t="n">
        <v>79</v>
      </c>
      <c r="AZ315" s="48" t="n">
        <v>34</v>
      </c>
      <c r="BA315" s="48" t="n">
        <v>17</v>
      </c>
      <c r="BB315" s="48" t="n">
        <v>42</v>
      </c>
      <c r="BC315" s="48" t="n">
        <v>29</v>
      </c>
      <c r="BD315" s="48" t="n">
        <v>77</v>
      </c>
      <c r="BE315" s="48" t="n">
        <v>35</v>
      </c>
      <c r="BF315" s="48" t="n">
        <v>55</v>
      </c>
      <c r="BG315" s="49" t="n">
        <v>2.1</v>
      </c>
    </row>
    <row r="316" customFormat="false" ht="15" hidden="false" customHeight="false" outlineLevel="0" collapsed="false">
      <c r="A316" s="43" t="s">
        <v>868</v>
      </c>
      <c r="B316" s="43" t="s">
        <v>869</v>
      </c>
      <c r="C316" s="44" t="str">
        <f aca="false">IF(A316="","",IFERROR(INDEX(Assumptions!$B$41:$B$55,MATCH(TRUE(),INDEX(ISNUMBER(SEARCH(" "&amp;Assumptions!$A$41:$A$55&amp;" "," "&amp;SUBSTITUTE(SUBSTITUTE(SUBSTITUTE(SUBSTITUTE(B316,"-"," "),","," "),"/"," "),"."," ")&amp;" ")),0),0)),"Other"))</f>
        <v>Other</v>
      </c>
      <c r="D316" s="45" t="n">
        <f aca="false">IF(A316="","",BG316*(1-Assumptions!$B$18))</f>
        <v>0.75</v>
      </c>
      <c r="E316" s="46" t="n">
        <f aca="false">IF(A316="","",INDEX(Assumptions!$B$23:$B$26,MOD(VALUE(LEFT(A316,5)),4)+1))</f>
        <v>2</v>
      </c>
      <c r="F316" s="47" t="n">
        <v>3562</v>
      </c>
      <c r="G316" s="48" t="n">
        <v>126</v>
      </c>
      <c r="H316" s="48" t="n">
        <v>203</v>
      </c>
      <c r="I316" s="48" t="n">
        <v>98</v>
      </c>
      <c r="J316" s="48" t="n">
        <v>0</v>
      </c>
      <c r="K316" s="48" t="n">
        <v>45</v>
      </c>
      <c r="L316" s="48" t="n">
        <v>153</v>
      </c>
      <c r="M316" s="48" t="n">
        <v>18</v>
      </c>
      <c r="N316" s="48" t="n">
        <v>101</v>
      </c>
      <c r="O316" s="48" t="n">
        <v>41</v>
      </c>
      <c r="P316" s="48" t="n">
        <v>183</v>
      </c>
      <c r="Q316" s="48" t="n">
        <v>137</v>
      </c>
      <c r="R316" s="48" t="n">
        <v>68</v>
      </c>
      <c r="S316" s="48" t="n">
        <v>53</v>
      </c>
      <c r="T316" s="48" t="n">
        <v>84</v>
      </c>
      <c r="U316" s="48" t="n">
        <v>72</v>
      </c>
      <c r="V316" s="48" t="n">
        <v>53</v>
      </c>
      <c r="W316" s="48" t="n">
        <v>56</v>
      </c>
      <c r="X316" s="48" t="n">
        <v>132</v>
      </c>
      <c r="Y316" s="48" t="n">
        <v>72</v>
      </c>
      <c r="Z316" s="48" t="n">
        <v>40</v>
      </c>
      <c r="AA316" s="48" t="n">
        <v>72</v>
      </c>
      <c r="AB316" s="48" t="n">
        <v>113</v>
      </c>
      <c r="AC316" s="48" t="n">
        <v>122</v>
      </c>
      <c r="AD316" s="48" t="n">
        <v>86</v>
      </c>
      <c r="AE316" s="48" t="n">
        <v>79</v>
      </c>
      <c r="AF316" s="48" t="n">
        <v>58</v>
      </c>
      <c r="AG316" s="48" t="n">
        <v>47</v>
      </c>
      <c r="AH316" s="48" t="n">
        <v>170</v>
      </c>
      <c r="AI316" s="48" t="n">
        <v>65</v>
      </c>
      <c r="AJ316" s="48" t="n">
        <v>40</v>
      </c>
      <c r="AK316" s="48" t="n">
        <v>91</v>
      </c>
      <c r="AL316" s="48" t="n">
        <v>101</v>
      </c>
      <c r="AM316" s="48" t="n">
        <v>174</v>
      </c>
      <c r="AN316" s="48" t="n">
        <v>64</v>
      </c>
      <c r="AO316" s="48" t="n">
        <v>140</v>
      </c>
      <c r="AP316" s="48" t="n">
        <v>269</v>
      </c>
      <c r="AQ316" s="48" t="n">
        <v>7</v>
      </c>
      <c r="AR316" s="48" t="n">
        <v>103</v>
      </c>
      <c r="AS316" s="48" t="n">
        <v>98</v>
      </c>
      <c r="AT316" s="48" t="n">
        <v>175</v>
      </c>
      <c r="AU316" s="48" t="n">
        <v>49</v>
      </c>
      <c r="AV316" s="48" t="n">
        <v>150</v>
      </c>
      <c r="AW316" s="48" t="n">
        <v>83</v>
      </c>
      <c r="AX316" s="48" t="n">
        <v>409</v>
      </c>
      <c r="AY316" s="48" t="n">
        <v>135</v>
      </c>
      <c r="AZ316" s="48" t="n">
        <v>101</v>
      </c>
      <c r="BA316" s="48" t="n">
        <v>206</v>
      </c>
      <c r="BB316" s="48" t="n">
        <v>316</v>
      </c>
      <c r="BC316" s="48" t="n">
        <v>170</v>
      </c>
      <c r="BD316" s="48" t="n">
        <v>201</v>
      </c>
      <c r="BE316" s="48" t="n">
        <v>98</v>
      </c>
      <c r="BF316" s="48" t="n">
        <v>62</v>
      </c>
      <c r="BG316" s="49" t="n">
        <v>1.25</v>
      </c>
    </row>
    <row r="317" customFormat="false" ht="15" hidden="false" customHeight="false" outlineLevel="0" collapsed="false">
      <c r="A317" s="43" t="s">
        <v>870</v>
      </c>
      <c r="B317" s="43" t="s">
        <v>871</v>
      </c>
      <c r="C317" s="44" t="str">
        <f aca="false">IF(A317="","",IFERROR(INDEX(Assumptions!$B$41:$B$55,MATCH(TRUE(),INDEX(ISNUMBER(SEARCH(" "&amp;Assumptions!$A$41:$A$55&amp;" "," "&amp;SUBSTITUTE(SUBSTITUTE(SUBSTITUTE(SUBSTITUTE(B317,"-"," "),","," "),"/"," "),"."," ")&amp;" ")),0),0)),"Other"))</f>
        <v>Other</v>
      </c>
      <c r="D317" s="45" t="n">
        <f aca="false">IF(A317="","",BG317*(1-Assumptions!$B$18))</f>
        <v>4.95</v>
      </c>
      <c r="E317" s="46" t="n">
        <f aca="false">IF(A317="","",INDEX(Assumptions!$B$23:$B$26,MOD(VALUE(LEFT(A317,5)),4)+1))</f>
        <v>2</v>
      </c>
      <c r="F317" s="47" t="n">
        <v>65</v>
      </c>
      <c r="G317" s="48" t="n">
        <v>0</v>
      </c>
      <c r="H317" s="48" t="n">
        <v>0</v>
      </c>
      <c r="I317" s="48" t="n">
        <v>0</v>
      </c>
      <c r="J317" s="48" t="n">
        <v>0</v>
      </c>
      <c r="K317" s="48" t="n">
        <v>0</v>
      </c>
      <c r="L317" s="48" t="n">
        <v>0</v>
      </c>
      <c r="M317" s="48" t="n">
        <v>0</v>
      </c>
      <c r="N317" s="48" t="n">
        <v>0</v>
      </c>
      <c r="O317" s="48" t="n">
        <v>0</v>
      </c>
      <c r="P317" s="48" t="n">
        <v>0</v>
      </c>
      <c r="Q317" s="48" t="n">
        <v>0</v>
      </c>
      <c r="R317" s="48" t="n">
        <v>0</v>
      </c>
      <c r="S317" s="48" t="n">
        <v>0</v>
      </c>
      <c r="T317" s="48" t="n">
        <v>0</v>
      </c>
      <c r="U317" s="48" t="n">
        <v>0</v>
      </c>
      <c r="V317" s="48" t="n">
        <v>0</v>
      </c>
      <c r="W317" s="48" t="n">
        <v>0</v>
      </c>
      <c r="X317" s="48" t="n">
        <v>0</v>
      </c>
      <c r="Y317" s="48" t="n">
        <v>0</v>
      </c>
      <c r="Z317" s="48" t="n">
        <v>0</v>
      </c>
      <c r="AA317" s="48" t="n">
        <v>0</v>
      </c>
      <c r="AB317" s="48" t="n">
        <v>0</v>
      </c>
      <c r="AC317" s="48" t="n">
        <v>18</v>
      </c>
      <c r="AD317" s="48" t="n">
        <v>15</v>
      </c>
      <c r="AE317" s="48" t="n">
        <v>28</v>
      </c>
      <c r="AF317" s="48" t="n">
        <v>16</v>
      </c>
      <c r="AG317" s="48" t="n">
        <v>15</v>
      </c>
      <c r="AH317" s="48" t="n">
        <v>19</v>
      </c>
      <c r="AI317" s="48" t="n">
        <v>39</v>
      </c>
      <c r="AJ317" s="48" t="n">
        <v>12</v>
      </c>
      <c r="AK317" s="48" t="n">
        <v>21</v>
      </c>
      <c r="AL317" s="48" t="n">
        <v>5</v>
      </c>
      <c r="AM317" s="48" t="n">
        <v>12</v>
      </c>
      <c r="AN317" s="48" t="n">
        <v>12</v>
      </c>
      <c r="AO317" s="48" t="n">
        <v>7</v>
      </c>
      <c r="AP317" s="48" t="n">
        <v>4</v>
      </c>
      <c r="AQ317" s="48" t="n">
        <v>6</v>
      </c>
      <c r="AR317" s="48" t="n">
        <v>16</v>
      </c>
      <c r="AS317" s="48" t="n">
        <v>26</v>
      </c>
      <c r="AT317" s="48" t="n">
        <v>4</v>
      </c>
      <c r="AU317" s="48" t="n">
        <v>5</v>
      </c>
      <c r="AV317" s="48" t="n">
        <v>56</v>
      </c>
      <c r="AW317" s="48" t="n">
        <v>58</v>
      </c>
      <c r="AX317" s="48" t="n">
        <v>23</v>
      </c>
      <c r="AY317" s="48" t="n">
        <v>21</v>
      </c>
      <c r="AZ317" s="48" t="n">
        <v>19</v>
      </c>
      <c r="BA317" s="48" t="n">
        <v>27</v>
      </c>
      <c r="BB317" s="48" t="n">
        <v>102</v>
      </c>
      <c r="BC317" s="48" t="n">
        <v>95</v>
      </c>
      <c r="BD317" s="48" t="n">
        <v>19</v>
      </c>
      <c r="BE317" s="48" t="n">
        <v>35</v>
      </c>
      <c r="BF317" s="48" t="n">
        <v>114</v>
      </c>
      <c r="BG317" s="49" t="n">
        <v>8.25</v>
      </c>
    </row>
    <row r="318" customFormat="false" ht="15" hidden="false" customHeight="false" outlineLevel="0" collapsed="false">
      <c r="A318" s="43" t="s">
        <v>872</v>
      </c>
      <c r="B318" s="43" t="s">
        <v>873</v>
      </c>
      <c r="C318" s="44" t="str">
        <f aca="false">IF(A318="","",IFERROR(INDEX(Assumptions!$B$41:$B$55,MATCH(TRUE(),INDEX(ISNUMBER(SEARCH(" "&amp;Assumptions!$A$41:$A$55&amp;" "," "&amp;SUBSTITUTE(SUBSTITUTE(SUBSTITUTE(SUBSTITUTE(B318,"-"," "),","," "),"/"," "),"."," ")&amp;" ")),0),0)),"Other"))</f>
        <v>Kitchen</v>
      </c>
      <c r="D318" s="45" t="n">
        <f aca="false">IF(A318="","",BG318*(1-Assumptions!$B$18))</f>
        <v>2.49</v>
      </c>
      <c r="E318" s="46" t="n">
        <f aca="false">IF(A318="","",INDEX(Assumptions!$B$23:$B$26,MOD(VALUE(LEFT(A318,5)),4)+1))</f>
        <v>6</v>
      </c>
      <c r="F318" s="47" t="n">
        <v>394</v>
      </c>
      <c r="G318" s="48" t="n">
        <v>0</v>
      </c>
      <c r="H318" s="48" t="n">
        <v>0</v>
      </c>
      <c r="I318" s="48" t="n">
        <v>0</v>
      </c>
      <c r="J318" s="48" t="n">
        <v>0</v>
      </c>
      <c r="K318" s="48" t="n">
        <v>0</v>
      </c>
      <c r="L318" s="48" t="n">
        <v>0</v>
      </c>
      <c r="M318" s="48" t="n">
        <v>0</v>
      </c>
      <c r="N318" s="48" t="n">
        <v>0</v>
      </c>
      <c r="O318" s="48" t="n">
        <v>0</v>
      </c>
      <c r="P318" s="48" t="n">
        <v>0</v>
      </c>
      <c r="Q318" s="48" t="n">
        <v>0</v>
      </c>
      <c r="R318" s="48" t="n">
        <v>0</v>
      </c>
      <c r="S318" s="48" t="n">
        <v>0</v>
      </c>
      <c r="T318" s="48" t="n">
        <v>0</v>
      </c>
      <c r="U318" s="48" t="n">
        <v>0</v>
      </c>
      <c r="V318" s="48" t="n">
        <v>0</v>
      </c>
      <c r="W318" s="48" t="n">
        <v>0</v>
      </c>
      <c r="X318" s="48" t="n">
        <v>0</v>
      </c>
      <c r="Y318" s="48" t="n">
        <v>0</v>
      </c>
      <c r="Z318" s="48" t="n">
        <v>0</v>
      </c>
      <c r="AA318" s="48" t="n">
        <v>0</v>
      </c>
      <c r="AB318" s="48" t="n">
        <v>0</v>
      </c>
      <c r="AC318" s="48" t="n">
        <v>0</v>
      </c>
      <c r="AD318" s="48" t="n">
        <v>0</v>
      </c>
      <c r="AE318" s="48" t="n">
        <v>0</v>
      </c>
      <c r="AF318" s="48" t="n">
        <v>0</v>
      </c>
      <c r="AG318" s="48" t="n">
        <v>26</v>
      </c>
      <c r="AH318" s="48" t="n">
        <v>233</v>
      </c>
      <c r="AI318" s="48" t="n">
        <v>45</v>
      </c>
      <c r="AJ318" s="48" t="n">
        <v>43</v>
      </c>
      <c r="AK318" s="48" t="n">
        <v>64</v>
      </c>
      <c r="AL318" s="48" t="n">
        <v>46</v>
      </c>
      <c r="AM318" s="48" t="n">
        <v>43</v>
      </c>
      <c r="AN318" s="48" t="n">
        <v>139</v>
      </c>
      <c r="AO318" s="48" t="n">
        <v>31</v>
      </c>
      <c r="AP318" s="48" t="n">
        <v>77</v>
      </c>
      <c r="AQ318" s="48" t="n">
        <v>96</v>
      </c>
      <c r="AR318" s="48" t="n">
        <v>47</v>
      </c>
      <c r="AS318" s="48" t="n">
        <v>34</v>
      </c>
      <c r="AT318" s="48" t="n">
        <v>35</v>
      </c>
      <c r="AU318" s="48" t="n">
        <v>118</v>
      </c>
      <c r="AV318" s="48" t="n">
        <v>134</v>
      </c>
      <c r="AW318" s="48" t="n">
        <v>51</v>
      </c>
      <c r="AX318" s="48" t="n">
        <v>28</v>
      </c>
      <c r="AY318" s="48" t="n">
        <v>59</v>
      </c>
      <c r="AZ318" s="48" t="n">
        <v>33</v>
      </c>
      <c r="BA318" s="48" t="n">
        <v>45</v>
      </c>
      <c r="BB318" s="48" t="n">
        <v>39</v>
      </c>
      <c r="BC318" s="48" t="n">
        <v>52</v>
      </c>
      <c r="BD318" s="48" t="n">
        <v>115</v>
      </c>
      <c r="BE318" s="48" t="n">
        <v>50</v>
      </c>
      <c r="BF318" s="48" t="n">
        <v>24</v>
      </c>
      <c r="BG318" s="49" t="n">
        <v>4.15</v>
      </c>
    </row>
    <row r="319" customFormat="false" ht="15" hidden="false" customHeight="false" outlineLevel="0" collapsed="false">
      <c r="A319" s="43" t="s">
        <v>874</v>
      </c>
      <c r="B319" s="43" t="s">
        <v>875</v>
      </c>
      <c r="C319" s="44" t="str">
        <f aca="false">IF(A319="","",IFERROR(INDEX(Assumptions!$B$41:$B$55,MATCH(TRUE(),INDEX(ISNUMBER(SEARCH(" "&amp;Assumptions!$A$41:$A$55&amp;" "," "&amp;SUBSTITUTE(SUBSTITUTE(SUBSTITUTE(SUBSTITUTE(B319,"-"," "),","," "),"/"," "),"."," ")&amp;" ")),0),0)),"Other"))</f>
        <v>Other</v>
      </c>
      <c r="D319" s="45" t="n">
        <f aca="false">IF(A319="","",BG319*(1-Assumptions!$B$18))</f>
        <v>2.25</v>
      </c>
      <c r="E319" s="46" t="n">
        <f aca="false">IF(A319="","",INDEX(Assumptions!$B$23:$B$26,MOD(VALUE(LEFT(A319,5)),4)+1))</f>
        <v>6</v>
      </c>
      <c r="F319" s="47" t="n">
        <v>74</v>
      </c>
      <c r="G319" s="48" t="n">
        <v>34</v>
      </c>
      <c r="H319" s="48" t="n">
        <v>24</v>
      </c>
      <c r="I319" s="48" t="n">
        <v>51</v>
      </c>
      <c r="J319" s="48" t="n">
        <v>0</v>
      </c>
      <c r="K319" s="48" t="n">
        <v>12</v>
      </c>
      <c r="L319" s="48" t="n">
        <v>18</v>
      </c>
      <c r="M319" s="48" t="n">
        <v>18</v>
      </c>
      <c r="N319" s="48" t="n">
        <v>9</v>
      </c>
      <c r="O319" s="48" t="n">
        <v>8</v>
      </c>
      <c r="P319" s="48" t="n">
        <v>1</v>
      </c>
      <c r="Q319" s="48" t="n">
        <v>62</v>
      </c>
      <c r="R319" s="48" t="n">
        <v>25</v>
      </c>
      <c r="S319" s="48" t="n">
        <v>163</v>
      </c>
      <c r="T319" s="48" t="n">
        <v>23</v>
      </c>
      <c r="U319" s="48" t="n">
        <v>12</v>
      </c>
      <c r="V319" s="48" t="n">
        <v>5</v>
      </c>
      <c r="W319" s="48" t="n">
        <v>73</v>
      </c>
      <c r="X319" s="48" t="n">
        <v>12</v>
      </c>
      <c r="Y319" s="48" t="n">
        <v>24</v>
      </c>
      <c r="Z319" s="48" t="n">
        <v>2</v>
      </c>
      <c r="AA319" s="48" t="n">
        <v>8</v>
      </c>
      <c r="AB319" s="48" t="n">
        <v>8</v>
      </c>
      <c r="AC319" s="48" t="n">
        <v>58</v>
      </c>
      <c r="AD319" s="48" t="n">
        <v>19</v>
      </c>
      <c r="AE319" s="48" t="n">
        <v>14</v>
      </c>
      <c r="AF319" s="48" t="n">
        <v>22</v>
      </c>
      <c r="AG319" s="48" t="n">
        <v>10</v>
      </c>
      <c r="AH319" s="48" t="n">
        <v>62</v>
      </c>
      <c r="AI319" s="48" t="n">
        <v>5</v>
      </c>
      <c r="AJ319" s="48" t="n">
        <v>0</v>
      </c>
      <c r="AK319" s="48" t="n">
        <v>22</v>
      </c>
      <c r="AL319" s="48" t="n">
        <v>0</v>
      </c>
      <c r="AM319" s="48" t="n">
        <v>15</v>
      </c>
      <c r="AN319" s="48" t="n">
        <v>77</v>
      </c>
      <c r="AO319" s="48" t="n">
        <v>35</v>
      </c>
      <c r="AP319" s="48" t="n">
        <v>30</v>
      </c>
      <c r="AQ319" s="48" t="n">
        <v>44</v>
      </c>
      <c r="AR319" s="48" t="n">
        <v>12</v>
      </c>
      <c r="AS319" s="48" t="n">
        <v>65</v>
      </c>
      <c r="AT319" s="48" t="n">
        <v>27</v>
      </c>
      <c r="AU319" s="48" t="n">
        <v>41</v>
      </c>
      <c r="AV319" s="48" t="n">
        <v>103</v>
      </c>
      <c r="AW319" s="48" t="n">
        <v>33</v>
      </c>
      <c r="AX319" s="48" t="n">
        <v>119</v>
      </c>
      <c r="AY319" s="48" t="n">
        <v>83</v>
      </c>
      <c r="AZ319" s="48" t="n">
        <v>63</v>
      </c>
      <c r="BA319" s="48" t="n">
        <v>27</v>
      </c>
      <c r="BB319" s="48" t="n">
        <v>38</v>
      </c>
      <c r="BC319" s="48" t="n">
        <v>54</v>
      </c>
      <c r="BD319" s="48" t="n">
        <v>87</v>
      </c>
      <c r="BE319" s="48" t="n">
        <v>77</v>
      </c>
      <c r="BF319" s="48" t="n">
        <v>80</v>
      </c>
      <c r="BG319" s="49" t="n">
        <v>3.75</v>
      </c>
    </row>
    <row r="320" customFormat="false" ht="15" hidden="false" customHeight="false" outlineLevel="0" collapsed="false">
      <c r="A320" s="43" t="s">
        <v>876</v>
      </c>
      <c r="B320" s="43" t="s">
        <v>877</v>
      </c>
      <c r="C320" s="44" t="str">
        <f aca="false">IF(A320="","",IFERROR(INDEX(Assumptions!$B$41:$B$55,MATCH(TRUE(),INDEX(ISNUMBER(SEARCH(" "&amp;Assumptions!$A$41:$A$55&amp;" "," "&amp;SUBSTITUTE(SUBSTITUTE(SUBSTITUTE(SUBSTITUTE(B320,"-"," "),","," "),"/"," "),"."," ")&amp;" ")),0),0)),"Other"))</f>
        <v>Other</v>
      </c>
      <c r="D320" s="45" t="n">
        <f aca="false">IF(A320="","",BG320*(1-Assumptions!$B$18))</f>
        <v>1.17</v>
      </c>
      <c r="E320" s="46" t="n">
        <f aca="false">IF(A320="","",INDEX(Assumptions!$B$23:$B$26,MOD(VALUE(LEFT(A320,5)),4)+1))</f>
        <v>8</v>
      </c>
      <c r="F320" s="47" t="n">
        <v>487</v>
      </c>
      <c r="G320" s="48" t="n">
        <v>83</v>
      </c>
      <c r="H320" s="48" t="n">
        <v>52</v>
      </c>
      <c r="I320" s="48" t="n">
        <v>16</v>
      </c>
      <c r="J320" s="48" t="n">
        <v>0</v>
      </c>
      <c r="K320" s="48" t="n">
        <v>24</v>
      </c>
      <c r="L320" s="48" t="n">
        <v>121</v>
      </c>
      <c r="M320" s="48" t="n">
        <v>134</v>
      </c>
      <c r="N320" s="48" t="n">
        <v>63</v>
      </c>
      <c r="O320" s="48" t="n">
        <v>55</v>
      </c>
      <c r="P320" s="48" t="n">
        <v>17</v>
      </c>
      <c r="Q320" s="48" t="n">
        <v>39</v>
      </c>
      <c r="R320" s="48" t="n">
        <v>130</v>
      </c>
      <c r="S320" s="48" t="n">
        <v>85</v>
      </c>
      <c r="T320" s="48" t="n">
        <v>78</v>
      </c>
      <c r="U320" s="48" t="n">
        <v>48</v>
      </c>
      <c r="V320" s="48" t="n">
        <v>33</v>
      </c>
      <c r="W320" s="48" t="n">
        <v>94</v>
      </c>
      <c r="X320" s="48" t="n">
        <v>69</v>
      </c>
      <c r="Y320" s="48" t="n">
        <v>52</v>
      </c>
      <c r="Z320" s="48" t="n">
        <v>78</v>
      </c>
      <c r="AA320" s="48" t="n">
        <v>24</v>
      </c>
      <c r="AB320" s="48" t="n">
        <v>38</v>
      </c>
      <c r="AC320" s="48" t="n">
        <v>151</v>
      </c>
      <c r="AD320" s="48" t="n">
        <v>50</v>
      </c>
      <c r="AE320" s="48" t="n">
        <v>11</v>
      </c>
      <c r="AF320" s="48" t="n">
        <v>7</v>
      </c>
      <c r="AG320" s="48" t="n">
        <v>35</v>
      </c>
      <c r="AH320" s="48" t="n">
        <v>84</v>
      </c>
      <c r="AI320" s="48" t="n">
        <v>30</v>
      </c>
      <c r="AJ320" s="48" t="n">
        <v>20</v>
      </c>
      <c r="AK320" s="48" t="n">
        <v>31</v>
      </c>
      <c r="AL320" s="48" t="n">
        <v>29</v>
      </c>
      <c r="AM320" s="48" t="n">
        <v>28</v>
      </c>
      <c r="AN320" s="48" t="n">
        <v>24</v>
      </c>
      <c r="AO320" s="48" t="n">
        <v>52</v>
      </c>
      <c r="AP320" s="48" t="n">
        <v>124</v>
      </c>
      <c r="AQ320" s="48" t="n">
        <v>142</v>
      </c>
      <c r="AR320" s="48" t="n">
        <v>47</v>
      </c>
      <c r="AS320" s="48" t="n">
        <v>7</v>
      </c>
      <c r="AT320" s="48" t="n">
        <v>84</v>
      </c>
      <c r="AU320" s="48" t="n">
        <v>85</v>
      </c>
      <c r="AV320" s="48" t="n">
        <v>162</v>
      </c>
      <c r="AW320" s="48" t="n">
        <v>38</v>
      </c>
      <c r="AX320" s="48" t="n">
        <v>118</v>
      </c>
      <c r="AY320" s="48" t="n">
        <v>73</v>
      </c>
      <c r="AZ320" s="48" t="n">
        <v>63</v>
      </c>
      <c r="BA320" s="48" t="n">
        <v>68</v>
      </c>
      <c r="BB320" s="48" t="n">
        <v>81</v>
      </c>
      <c r="BC320" s="48" t="n">
        <v>230</v>
      </c>
      <c r="BD320" s="48" t="n">
        <v>151</v>
      </c>
      <c r="BE320" s="48" t="n">
        <v>187</v>
      </c>
      <c r="BF320" s="48" t="n">
        <v>70</v>
      </c>
      <c r="BG320" s="49" t="n">
        <v>1.95</v>
      </c>
    </row>
    <row r="321" customFormat="false" ht="15" hidden="false" customHeight="false" outlineLevel="0" collapsed="false">
      <c r="A321" s="43" t="s">
        <v>878</v>
      </c>
      <c r="B321" s="43" t="s">
        <v>879</v>
      </c>
      <c r="C321" s="44" t="str">
        <f aca="false">IF(A321="","",IFERROR(INDEX(Assumptions!$B$41:$B$55,MATCH(TRUE(),INDEX(ISNUMBER(SEARCH(" "&amp;Assumptions!$A$41:$A$55&amp;" "," "&amp;SUBSTITUTE(SUBSTITUTE(SUBSTITUTE(SUBSTITUTE(B321,"-"," "),","," "),"/"," "),"."," ")&amp;" ")),0),0)),"Other"))</f>
        <v>Other</v>
      </c>
      <c r="D321" s="45" t="n">
        <f aca="false">IF(A321="","",BG321*(1-Assumptions!$B$18))</f>
        <v>0.87</v>
      </c>
      <c r="E321" s="46" t="n">
        <f aca="false">IF(A321="","",INDEX(Assumptions!$B$23:$B$26,MOD(VALUE(LEFT(A321,5)),4)+1))</f>
        <v>6</v>
      </c>
      <c r="F321" s="47" t="n">
        <v>200</v>
      </c>
      <c r="G321" s="48" t="n">
        <v>0</v>
      </c>
      <c r="H321" s="48" t="n">
        <v>0</v>
      </c>
      <c r="I321" s="48" t="n">
        <v>0</v>
      </c>
      <c r="J321" s="48" t="n">
        <v>0</v>
      </c>
      <c r="K321" s="48" t="n">
        <v>0</v>
      </c>
      <c r="L321" s="48" t="n">
        <v>0</v>
      </c>
      <c r="M321" s="48" t="n">
        <v>0</v>
      </c>
      <c r="N321" s="48" t="n">
        <v>0</v>
      </c>
      <c r="O321" s="48" t="n">
        <v>0</v>
      </c>
      <c r="P321" s="48" t="n">
        <v>0</v>
      </c>
      <c r="Q321" s="48" t="n">
        <v>0</v>
      </c>
      <c r="R321" s="48" t="n">
        <v>0</v>
      </c>
      <c r="S321" s="48" t="n">
        <v>0</v>
      </c>
      <c r="T321" s="48" t="n">
        <v>0</v>
      </c>
      <c r="U321" s="48" t="n">
        <v>0</v>
      </c>
      <c r="V321" s="48" t="n">
        <v>0</v>
      </c>
      <c r="W321" s="48" t="n">
        <v>0</v>
      </c>
      <c r="X321" s="48" t="n">
        <v>0</v>
      </c>
      <c r="Y321" s="48" t="n">
        <v>0</v>
      </c>
      <c r="Z321" s="48" t="n">
        <v>0</v>
      </c>
      <c r="AA321" s="48" t="n">
        <v>0</v>
      </c>
      <c r="AB321" s="48" t="n">
        <v>0</v>
      </c>
      <c r="AC321" s="48" t="n">
        <v>0</v>
      </c>
      <c r="AD321" s="48" t="n">
        <v>0</v>
      </c>
      <c r="AE321" s="48" t="n">
        <v>0</v>
      </c>
      <c r="AF321" s="48" t="n">
        <v>0</v>
      </c>
      <c r="AG321" s="48" t="n">
        <v>12</v>
      </c>
      <c r="AH321" s="48" t="n">
        <v>1</v>
      </c>
      <c r="AI321" s="48" t="n">
        <v>0</v>
      </c>
      <c r="AJ321" s="48" t="n">
        <v>0</v>
      </c>
      <c r="AK321" s="48" t="n">
        <v>156</v>
      </c>
      <c r="AL321" s="48" t="n">
        <v>109</v>
      </c>
      <c r="AM321" s="48" t="n">
        <v>25</v>
      </c>
      <c r="AN321" s="48" t="n">
        <v>793</v>
      </c>
      <c r="AO321" s="48" t="n">
        <v>300</v>
      </c>
      <c r="AP321" s="48" t="n">
        <v>36</v>
      </c>
      <c r="AQ321" s="48" t="n">
        <v>319</v>
      </c>
      <c r="AR321" s="48" t="n">
        <v>79</v>
      </c>
      <c r="AS321" s="48" t="n">
        <v>496</v>
      </c>
      <c r="AT321" s="48" t="n">
        <v>467</v>
      </c>
      <c r="AU321" s="48" t="n">
        <v>657</v>
      </c>
      <c r="AV321" s="48" t="n">
        <v>591</v>
      </c>
      <c r="AW321" s="48" t="n">
        <v>173</v>
      </c>
      <c r="AX321" s="48" t="n">
        <v>417</v>
      </c>
      <c r="AY321" s="48" t="n">
        <v>263</v>
      </c>
      <c r="AZ321" s="48" t="n">
        <v>189</v>
      </c>
      <c r="BA321" s="48" t="n">
        <v>104</v>
      </c>
      <c r="BB321" s="48" t="n">
        <v>11</v>
      </c>
      <c r="BC321" s="48" t="n">
        <v>12</v>
      </c>
      <c r="BD321" s="48" t="n">
        <v>0</v>
      </c>
      <c r="BE321" s="48" t="n">
        <v>0</v>
      </c>
      <c r="BF321" s="48" t="n">
        <v>0</v>
      </c>
      <c r="BG321" s="49" t="n">
        <v>1.45</v>
      </c>
    </row>
    <row r="322" customFormat="false" ht="15" hidden="false" customHeight="false" outlineLevel="0" collapsed="false">
      <c r="A322" s="43" t="s">
        <v>880</v>
      </c>
      <c r="B322" s="43" t="s">
        <v>881</v>
      </c>
      <c r="C322" s="44" t="str">
        <f aca="false">IF(A322="","",IFERROR(INDEX(Assumptions!$B$41:$B$55,MATCH(TRUE(),INDEX(ISNUMBER(SEARCH(" "&amp;Assumptions!$A$41:$A$55&amp;" "," "&amp;SUBSTITUTE(SUBSTITUTE(SUBSTITUTE(SUBSTITUTE(B322,"-"," "),","," "),"/"," "),"."," ")&amp;" ")),0),0)),"Other"))</f>
        <v>Other</v>
      </c>
      <c r="D322" s="45" t="n">
        <f aca="false">IF(A322="","",BG322*(1-Assumptions!$B$18))</f>
        <v>5.1</v>
      </c>
      <c r="E322" s="46" t="n">
        <f aca="false">IF(A322="","",INDEX(Assumptions!$B$23:$B$26,MOD(VALUE(LEFT(A322,5)),4)+1))</f>
        <v>8</v>
      </c>
      <c r="F322" s="47" t="n">
        <v>250</v>
      </c>
      <c r="G322" s="48" t="n">
        <v>26</v>
      </c>
      <c r="H322" s="48" t="n">
        <v>13</v>
      </c>
      <c r="I322" s="48" t="n">
        <v>7</v>
      </c>
      <c r="J322" s="48" t="n">
        <v>0</v>
      </c>
      <c r="K322" s="48" t="n">
        <v>11</v>
      </c>
      <c r="L322" s="48" t="n">
        <v>3</v>
      </c>
      <c r="M322" s="48" t="n">
        <v>21</v>
      </c>
      <c r="N322" s="48" t="n">
        <v>21</v>
      </c>
      <c r="O322" s="48" t="n">
        <v>36</v>
      </c>
      <c r="P322" s="48" t="n">
        <v>5</v>
      </c>
      <c r="Q322" s="48" t="n">
        <v>1</v>
      </c>
      <c r="R322" s="48" t="n">
        <v>0</v>
      </c>
      <c r="S322" s="48" t="n">
        <v>0</v>
      </c>
      <c r="T322" s="48" t="n">
        <v>0</v>
      </c>
      <c r="U322" s="48" t="n">
        <v>0</v>
      </c>
      <c r="V322" s="48" t="n">
        <v>1</v>
      </c>
      <c r="W322" s="48" t="n">
        <v>1</v>
      </c>
      <c r="X322" s="48" t="n">
        <v>0</v>
      </c>
      <c r="Y322" s="48" t="n">
        <v>0</v>
      </c>
      <c r="Z322" s="48" t="n">
        <v>0</v>
      </c>
      <c r="AA322" s="48" t="n">
        <v>0</v>
      </c>
      <c r="AB322" s="48" t="n">
        <v>0</v>
      </c>
      <c r="AC322" s="48" t="n">
        <v>0</v>
      </c>
      <c r="AD322" s="48" t="n">
        <v>17</v>
      </c>
      <c r="AE322" s="48" t="n">
        <v>32</v>
      </c>
      <c r="AF322" s="48" t="n">
        <v>21</v>
      </c>
      <c r="AG322" s="48" t="n">
        <v>32</v>
      </c>
      <c r="AH322" s="48" t="n">
        <v>40</v>
      </c>
      <c r="AI322" s="48" t="n">
        <v>18</v>
      </c>
      <c r="AJ322" s="48" t="n">
        <v>26</v>
      </c>
      <c r="AK322" s="48" t="n">
        <v>19</v>
      </c>
      <c r="AL322" s="48" t="n">
        <v>18</v>
      </c>
      <c r="AM322" s="48" t="n">
        <v>6</v>
      </c>
      <c r="AN322" s="48" t="n">
        <v>14</v>
      </c>
      <c r="AO322" s="48" t="n">
        <v>23</v>
      </c>
      <c r="AP322" s="48" t="n">
        <v>21</v>
      </c>
      <c r="AQ322" s="48" t="n">
        <v>16</v>
      </c>
      <c r="AR322" s="48" t="n">
        <v>21</v>
      </c>
      <c r="AS322" s="48" t="n">
        <v>27</v>
      </c>
      <c r="AT322" s="48" t="n">
        <v>21</v>
      </c>
      <c r="AU322" s="48" t="n">
        <v>13</v>
      </c>
      <c r="AV322" s="48" t="n">
        <v>66</v>
      </c>
      <c r="AW322" s="48" t="n">
        <v>13</v>
      </c>
      <c r="AX322" s="48" t="n">
        <v>15</v>
      </c>
      <c r="AY322" s="48" t="n">
        <v>23</v>
      </c>
      <c r="AZ322" s="48" t="n">
        <v>22</v>
      </c>
      <c r="BA322" s="48" t="n">
        <v>26</v>
      </c>
      <c r="BB322" s="48" t="n">
        <v>16</v>
      </c>
      <c r="BC322" s="48" t="n">
        <v>30</v>
      </c>
      <c r="BD322" s="48" t="n">
        <v>28</v>
      </c>
      <c r="BE322" s="48" t="n">
        <v>21</v>
      </c>
      <c r="BF322" s="48" t="n">
        <v>20</v>
      </c>
      <c r="BG322" s="49" t="n">
        <v>8.5</v>
      </c>
    </row>
    <row r="323" customFormat="false" ht="15" hidden="false" customHeight="false" outlineLevel="0" collapsed="false">
      <c r="A323" s="43" t="s">
        <v>882</v>
      </c>
      <c r="B323" s="43" t="s">
        <v>883</v>
      </c>
      <c r="C323" s="44" t="str">
        <f aca="false">IF(A323="","",IFERROR(INDEX(Assumptions!$B$41:$B$55,MATCH(TRUE(),INDEX(ISNUMBER(SEARCH(" "&amp;Assumptions!$A$41:$A$55&amp;" "," "&amp;SUBSTITUTE(SUBSTITUTE(SUBSTITUTE(SUBSTITUTE(B323,"-"," "),","," "),"/"," "),"."," ")&amp;" ")),0),0)),"Other"))</f>
        <v>Other</v>
      </c>
      <c r="D323" s="45" t="n">
        <f aca="false">IF(A323="","",BG323*(1-Assumptions!$B$18))</f>
        <v>2.49</v>
      </c>
      <c r="E323" s="46" t="n">
        <f aca="false">IF(A323="","",INDEX(Assumptions!$B$23:$B$26,MOD(VALUE(LEFT(A323,5)),4)+1))</f>
        <v>6</v>
      </c>
      <c r="F323" s="47" t="n">
        <v>1168</v>
      </c>
      <c r="G323" s="48" t="n">
        <v>101</v>
      </c>
      <c r="H323" s="48" t="n">
        <v>27</v>
      </c>
      <c r="I323" s="48" t="n">
        <v>0</v>
      </c>
      <c r="J323" s="48" t="n">
        <v>0</v>
      </c>
      <c r="K323" s="48" t="n">
        <v>54</v>
      </c>
      <c r="L323" s="48" t="n">
        <v>70</v>
      </c>
      <c r="M323" s="48" t="n">
        <v>39</v>
      </c>
      <c r="N323" s="48" t="n">
        <v>12</v>
      </c>
      <c r="O323" s="48" t="n">
        <v>47</v>
      </c>
      <c r="P323" s="48" t="n">
        <v>40</v>
      </c>
      <c r="Q323" s="48" t="n">
        <v>48</v>
      </c>
      <c r="R323" s="48" t="n">
        <v>172</v>
      </c>
      <c r="S323" s="48" t="n">
        <v>16</v>
      </c>
      <c r="T323" s="48" t="n">
        <v>56</v>
      </c>
      <c r="U323" s="48" t="n">
        <v>58</v>
      </c>
      <c r="V323" s="48" t="n">
        <v>19</v>
      </c>
      <c r="W323" s="48" t="n">
        <v>117</v>
      </c>
      <c r="X323" s="48" t="n">
        <v>18</v>
      </c>
      <c r="Y323" s="48" t="n">
        <v>6</v>
      </c>
      <c r="Z323" s="48" t="n">
        <v>7</v>
      </c>
      <c r="AA323" s="48" t="n">
        <v>3</v>
      </c>
      <c r="AB323" s="48" t="n">
        <v>13</v>
      </c>
      <c r="AC323" s="48" t="n">
        <v>0</v>
      </c>
      <c r="AD323" s="48" t="n">
        <v>71</v>
      </c>
      <c r="AE323" s="48" t="n">
        <v>129</v>
      </c>
      <c r="AF323" s="48" t="n">
        <v>19</v>
      </c>
      <c r="AG323" s="48" t="n">
        <v>18</v>
      </c>
      <c r="AH323" s="48" t="n">
        <v>16</v>
      </c>
      <c r="AI323" s="48" t="n">
        <v>20</v>
      </c>
      <c r="AJ323" s="48" t="n">
        <v>4</v>
      </c>
      <c r="AK323" s="48" t="n">
        <v>7</v>
      </c>
      <c r="AL323" s="48" t="n">
        <v>39</v>
      </c>
      <c r="AM323" s="48" t="n">
        <v>32</v>
      </c>
      <c r="AN323" s="48" t="n">
        <v>1</v>
      </c>
      <c r="AO323" s="48" t="n">
        <v>39</v>
      </c>
      <c r="AP323" s="48" t="n">
        <v>136</v>
      </c>
      <c r="AQ323" s="48" t="n">
        <v>11</v>
      </c>
      <c r="AR323" s="48" t="n">
        <v>108</v>
      </c>
      <c r="AS323" s="48" t="n">
        <v>45</v>
      </c>
      <c r="AT323" s="48" t="n">
        <v>12</v>
      </c>
      <c r="AU323" s="48" t="n">
        <v>7</v>
      </c>
      <c r="AV323" s="48" t="n">
        <v>25</v>
      </c>
      <c r="AW323" s="48" t="n">
        <v>12</v>
      </c>
      <c r="AX323" s="48" t="n">
        <v>2</v>
      </c>
      <c r="AY323" s="48" t="n">
        <v>2</v>
      </c>
      <c r="AZ323" s="48" t="n">
        <v>62</v>
      </c>
      <c r="BA323" s="48" t="n">
        <v>6</v>
      </c>
      <c r="BB323" s="48" t="n">
        <v>25</v>
      </c>
      <c r="BC323" s="48" t="n">
        <v>14</v>
      </c>
      <c r="BD323" s="48" t="n">
        <v>27</v>
      </c>
      <c r="BE323" s="48" t="n">
        <v>4</v>
      </c>
      <c r="BF323" s="48" t="n">
        <v>25</v>
      </c>
      <c r="BG323" s="49" t="n">
        <v>4.15</v>
      </c>
    </row>
    <row r="324" customFormat="false" ht="15" hidden="false" customHeight="false" outlineLevel="0" collapsed="false">
      <c r="A324" s="43" t="s">
        <v>884</v>
      </c>
      <c r="B324" s="43" t="s">
        <v>885</v>
      </c>
      <c r="C324" s="44" t="str">
        <f aca="false">IF(A324="","",IFERROR(INDEX(Assumptions!$B$41:$B$55,MATCH(TRUE(),INDEX(ISNUMBER(SEARCH(" "&amp;Assumptions!$A$41:$A$55&amp;" "," "&amp;SUBSTITUTE(SUBSTITUTE(SUBSTITUTE(SUBSTITUTE(B324,"-"," "),","," "),"/"," "),"."," ")&amp;" ")),0),0)),"Other"))</f>
        <v>Other</v>
      </c>
      <c r="D324" s="45" t="n">
        <f aca="false">IF(A324="","",BG324*(1-Assumptions!$B$18))</f>
        <v>3.57</v>
      </c>
      <c r="E324" s="46" t="n">
        <f aca="false">IF(A324="","",INDEX(Assumptions!$B$23:$B$26,MOD(VALUE(LEFT(A324,5)),4)+1))</f>
        <v>8</v>
      </c>
      <c r="F324" s="47" t="n">
        <v>257</v>
      </c>
      <c r="G324" s="48" t="n">
        <v>0</v>
      </c>
      <c r="H324" s="48" t="n">
        <v>0</v>
      </c>
      <c r="I324" s="48" t="n">
        <v>0</v>
      </c>
      <c r="J324" s="48" t="n">
        <v>0</v>
      </c>
      <c r="K324" s="48" t="n">
        <v>0</v>
      </c>
      <c r="L324" s="48" t="n">
        <v>0</v>
      </c>
      <c r="M324" s="48" t="n">
        <v>0</v>
      </c>
      <c r="N324" s="48" t="n">
        <v>0</v>
      </c>
      <c r="O324" s="48" t="n">
        <v>0</v>
      </c>
      <c r="P324" s="48" t="n">
        <v>0</v>
      </c>
      <c r="Q324" s="48" t="n">
        <v>0</v>
      </c>
      <c r="R324" s="48" t="n">
        <v>0</v>
      </c>
      <c r="S324" s="48" t="n">
        <v>0</v>
      </c>
      <c r="T324" s="48" t="n">
        <v>0</v>
      </c>
      <c r="U324" s="48" t="n">
        <v>0</v>
      </c>
      <c r="V324" s="48" t="n">
        <v>0</v>
      </c>
      <c r="W324" s="48" t="n">
        <v>0</v>
      </c>
      <c r="X324" s="48" t="n">
        <v>0</v>
      </c>
      <c r="Y324" s="48" t="n">
        <v>0</v>
      </c>
      <c r="Z324" s="48" t="n">
        <v>0</v>
      </c>
      <c r="AA324" s="48" t="n">
        <v>0</v>
      </c>
      <c r="AB324" s="48" t="n">
        <v>0</v>
      </c>
      <c r="AC324" s="48" t="n">
        <v>0</v>
      </c>
      <c r="AD324" s="48" t="n">
        <v>0</v>
      </c>
      <c r="AE324" s="48" t="n">
        <v>0</v>
      </c>
      <c r="AF324" s="48" t="n">
        <v>0</v>
      </c>
      <c r="AG324" s="48" t="n">
        <v>0</v>
      </c>
      <c r="AH324" s="48" t="n">
        <v>0</v>
      </c>
      <c r="AI324" s="48" t="n">
        <v>0</v>
      </c>
      <c r="AJ324" s="48" t="n">
        <v>0</v>
      </c>
      <c r="AK324" s="48" t="n">
        <v>0</v>
      </c>
      <c r="AL324" s="48" t="n">
        <v>0</v>
      </c>
      <c r="AM324" s="48" t="n">
        <v>0</v>
      </c>
      <c r="AN324" s="48" t="n">
        <v>0</v>
      </c>
      <c r="AO324" s="48" t="n">
        <v>0</v>
      </c>
      <c r="AP324" s="48" t="n">
        <v>0</v>
      </c>
      <c r="AQ324" s="48" t="n">
        <v>0</v>
      </c>
      <c r="AR324" s="48" t="n">
        <v>0</v>
      </c>
      <c r="AS324" s="48" t="n">
        <v>0</v>
      </c>
      <c r="AT324" s="48" t="n">
        <v>0</v>
      </c>
      <c r="AU324" s="48" t="n">
        <v>0</v>
      </c>
      <c r="AV324" s="48" t="n">
        <v>0</v>
      </c>
      <c r="AW324" s="48" t="n">
        <v>4</v>
      </c>
      <c r="AX324" s="48" t="n">
        <v>391</v>
      </c>
      <c r="AY324" s="48" t="n">
        <v>72</v>
      </c>
      <c r="AZ324" s="48" t="n">
        <v>86</v>
      </c>
      <c r="BA324" s="48" t="n">
        <v>33</v>
      </c>
      <c r="BB324" s="48" t="n">
        <v>101</v>
      </c>
      <c r="BC324" s="48" t="n">
        <v>124</v>
      </c>
      <c r="BD324" s="48" t="n">
        <v>101</v>
      </c>
      <c r="BE324" s="48" t="n">
        <v>80</v>
      </c>
      <c r="BF324" s="48" t="n">
        <v>120</v>
      </c>
      <c r="BG324" s="49" t="n">
        <v>5.95</v>
      </c>
    </row>
    <row r="325" customFormat="false" ht="15" hidden="false" customHeight="false" outlineLevel="0" collapsed="false">
      <c r="A325" s="43" t="s">
        <v>886</v>
      </c>
      <c r="B325" s="43" t="s">
        <v>887</v>
      </c>
      <c r="C325" s="44" t="str">
        <f aca="false">IF(A325="","",IFERROR(INDEX(Assumptions!$B$41:$B$55,MATCH(TRUE(),INDEX(ISNUMBER(SEARCH(" "&amp;Assumptions!$A$41:$A$55&amp;" "," "&amp;SUBSTITUTE(SUBSTITUTE(SUBSTITUTE(SUBSTITUTE(B325,"-"," "),","," "),"/"," "),"."," ")&amp;" ")),0),0)),"Other"))</f>
        <v>Other</v>
      </c>
      <c r="D325" s="45" t="n">
        <f aca="false">IF(A325="","",BG325*(1-Assumptions!$B$18))</f>
        <v>0.51</v>
      </c>
      <c r="E325" s="46" t="n">
        <f aca="false">IF(A325="","",INDEX(Assumptions!$B$23:$B$26,MOD(VALUE(LEFT(A325,5)),4)+1))</f>
        <v>4</v>
      </c>
      <c r="F325" s="47" t="n">
        <v>1909</v>
      </c>
      <c r="G325" s="48" t="n">
        <v>210</v>
      </c>
      <c r="H325" s="48" t="n">
        <v>65</v>
      </c>
      <c r="I325" s="48" t="n">
        <v>6</v>
      </c>
      <c r="J325" s="48" t="n">
        <v>0</v>
      </c>
      <c r="K325" s="48" t="n">
        <v>50</v>
      </c>
      <c r="L325" s="48" t="n">
        <v>48</v>
      </c>
      <c r="M325" s="48" t="n">
        <v>97</v>
      </c>
      <c r="N325" s="48" t="n">
        <v>97</v>
      </c>
      <c r="O325" s="48" t="n">
        <v>8</v>
      </c>
      <c r="P325" s="48" t="n">
        <v>96</v>
      </c>
      <c r="Q325" s="48" t="n">
        <v>96</v>
      </c>
      <c r="R325" s="48" t="n">
        <v>240</v>
      </c>
      <c r="S325" s="48" t="n">
        <v>48</v>
      </c>
      <c r="T325" s="48" t="n">
        <v>96</v>
      </c>
      <c r="U325" s="48" t="n">
        <v>624</v>
      </c>
      <c r="V325" s="48" t="n">
        <v>144</v>
      </c>
      <c r="W325" s="48" t="n">
        <v>192</v>
      </c>
      <c r="X325" s="48" t="n">
        <v>337</v>
      </c>
      <c r="Y325" s="48" t="n">
        <v>192</v>
      </c>
      <c r="Z325" s="48" t="n">
        <v>149</v>
      </c>
      <c r="AA325" s="48" t="n">
        <v>49</v>
      </c>
      <c r="AB325" s="48" t="n">
        <v>96</v>
      </c>
      <c r="AC325" s="48" t="n">
        <v>244</v>
      </c>
      <c r="AD325" s="48" t="n">
        <v>96</v>
      </c>
      <c r="AE325" s="48" t="n">
        <v>144</v>
      </c>
      <c r="AF325" s="48" t="n">
        <v>145</v>
      </c>
      <c r="AG325" s="48" t="n">
        <v>145</v>
      </c>
      <c r="AH325" s="48" t="n">
        <v>195</v>
      </c>
      <c r="AI325" s="48" t="n">
        <v>193</v>
      </c>
      <c r="AJ325" s="48" t="n">
        <v>0</v>
      </c>
      <c r="AK325" s="48" t="n">
        <v>3</v>
      </c>
      <c r="AL325" s="48" t="n">
        <v>48</v>
      </c>
      <c r="AM325" s="48" t="n">
        <v>194</v>
      </c>
      <c r="AN325" s="48" t="n">
        <v>192</v>
      </c>
      <c r="AO325" s="48" t="n">
        <v>96</v>
      </c>
      <c r="AP325" s="48" t="n">
        <v>288</v>
      </c>
      <c r="AQ325" s="48" t="n">
        <v>192</v>
      </c>
      <c r="AR325" s="48" t="n">
        <v>432</v>
      </c>
      <c r="AS325" s="48" t="n">
        <v>152</v>
      </c>
      <c r="AT325" s="48" t="n">
        <v>192</v>
      </c>
      <c r="AU325" s="48" t="n">
        <v>292</v>
      </c>
      <c r="AV325" s="48" t="n">
        <v>300</v>
      </c>
      <c r="AW325" s="48" t="n">
        <v>240</v>
      </c>
      <c r="AX325" s="48" t="n">
        <v>205</v>
      </c>
      <c r="AY325" s="48" t="n">
        <v>53</v>
      </c>
      <c r="AZ325" s="48" t="n">
        <v>242</v>
      </c>
      <c r="BA325" s="48" t="n">
        <v>244</v>
      </c>
      <c r="BB325" s="48" t="n">
        <v>213</v>
      </c>
      <c r="BC325" s="48" t="n">
        <v>56</v>
      </c>
      <c r="BD325" s="48" t="n">
        <v>217</v>
      </c>
      <c r="BE325" s="48" t="n">
        <v>206</v>
      </c>
      <c r="BF325" s="48" t="n">
        <v>112</v>
      </c>
      <c r="BG325" s="49" t="n">
        <v>0.85</v>
      </c>
    </row>
    <row r="326" customFormat="false" ht="15" hidden="false" customHeight="false" outlineLevel="0" collapsed="false">
      <c r="A326" s="43" t="s">
        <v>888</v>
      </c>
      <c r="B326" s="43" t="s">
        <v>889</v>
      </c>
      <c r="C326" s="44" t="str">
        <f aca="false">IF(A326="","",IFERROR(INDEX(Assumptions!$B$41:$B$55,MATCH(TRUE(),INDEX(ISNUMBER(SEARCH(" "&amp;Assumptions!$A$41:$A$55&amp;" "," "&amp;SUBSTITUTE(SUBSTITUTE(SUBSTITUTE(SUBSTITUTE(B326,"-"," "),","," "),"/"," "),"."," ")&amp;" ")),0),0)),"Other"))</f>
        <v>Other</v>
      </c>
      <c r="D326" s="45" t="n">
        <f aca="false">IF(A326="","",BG326*(1-Assumptions!$B$18))</f>
        <v>0.51</v>
      </c>
      <c r="E326" s="46" t="n">
        <f aca="false">IF(A326="","",INDEX(Assumptions!$B$23:$B$26,MOD(VALUE(LEFT(A326,5)),4)+1))</f>
        <v>8</v>
      </c>
      <c r="F326" s="47" t="n">
        <v>2372</v>
      </c>
      <c r="G326" s="48" t="n">
        <v>96</v>
      </c>
      <c r="H326" s="48" t="n">
        <v>29</v>
      </c>
      <c r="I326" s="48" t="n">
        <v>2</v>
      </c>
      <c r="J326" s="48" t="n">
        <v>0</v>
      </c>
      <c r="K326" s="48" t="n">
        <v>169</v>
      </c>
      <c r="L326" s="48" t="n">
        <v>50</v>
      </c>
      <c r="M326" s="48" t="n">
        <v>26</v>
      </c>
      <c r="N326" s="48" t="n">
        <v>48</v>
      </c>
      <c r="O326" s="48" t="n">
        <v>6</v>
      </c>
      <c r="P326" s="48" t="n">
        <v>0</v>
      </c>
      <c r="Q326" s="48" t="n">
        <v>0</v>
      </c>
      <c r="R326" s="48" t="n">
        <v>2</v>
      </c>
      <c r="S326" s="48" t="n">
        <v>5</v>
      </c>
      <c r="T326" s="48" t="n">
        <v>1</v>
      </c>
      <c r="U326" s="48" t="n">
        <v>48</v>
      </c>
      <c r="V326" s="48" t="n">
        <v>72</v>
      </c>
      <c r="W326" s="48" t="n">
        <v>3</v>
      </c>
      <c r="X326" s="48" t="n">
        <v>11</v>
      </c>
      <c r="Y326" s="48" t="n">
        <v>24</v>
      </c>
      <c r="Z326" s="48" t="n">
        <v>89</v>
      </c>
      <c r="AA326" s="48" t="n">
        <v>0</v>
      </c>
      <c r="AB326" s="48" t="n">
        <v>31</v>
      </c>
      <c r="AC326" s="48" t="n">
        <v>10</v>
      </c>
      <c r="AD326" s="48" t="n">
        <v>92</v>
      </c>
      <c r="AE326" s="48" t="n">
        <v>49</v>
      </c>
      <c r="AF326" s="48" t="n">
        <v>132</v>
      </c>
      <c r="AG326" s="48" t="n">
        <v>24</v>
      </c>
      <c r="AH326" s="48" t="n">
        <v>180</v>
      </c>
      <c r="AI326" s="48" t="n">
        <v>170</v>
      </c>
      <c r="AJ326" s="48" t="n">
        <v>207</v>
      </c>
      <c r="AK326" s="48" t="n">
        <v>27</v>
      </c>
      <c r="AL326" s="48" t="n">
        <v>85</v>
      </c>
      <c r="AM326" s="48" t="n">
        <v>47</v>
      </c>
      <c r="AN326" s="48" t="n">
        <v>113</v>
      </c>
      <c r="AO326" s="48" t="n">
        <v>3</v>
      </c>
      <c r="AP326" s="48" t="n">
        <v>249</v>
      </c>
      <c r="AQ326" s="48" t="n">
        <v>129</v>
      </c>
      <c r="AR326" s="48" t="n">
        <v>347</v>
      </c>
      <c r="AS326" s="48" t="n">
        <v>41</v>
      </c>
      <c r="AT326" s="48" t="n">
        <v>187</v>
      </c>
      <c r="AU326" s="48" t="n">
        <v>241</v>
      </c>
      <c r="AV326" s="48" t="n">
        <v>1893</v>
      </c>
      <c r="AW326" s="48" t="n">
        <v>103</v>
      </c>
      <c r="AX326" s="48" t="n">
        <v>33</v>
      </c>
      <c r="AY326" s="48" t="n">
        <v>721</v>
      </c>
      <c r="AZ326" s="48" t="n">
        <v>37</v>
      </c>
      <c r="BA326" s="48" t="n">
        <v>124</v>
      </c>
      <c r="BB326" s="48" t="n">
        <v>391</v>
      </c>
      <c r="BC326" s="48" t="n">
        <v>32</v>
      </c>
      <c r="BD326" s="48" t="n">
        <v>869</v>
      </c>
      <c r="BE326" s="48" t="n">
        <v>349</v>
      </c>
      <c r="BF326" s="48" t="n">
        <v>1215</v>
      </c>
      <c r="BG326" s="49" t="n">
        <v>0.85</v>
      </c>
    </row>
    <row r="327" customFormat="false" ht="15" hidden="false" customHeight="false" outlineLevel="0" collapsed="false">
      <c r="A327" s="43" t="s">
        <v>890</v>
      </c>
      <c r="B327" s="43" t="s">
        <v>891</v>
      </c>
      <c r="C327" s="44" t="str">
        <f aca="false">IF(A327="","",IFERROR(INDEX(Assumptions!$B$41:$B$55,MATCH(TRUE(),INDEX(ISNUMBER(SEARCH(" "&amp;Assumptions!$A$41:$A$55&amp;" "," "&amp;SUBSTITUTE(SUBSTITUTE(SUBSTITUTE(SUBSTITUTE(B327,"-"," "),","," "),"/"," "),"."," ")&amp;" ")),0),0)),"Other"))</f>
        <v>Other</v>
      </c>
      <c r="D327" s="45" t="n">
        <f aca="false">IF(A327="","",BG327*(1-Assumptions!$B$18))</f>
        <v>1.77</v>
      </c>
      <c r="E327" s="46" t="n">
        <f aca="false">IF(A327="","",INDEX(Assumptions!$B$23:$B$26,MOD(VALUE(LEFT(A327,5)),4)+1))</f>
        <v>4</v>
      </c>
      <c r="F327" s="47" t="n">
        <v>401</v>
      </c>
      <c r="G327" s="48" t="n">
        <v>46</v>
      </c>
      <c r="H327" s="48" t="n">
        <v>25</v>
      </c>
      <c r="I327" s="48" t="n">
        <v>28</v>
      </c>
      <c r="J327" s="48" t="n">
        <v>0</v>
      </c>
      <c r="K327" s="48" t="n">
        <v>18</v>
      </c>
      <c r="L327" s="48" t="n">
        <v>61</v>
      </c>
      <c r="M327" s="48" t="n">
        <v>26</v>
      </c>
      <c r="N327" s="48" t="n">
        <v>29</v>
      </c>
      <c r="O327" s="48" t="n">
        <v>14</v>
      </c>
      <c r="P327" s="48" t="n">
        <v>18</v>
      </c>
      <c r="Q327" s="48" t="n">
        <v>49</v>
      </c>
      <c r="R327" s="48" t="n">
        <v>16</v>
      </c>
      <c r="S327" s="48" t="n">
        <v>20</v>
      </c>
      <c r="T327" s="48" t="n">
        <v>16</v>
      </c>
      <c r="U327" s="48" t="n">
        <v>27</v>
      </c>
      <c r="V327" s="48" t="n">
        <v>19</v>
      </c>
      <c r="W327" s="48" t="n">
        <v>41</v>
      </c>
      <c r="X327" s="48" t="n">
        <v>26</v>
      </c>
      <c r="Y327" s="48" t="n">
        <v>35</v>
      </c>
      <c r="Z327" s="48" t="n">
        <v>42</v>
      </c>
      <c r="AA327" s="48" t="n">
        <v>40</v>
      </c>
      <c r="AB327" s="48" t="n">
        <v>29</v>
      </c>
      <c r="AC327" s="48" t="n">
        <v>31</v>
      </c>
      <c r="AD327" s="48" t="n">
        <v>20</v>
      </c>
      <c r="AE327" s="48" t="n">
        <v>38</v>
      </c>
      <c r="AF327" s="48" t="n">
        <v>31</v>
      </c>
      <c r="AG327" s="48" t="n">
        <v>85</v>
      </c>
      <c r="AH327" s="48" t="n">
        <v>18</v>
      </c>
      <c r="AI327" s="48" t="n">
        <v>4</v>
      </c>
      <c r="AJ327" s="48" t="n">
        <v>42</v>
      </c>
      <c r="AK327" s="48" t="n">
        <v>65</v>
      </c>
      <c r="AL327" s="48" t="n">
        <v>224</v>
      </c>
      <c r="AM327" s="48" t="n">
        <v>16</v>
      </c>
      <c r="AN327" s="48" t="n">
        <v>278</v>
      </c>
      <c r="AO327" s="48" t="n">
        <v>17</v>
      </c>
      <c r="AP327" s="48" t="n">
        <v>79</v>
      </c>
      <c r="AQ327" s="48" t="n">
        <v>26</v>
      </c>
      <c r="AR327" s="48" t="n">
        <v>29</v>
      </c>
      <c r="AS327" s="48" t="n">
        <v>37</v>
      </c>
      <c r="AT327" s="48" t="n">
        <v>61</v>
      </c>
      <c r="AU327" s="48" t="n">
        <v>7</v>
      </c>
      <c r="AV327" s="48" t="n">
        <v>180</v>
      </c>
      <c r="AW327" s="48" t="n">
        <v>37</v>
      </c>
      <c r="AX327" s="48" t="n">
        <v>33</v>
      </c>
      <c r="AY327" s="48" t="n">
        <v>110</v>
      </c>
      <c r="AZ327" s="48" t="n">
        <v>27</v>
      </c>
      <c r="BA327" s="48" t="n">
        <v>53</v>
      </c>
      <c r="BB327" s="48" t="n">
        <v>26</v>
      </c>
      <c r="BC327" s="48" t="n">
        <v>58</v>
      </c>
      <c r="BD327" s="48" t="n">
        <v>30</v>
      </c>
      <c r="BE327" s="48" t="n">
        <v>1</v>
      </c>
      <c r="BF327" s="48" t="n">
        <v>28</v>
      </c>
      <c r="BG327" s="49" t="n">
        <v>2.95</v>
      </c>
    </row>
    <row r="328" customFormat="false" ht="15" hidden="false" customHeight="false" outlineLevel="0" collapsed="false">
      <c r="A328" s="43" t="s">
        <v>892</v>
      </c>
      <c r="B328" s="43" t="s">
        <v>893</v>
      </c>
      <c r="C328" s="44" t="str">
        <f aca="false">IF(A328="","",IFERROR(INDEX(Assumptions!$B$41:$B$55,MATCH(TRUE(),INDEX(ISNUMBER(SEARCH(" "&amp;Assumptions!$A$41:$A$55&amp;" "," "&amp;SUBSTITUTE(SUBSTITUTE(SUBSTITUTE(SUBSTITUTE(B328,"-"," "),","," "),"/"," "),"."," ")&amp;" ")),0),0)),"Other"))</f>
        <v>Other</v>
      </c>
      <c r="D328" s="45" t="n">
        <f aca="false">IF(A328="","",BG328*(1-Assumptions!$B$18))</f>
        <v>0.75</v>
      </c>
      <c r="E328" s="46" t="n">
        <f aca="false">IF(A328="","",INDEX(Assumptions!$B$23:$B$26,MOD(VALUE(LEFT(A328,5)),4)+1))</f>
        <v>4</v>
      </c>
      <c r="F328" s="47" t="n">
        <v>101</v>
      </c>
      <c r="G328" s="48" t="n">
        <v>44</v>
      </c>
      <c r="H328" s="48" t="n">
        <v>43</v>
      </c>
      <c r="I328" s="48" t="n">
        <v>19</v>
      </c>
      <c r="J328" s="48" t="n">
        <v>0</v>
      </c>
      <c r="K328" s="48" t="n">
        <v>108</v>
      </c>
      <c r="L328" s="48" t="n">
        <v>141</v>
      </c>
      <c r="M328" s="48" t="n">
        <v>61</v>
      </c>
      <c r="N328" s="48" t="n">
        <v>79</v>
      </c>
      <c r="O328" s="48" t="n">
        <v>5</v>
      </c>
      <c r="P328" s="48" t="n">
        <v>177</v>
      </c>
      <c r="Q328" s="48" t="n">
        <v>204</v>
      </c>
      <c r="R328" s="48" t="n">
        <v>236</v>
      </c>
      <c r="S328" s="48" t="n">
        <v>164</v>
      </c>
      <c r="T328" s="48" t="n">
        <v>74</v>
      </c>
      <c r="U328" s="48" t="n">
        <v>175</v>
      </c>
      <c r="V328" s="48" t="n">
        <v>124</v>
      </c>
      <c r="W328" s="48" t="n">
        <v>80</v>
      </c>
      <c r="X328" s="48" t="n">
        <v>67</v>
      </c>
      <c r="Y328" s="48" t="n">
        <v>167</v>
      </c>
      <c r="Z328" s="48" t="n">
        <v>166</v>
      </c>
      <c r="AA328" s="48" t="n">
        <v>58</v>
      </c>
      <c r="AB328" s="48" t="n">
        <v>10</v>
      </c>
      <c r="AC328" s="48" t="n">
        <v>179</v>
      </c>
      <c r="AD328" s="48" t="n">
        <v>86</v>
      </c>
      <c r="AE328" s="48" t="n">
        <v>88</v>
      </c>
      <c r="AF328" s="48" t="n">
        <v>87</v>
      </c>
      <c r="AG328" s="48" t="n">
        <v>49</v>
      </c>
      <c r="AH328" s="48" t="n">
        <v>135</v>
      </c>
      <c r="AI328" s="48" t="n">
        <v>98</v>
      </c>
      <c r="AJ328" s="48" t="n">
        <v>89</v>
      </c>
      <c r="AK328" s="48" t="n">
        <v>45</v>
      </c>
      <c r="AL328" s="48" t="n">
        <v>127</v>
      </c>
      <c r="AM328" s="48" t="n">
        <v>44</v>
      </c>
      <c r="AN328" s="48" t="n">
        <v>49</v>
      </c>
      <c r="AO328" s="48" t="n">
        <v>65</v>
      </c>
      <c r="AP328" s="48" t="n">
        <v>124</v>
      </c>
      <c r="AQ328" s="48" t="n">
        <v>172</v>
      </c>
      <c r="AR328" s="48" t="n">
        <v>56</v>
      </c>
      <c r="AS328" s="48" t="n">
        <v>99</v>
      </c>
      <c r="AT328" s="48" t="n">
        <v>184</v>
      </c>
      <c r="AU328" s="48" t="n">
        <v>156</v>
      </c>
      <c r="AV328" s="48" t="n">
        <v>181</v>
      </c>
      <c r="AW328" s="48" t="n">
        <v>141</v>
      </c>
      <c r="AX328" s="48" t="n">
        <v>67</v>
      </c>
      <c r="AY328" s="48" t="n">
        <v>52</v>
      </c>
      <c r="AZ328" s="48" t="n">
        <v>41</v>
      </c>
      <c r="BA328" s="48" t="n">
        <v>126</v>
      </c>
      <c r="BB328" s="48" t="n">
        <v>140</v>
      </c>
      <c r="BC328" s="48" t="n">
        <v>151</v>
      </c>
      <c r="BD328" s="48" t="n">
        <v>53</v>
      </c>
      <c r="BE328" s="48" t="n">
        <v>75</v>
      </c>
      <c r="BF328" s="48" t="n">
        <v>68</v>
      </c>
      <c r="BG328" s="49" t="n">
        <v>1.25</v>
      </c>
    </row>
    <row r="329" customFormat="false" ht="15" hidden="false" customHeight="false" outlineLevel="0" collapsed="false">
      <c r="A329" s="43" t="s">
        <v>894</v>
      </c>
      <c r="B329" s="43" t="s">
        <v>895</v>
      </c>
      <c r="C329" s="44" t="str">
        <f aca="false">IF(A329="","",IFERROR(INDEX(Assumptions!$B$41:$B$55,MATCH(TRUE(),INDEX(ISNUMBER(SEARCH(" "&amp;Assumptions!$A$41:$A$55&amp;" "," "&amp;SUBSTITUTE(SUBSTITUTE(SUBSTITUTE(SUBSTITUTE(B329,"-"," "),","," "),"/"," "),"."," ")&amp;" ")),0),0)),"Other"))</f>
        <v>Kitchen</v>
      </c>
      <c r="D329" s="45" t="n">
        <f aca="false">IF(A329="","",BG329*(1-Assumptions!$B$18))</f>
        <v>1.734</v>
      </c>
      <c r="E329" s="46" t="n">
        <f aca="false">IF(A329="","",INDEX(Assumptions!$B$23:$B$26,MOD(VALUE(LEFT(A329,5)),4)+1))</f>
        <v>2</v>
      </c>
      <c r="F329" s="47" t="n">
        <v>1530</v>
      </c>
      <c r="G329" s="48" t="n">
        <v>0</v>
      </c>
      <c r="H329" s="48" t="n">
        <v>0</v>
      </c>
      <c r="I329" s="48" t="n">
        <v>0</v>
      </c>
      <c r="J329" s="48" t="n">
        <v>0</v>
      </c>
      <c r="K329" s="48" t="n">
        <v>0</v>
      </c>
      <c r="L329" s="48" t="n">
        <v>0</v>
      </c>
      <c r="M329" s="48" t="n">
        <v>0</v>
      </c>
      <c r="N329" s="48" t="n">
        <v>0</v>
      </c>
      <c r="O329" s="48" t="n">
        <v>0</v>
      </c>
      <c r="P329" s="48" t="n">
        <v>0</v>
      </c>
      <c r="Q329" s="48" t="n">
        <v>0</v>
      </c>
      <c r="R329" s="48" t="n">
        <v>0</v>
      </c>
      <c r="S329" s="48" t="n">
        <v>0</v>
      </c>
      <c r="T329" s="48" t="n">
        <v>0</v>
      </c>
      <c r="U329" s="48" t="n">
        <v>0</v>
      </c>
      <c r="V329" s="48" t="n">
        <v>0</v>
      </c>
      <c r="W329" s="48" t="n">
        <v>0</v>
      </c>
      <c r="X329" s="48" t="n">
        <v>0</v>
      </c>
      <c r="Y329" s="48" t="n">
        <v>0</v>
      </c>
      <c r="Z329" s="48" t="n">
        <v>0</v>
      </c>
      <c r="AA329" s="48" t="n">
        <v>0</v>
      </c>
      <c r="AB329" s="48" t="n">
        <v>0</v>
      </c>
      <c r="AC329" s="48" t="n">
        <v>0</v>
      </c>
      <c r="AD329" s="48" t="n">
        <v>0</v>
      </c>
      <c r="AE329" s="48" t="n">
        <v>0</v>
      </c>
      <c r="AF329" s="48" t="n">
        <v>0</v>
      </c>
      <c r="AG329" s="48" t="n">
        <v>57</v>
      </c>
      <c r="AH329" s="48" t="n">
        <v>412</v>
      </c>
      <c r="AI329" s="48" t="n">
        <v>72</v>
      </c>
      <c r="AJ329" s="48" t="n">
        <v>32</v>
      </c>
      <c r="AK329" s="48" t="n">
        <v>80</v>
      </c>
      <c r="AL329" s="48" t="n">
        <v>98</v>
      </c>
      <c r="AM329" s="48" t="n">
        <v>105</v>
      </c>
      <c r="AN329" s="48" t="n">
        <v>139</v>
      </c>
      <c r="AO329" s="48" t="n">
        <v>58</v>
      </c>
      <c r="AP329" s="48" t="n">
        <v>153</v>
      </c>
      <c r="AQ329" s="48" t="n">
        <v>41</v>
      </c>
      <c r="AR329" s="48" t="n">
        <v>100</v>
      </c>
      <c r="AS329" s="48" t="n">
        <v>32</v>
      </c>
      <c r="AT329" s="48" t="n">
        <v>165</v>
      </c>
      <c r="AU329" s="48" t="n">
        <v>217</v>
      </c>
      <c r="AV329" s="48" t="n">
        <v>100</v>
      </c>
      <c r="AW329" s="48" t="n">
        <v>65</v>
      </c>
      <c r="AX329" s="48" t="n">
        <v>135</v>
      </c>
      <c r="AY329" s="48" t="n">
        <v>48</v>
      </c>
      <c r="AZ329" s="48" t="n">
        <v>27</v>
      </c>
      <c r="BA329" s="48" t="n">
        <v>37</v>
      </c>
      <c r="BB329" s="48" t="n">
        <v>52</v>
      </c>
      <c r="BC329" s="48" t="n">
        <v>54</v>
      </c>
      <c r="BD329" s="48" t="n">
        <v>160</v>
      </c>
      <c r="BE329" s="48" t="n">
        <v>30</v>
      </c>
      <c r="BF329" s="48" t="n">
        <v>17</v>
      </c>
      <c r="BG329" s="49" t="n">
        <v>2.89</v>
      </c>
    </row>
    <row r="330" customFormat="false" ht="15" hidden="false" customHeight="false" outlineLevel="0" collapsed="false">
      <c r="A330" s="43" t="s">
        <v>896</v>
      </c>
      <c r="B330" s="43" t="s">
        <v>897</v>
      </c>
      <c r="C330" s="44" t="str">
        <f aca="false">IF(A330="","",IFERROR(INDEX(Assumptions!$B$41:$B$55,MATCH(TRUE(),INDEX(ISNUMBER(SEARCH(" "&amp;Assumptions!$A$41:$A$55&amp;" "," "&amp;SUBSTITUTE(SUBSTITUTE(SUBSTITUTE(SUBSTITUTE(B330,"-"," "),","," "),"/"," "),"."," ")&amp;" ")),0),0)),"Other"))</f>
        <v>Other</v>
      </c>
      <c r="D330" s="45" t="n">
        <f aca="false">IF(A330="","",BG330*(1-Assumptions!$B$18))</f>
        <v>1.014</v>
      </c>
      <c r="E330" s="46" t="n">
        <f aca="false">IF(A330="","",INDEX(Assumptions!$B$23:$B$26,MOD(VALUE(LEFT(A330,5)),4)+1))</f>
        <v>4</v>
      </c>
      <c r="F330" s="47" t="n">
        <v>82</v>
      </c>
      <c r="G330" s="48" t="n">
        <v>60</v>
      </c>
      <c r="H330" s="48" t="n">
        <v>16</v>
      </c>
      <c r="I330" s="48" t="n">
        <v>60</v>
      </c>
      <c r="J330" s="48" t="n">
        <v>0</v>
      </c>
      <c r="K330" s="48" t="n">
        <v>18</v>
      </c>
      <c r="L330" s="48" t="n">
        <v>16</v>
      </c>
      <c r="M330" s="48" t="n">
        <v>102</v>
      </c>
      <c r="N330" s="48" t="n">
        <v>18</v>
      </c>
      <c r="O330" s="48" t="n">
        <v>12</v>
      </c>
      <c r="P330" s="48" t="n">
        <v>35</v>
      </c>
      <c r="Q330" s="48" t="n">
        <v>7</v>
      </c>
      <c r="R330" s="48" t="n">
        <v>83</v>
      </c>
      <c r="S330" s="48" t="n">
        <v>66</v>
      </c>
      <c r="T330" s="48" t="n">
        <v>187</v>
      </c>
      <c r="U330" s="48" t="n">
        <v>51</v>
      </c>
      <c r="V330" s="48" t="n">
        <v>35</v>
      </c>
      <c r="W330" s="48" t="n">
        <v>97</v>
      </c>
      <c r="X330" s="48" t="n">
        <v>191</v>
      </c>
      <c r="Y330" s="48" t="n">
        <v>216</v>
      </c>
      <c r="Z330" s="48" t="n">
        <v>15</v>
      </c>
      <c r="AA330" s="48" t="n">
        <v>45</v>
      </c>
      <c r="AB330" s="48" t="n">
        <v>211</v>
      </c>
      <c r="AC330" s="48" t="n">
        <v>36</v>
      </c>
      <c r="AD330" s="48" t="n">
        <v>80</v>
      </c>
      <c r="AE330" s="48" t="n">
        <v>88</v>
      </c>
      <c r="AF330" s="48" t="n">
        <v>22</v>
      </c>
      <c r="AG330" s="48" t="n">
        <v>122</v>
      </c>
      <c r="AH330" s="48" t="n">
        <v>288</v>
      </c>
      <c r="AI330" s="48" t="n">
        <v>15</v>
      </c>
      <c r="AJ330" s="48" t="n">
        <v>28</v>
      </c>
      <c r="AK330" s="48" t="n">
        <v>26</v>
      </c>
      <c r="AL330" s="48" t="n">
        <v>87</v>
      </c>
      <c r="AM330" s="48" t="n">
        <v>23</v>
      </c>
      <c r="AN330" s="48" t="n">
        <v>102</v>
      </c>
      <c r="AO330" s="48" t="n">
        <v>78</v>
      </c>
      <c r="AP330" s="48" t="n">
        <v>1</v>
      </c>
      <c r="AQ330" s="48" t="n">
        <v>0</v>
      </c>
      <c r="AR330" s="48" t="n">
        <v>0</v>
      </c>
      <c r="AS330" s="48" t="n">
        <v>0</v>
      </c>
      <c r="AT330" s="48" t="n">
        <v>380</v>
      </c>
      <c r="AU330" s="48" t="n">
        <v>30</v>
      </c>
      <c r="AV330" s="48" t="n">
        <v>109</v>
      </c>
      <c r="AW330" s="48" t="n">
        <v>244</v>
      </c>
      <c r="AX330" s="48" t="n">
        <v>105</v>
      </c>
      <c r="AY330" s="48" t="n">
        <v>76</v>
      </c>
      <c r="AZ330" s="48" t="n">
        <v>21</v>
      </c>
      <c r="BA330" s="48" t="n">
        <v>87</v>
      </c>
      <c r="BB330" s="48" t="n">
        <v>101</v>
      </c>
      <c r="BC330" s="48" t="n">
        <v>169</v>
      </c>
      <c r="BD330" s="48" t="n">
        <v>106</v>
      </c>
      <c r="BE330" s="48" t="n">
        <v>86</v>
      </c>
      <c r="BF330" s="48" t="n">
        <v>209</v>
      </c>
      <c r="BG330" s="49" t="n">
        <v>1.69</v>
      </c>
    </row>
    <row r="331" customFormat="false" ht="15" hidden="false" customHeight="false" outlineLevel="0" collapsed="false">
      <c r="A331" s="43" t="s">
        <v>898</v>
      </c>
      <c r="B331" s="43" t="s">
        <v>899</v>
      </c>
      <c r="C331" s="44" t="str">
        <f aca="false">IF(A331="","",IFERROR(INDEX(Assumptions!$B$41:$B$55,MATCH(TRUE(),INDEX(ISNUMBER(SEARCH(" "&amp;Assumptions!$A$41:$A$55&amp;" "," "&amp;SUBSTITUTE(SUBSTITUTE(SUBSTITUTE(SUBSTITUTE(B331,"-"," "),","," "),"/"," "),"."," ")&amp;" ")),0),0)),"Other"))</f>
        <v>Bags</v>
      </c>
      <c r="D331" s="45" t="n">
        <f aca="false">IF(A331="","",BG331*(1-Assumptions!$B$18))</f>
        <v>2.25</v>
      </c>
      <c r="E331" s="46" t="n">
        <f aca="false">IF(A331="","",INDEX(Assumptions!$B$23:$B$26,MOD(VALUE(LEFT(A331,5)),4)+1))</f>
        <v>4</v>
      </c>
      <c r="F331" s="47" t="n">
        <v>37</v>
      </c>
      <c r="G331" s="48" t="n">
        <v>53</v>
      </c>
      <c r="H331" s="48" t="n">
        <v>12</v>
      </c>
      <c r="I331" s="48" t="n">
        <v>3</v>
      </c>
      <c r="J331" s="48" t="n">
        <v>0</v>
      </c>
      <c r="K331" s="48" t="n">
        <v>1</v>
      </c>
      <c r="L331" s="48" t="n">
        <v>20</v>
      </c>
      <c r="M331" s="48" t="n">
        <v>37</v>
      </c>
      <c r="N331" s="48" t="n">
        <v>0</v>
      </c>
      <c r="O331" s="48" t="n">
        <v>0</v>
      </c>
      <c r="P331" s="48" t="n">
        <v>4</v>
      </c>
      <c r="Q331" s="48" t="n">
        <v>21</v>
      </c>
      <c r="R331" s="48" t="n">
        <v>7</v>
      </c>
      <c r="S331" s="48" t="n">
        <v>29</v>
      </c>
      <c r="T331" s="48" t="n">
        <v>13</v>
      </c>
      <c r="U331" s="48" t="n">
        <v>8</v>
      </c>
      <c r="V331" s="48" t="n">
        <v>10</v>
      </c>
      <c r="W331" s="48" t="n">
        <v>15</v>
      </c>
      <c r="X331" s="48" t="n">
        <v>14</v>
      </c>
      <c r="Y331" s="48" t="n">
        <v>20</v>
      </c>
      <c r="Z331" s="48" t="n">
        <v>5</v>
      </c>
      <c r="AA331" s="48" t="n">
        <v>2</v>
      </c>
      <c r="AB331" s="48" t="n">
        <v>3</v>
      </c>
      <c r="AC331" s="48" t="n">
        <v>19</v>
      </c>
      <c r="AD331" s="48" t="n">
        <v>16</v>
      </c>
      <c r="AE331" s="48" t="n">
        <v>1</v>
      </c>
      <c r="AF331" s="48" t="n">
        <v>6</v>
      </c>
      <c r="AG331" s="48" t="n">
        <v>14</v>
      </c>
      <c r="AH331" s="48" t="n">
        <v>14</v>
      </c>
      <c r="AI331" s="48" t="n">
        <v>7</v>
      </c>
      <c r="AJ331" s="48" t="n">
        <v>10</v>
      </c>
      <c r="AK331" s="48" t="n">
        <v>8</v>
      </c>
      <c r="AL331" s="48" t="n">
        <v>6</v>
      </c>
      <c r="AM331" s="48" t="n">
        <v>27</v>
      </c>
      <c r="AN331" s="48" t="n">
        <v>64</v>
      </c>
      <c r="AO331" s="48" t="n">
        <v>4</v>
      </c>
      <c r="AP331" s="48" t="n">
        <v>19</v>
      </c>
      <c r="AQ331" s="48" t="n">
        <v>302</v>
      </c>
      <c r="AR331" s="48" t="n">
        <v>24</v>
      </c>
      <c r="AS331" s="48" t="n">
        <v>24</v>
      </c>
      <c r="AT331" s="48" t="n">
        <v>15</v>
      </c>
      <c r="AU331" s="48" t="n">
        <v>19</v>
      </c>
      <c r="AV331" s="48" t="n">
        <v>65</v>
      </c>
      <c r="AW331" s="48" t="n">
        <v>44</v>
      </c>
      <c r="AX331" s="48" t="n">
        <v>373</v>
      </c>
      <c r="AY331" s="48" t="n">
        <v>210</v>
      </c>
      <c r="AZ331" s="48" t="n">
        <v>74</v>
      </c>
      <c r="BA331" s="48" t="n">
        <v>23</v>
      </c>
      <c r="BB331" s="48" t="n">
        <v>38</v>
      </c>
      <c r="BC331" s="48" t="n">
        <v>44</v>
      </c>
      <c r="BD331" s="48" t="n">
        <v>83</v>
      </c>
      <c r="BE331" s="48" t="n">
        <v>45</v>
      </c>
      <c r="BF331" s="48" t="n">
        <v>34</v>
      </c>
      <c r="BG331" s="49" t="n">
        <v>3.75</v>
      </c>
    </row>
    <row r="332" customFormat="false" ht="15" hidden="false" customHeight="false" outlineLevel="0" collapsed="false">
      <c r="A332" s="43" t="s">
        <v>900</v>
      </c>
      <c r="B332" s="43" t="s">
        <v>901</v>
      </c>
      <c r="C332" s="44" t="str">
        <f aca="false">IF(A332="","",IFERROR(INDEX(Assumptions!$B$41:$B$55,MATCH(TRUE(),INDEX(ISNUMBER(SEARCH(" "&amp;Assumptions!$A$41:$A$55&amp;" "," "&amp;SUBSTITUTE(SUBSTITUTE(SUBSTITUTE(SUBSTITUTE(B332,"-"," "),","," "),"/"," "),"."," ")&amp;" ")),0),0)),"Other"))</f>
        <v>Other</v>
      </c>
      <c r="D332" s="45" t="n">
        <f aca="false">IF(A332="","",BG332*(1-Assumptions!$B$18))</f>
        <v>1.17</v>
      </c>
      <c r="E332" s="46" t="n">
        <f aca="false">IF(A332="","",INDEX(Assumptions!$B$23:$B$26,MOD(VALUE(LEFT(A332,5)),4)+1))</f>
        <v>8</v>
      </c>
      <c r="F332" s="47" t="n">
        <v>206</v>
      </c>
      <c r="G332" s="48" t="n">
        <v>24</v>
      </c>
      <c r="H332" s="48" t="n">
        <v>14</v>
      </c>
      <c r="I332" s="48" t="n">
        <v>21</v>
      </c>
      <c r="J332" s="48" t="n">
        <v>0</v>
      </c>
      <c r="K332" s="48" t="n">
        <v>10</v>
      </c>
      <c r="L332" s="48" t="n">
        <v>55</v>
      </c>
      <c r="M332" s="48" t="n">
        <v>21</v>
      </c>
      <c r="N332" s="48" t="n">
        <v>37</v>
      </c>
      <c r="O332" s="48" t="n">
        <v>69</v>
      </c>
      <c r="P332" s="48" t="n">
        <v>21</v>
      </c>
      <c r="Q332" s="48" t="n">
        <v>188</v>
      </c>
      <c r="R332" s="48" t="n">
        <v>48</v>
      </c>
      <c r="S332" s="48" t="n">
        <v>157</v>
      </c>
      <c r="T332" s="48" t="n">
        <v>51</v>
      </c>
      <c r="U332" s="48" t="n">
        <v>33</v>
      </c>
      <c r="V332" s="48" t="n">
        <v>30</v>
      </c>
      <c r="W332" s="48" t="n">
        <v>167</v>
      </c>
      <c r="X332" s="48" t="n">
        <v>31</v>
      </c>
      <c r="Y332" s="48" t="n">
        <v>62</v>
      </c>
      <c r="Z332" s="48" t="n">
        <v>40</v>
      </c>
      <c r="AA332" s="48" t="n">
        <v>38</v>
      </c>
      <c r="AB332" s="48" t="n">
        <v>22</v>
      </c>
      <c r="AC332" s="48" t="n">
        <v>112</v>
      </c>
      <c r="AD332" s="48" t="n">
        <v>31</v>
      </c>
      <c r="AE332" s="48" t="n">
        <v>50</v>
      </c>
      <c r="AF332" s="48" t="n">
        <v>260</v>
      </c>
      <c r="AG332" s="48" t="n">
        <v>50</v>
      </c>
      <c r="AH332" s="48" t="n">
        <v>121</v>
      </c>
      <c r="AI332" s="48" t="n">
        <v>90</v>
      </c>
      <c r="AJ332" s="48" t="n">
        <v>24</v>
      </c>
      <c r="AK332" s="48" t="n">
        <v>10</v>
      </c>
      <c r="AL332" s="48" t="n">
        <v>20</v>
      </c>
      <c r="AM332" s="48" t="n">
        <v>113</v>
      </c>
      <c r="AN332" s="48" t="n">
        <v>30</v>
      </c>
      <c r="AO332" s="48" t="n">
        <v>41</v>
      </c>
      <c r="AP332" s="48" t="n">
        <v>168</v>
      </c>
      <c r="AQ332" s="48" t="n">
        <v>50</v>
      </c>
      <c r="AR332" s="48" t="n">
        <v>96</v>
      </c>
      <c r="AS332" s="48" t="n">
        <v>29</v>
      </c>
      <c r="AT332" s="48" t="n">
        <v>64</v>
      </c>
      <c r="AU332" s="48" t="n">
        <v>34</v>
      </c>
      <c r="AV332" s="48" t="n">
        <v>179</v>
      </c>
      <c r="AW332" s="48" t="n">
        <v>16</v>
      </c>
      <c r="AX332" s="48" t="n">
        <v>237</v>
      </c>
      <c r="AY332" s="48" t="n">
        <v>25</v>
      </c>
      <c r="AZ332" s="48" t="n">
        <v>93</v>
      </c>
      <c r="BA332" s="48" t="n">
        <v>73</v>
      </c>
      <c r="BB332" s="48" t="n">
        <v>93</v>
      </c>
      <c r="BC332" s="48" t="n">
        <v>84</v>
      </c>
      <c r="BD332" s="48" t="n">
        <v>138</v>
      </c>
      <c r="BE332" s="48" t="n">
        <v>77</v>
      </c>
      <c r="BF332" s="48" t="n">
        <v>26</v>
      </c>
      <c r="BG332" s="49" t="n">
        <v>1.95</v>
      </c>
    </row>
    <row r="333" customFormat="false" ht="15" hidden="false" customHeight="false" outlineLevel="0" collapsed="false">
      <c r="A333" s="43" t="s">
        <v>902</v>
      </c>
      <c r="B333" s="43" t="s">
        <v>903</v>
      </c>
      <c r="C333" s="44" t="str">
        <f aca="false">IF(A333="","",IFERROR(INDEX(Assumptions!$B$41:$B$55,MATCH(TRUE(),INDEX(ISNUMBER(SEARCH(" "&amp;Assumptions!$A$41:$A$55&amp;" "," "&amp;SUBSTITUTE(SUBSTITUTE(SUBSTITUTE(SUBSTITUTE(B333,"-"," "),","," "),"/"," "),"."," ")&amp;" ")),0),0)),"Other"))</f>
        <v>Lighting</v>
      </c>
      <c r="D333" s="45" t="n">
        <f aca="false">IF(A333="","",BG333*(1-Assumptions!$B$18))</f>
        <v>0.99</v>
      </c>
      <c r="E333" s="46" t="n">
        <f aca="false">IF(A333="","",INDEX(Assumptions!$B$23:$B$26,MOD(VALUE(LEFT(A333,5)),4)+1))</f>
        <v>4</v>
      </c>
      <c r="F333" s="47" t="n">
        <v>671</v>
      </c>
      <c r="G333" s="48" t="n">
        <v>282</v>
      </c>
      <c r="H333" s="48" t="n">
        <v>499</v>
      </c>
      <c r="I333" s="48" t="n">
        <v>13</v>
      </c>
      <c r="J333" s="48" t="n">
        <v>0</v>
      </c>
      <c r="K333" s="48" t="n">
        <v>54</v>
      </c>
      <c r="L333" s="48" t="n">
        <v>25</v>
      </c>
      <c r="M333" s="48" t="n">
        <v>33</v>
      </c>
      <c r="N333" s="48" t="n">
        <v>21</v>
      </c>
      <c r="O333" s="48" t="n">
        <v>114</v>
      </c>
      <c r="P333" s="48" t="n">
        <v>10</v>
      </c>
      <c r="Q333" s="48" t="n">
        <v>37</v>
      </c>
      <c r="R333" s="48" t="n">
        <v>15</v>
      </c>
      <c r="S333" s="48" t="n">
        <v>32</v>
      </c>
      <c r="T333" s="48" t="n">
        <v>41</v>
      </c>
      <c r="U333" s="48" t="n">
        <v>0</v>
      </c>
      <c r="V333" s="48" t="n">
        <v>36</v>
      </c>
      <c r="W333" s="48" t="n">
        <v>73</v>
      </c>
      <c r="X333" s="48" t="n">
        <v>116</v>
      </c>
      <c r="Y333" s="48" t="n">
        <v>42</v>
      </c>
      <c r="Z333" s="48" t="n">
        <v>59</v>
      </c>
      <c r="AA333" s="48" t="n">
        <v>123</v>
      </c>
      <c r="AB333" s="48" t="n">
        <v>25</v>
      </c>
      <c r="AC333" s="48" t="n">
        <v>165</v>
      </c>
      <c r="AD333" s="48" t="n">
        <v>66</v>
      </c>
      <c r="AE333" s="48" t="n">
        <v>11</v>
      </c>
      <c r="AF333" s="48" t="n">
        <v>124</v>
      </c>
      <c r="AG333" s="48" t="n">
        <v>7</v>
      </c>
      <c r="AH333" s="48" t="n">
        <v>19</v>
      </c>
      <c r="AI333" s="48" t="n">
        <v>6</v>
      </c>
      <c r="AJ333" s="48" t="n">
        <v>12</v>
      </c>
      <c r="AK333" s="48" t="n">
        <v>36</v>
      </c>
      <c r="AL333" s="48" t="n">
        <v>108</v>
      </c>
      <c r="AM333" s="48" t="n">
        <v>72</v>
      </c>
      <c r="AN333" s="48" t="n">
        <v>24</v>
      </c>
      <c r="AO333" s="48" t="n">
        <v>42</v>
      </c>
      <c r="AP333" s="48" t="n">
        <v>25</v>
      </c>
      <c r="AQ333" s="48" t="n">
        <v>108</v>
      </c>
      <c r="AR333" s="48" t="n">
        <v>6</v>
      </c>
      <c r="AS333" s="48" t="n">
        <v>90</v>
      </c>
      <c r="AT333" s="48" t="n">
        <v>68</v>
      </c>
      <c r="AU333" s="48" t="n">
        <v>22</v>
      </c>
      <c r="AV333" s="48" t="n">
        <v>150</v>
      </c>
      <c r="AW333" s="48" t="n">
        <v>8</v>
      </c>
      <c r="AX333" s="48" t="n">
        <v>72</v>
      </c>
      <c r="AY333" s="48" t="n">
        <v>179</v>
      </c>
      <c r="AZ333" s="48" t="n">
        <v>387</v>
      </c>
      <c r="BA333" s="48" t="n">
        <v>22</v>
      </c>
      <c r="BB333" s="48" t="n">
        <v>74</v>
      </c>
      <c r="BC333" s="48" t="n">
        <v>135</v>
      </c>
      <c r="BD333" s="48" t="n">
        <v>372</v>
      </c>
      <c r="BE333" s="48" t="n">
        <v>68</v>
      </c>
      <c r="BF333" s="48" t="n">
        <v>231</v>
      </c>
      <c r="BG333" s="49" t="n">
        <v>1.65</v>
      </c>
    </row>
    <row r="334" customFormat="false" ht="15" hidden="false" customHeight="false" outlineLevel="0" collapsed="false">
      <c r="A334" s="43" t="s">
        <v>904</v>
      </c>
      <c r="B334" s="43" t="s">
        <v>905</v>
      </c>
      <c r="C334" s="44" t="str">
        <f aca="false">IF(A334="","",IFERROR(INDEX(Assumptions!$B$41:$B$55,MATCH(TRUE(),INDEX(ISNUMBER(SEARCH(" "&amp;Assumptions!$A$41:$A$55&amp;" "," "&amp;SUBSTITUTE(SUBSTITUTE(SUBSTITUTE(SUBSTITUTE(B334,"-"," "),","," "),"/"," "),"."," ")&amp;" ")),0),0)),"Other"))</f>
        <v>Other</v>
      </c>
      <c r="D334" s="45" t="n">
        <f aca="false">IF(A334="","",BG334*(1-Assumptions!$B$18))</f>
        <v>0.75</v>
      </c>
      <c r="E334" s="46" t="n">
        <f aca="false">IF(A334="","",INDEX(Assumptions!$B$23:$B$26,MOD(VALUE(LEFT(A334,5)),4)+1))</f>
        <v>4</v>
      </c>
      <c r="F334" s="47" t="n">
        <v>110</v>
      </c>
      <c r="G334" s="48" t="n">
        <v>346</v>
      </c>
      <c r="H334" s="48" t="n">
        <v>369</v>
      </c>
      <c r="I334" s="48" t="n">
        <v>7</v>
      </c>
      <c r="J334" s="48" t="n">
        <v>0</v>
      </c>
      <c r="K334" s="48" t="n">
        <v>24</v>
      </c>
      <c r="L334" s="48" t="n">
        <v>193</v>
      </c>
      <c r="M334" s="48" t="n">
        <v>32</v>
      </c>
      <c r="N334" s="48" t="n">
        <v>43</v>
      </c>
      <c r="O334" s="48" t="n">
        <v>13</v>
      </c>
      <c r="P334" s="48" t="n">
        <v>25</v>
      </c>
      <c r="Q334" s="48" t="n">
        <v>377</v>
      </c>
      <c r="R334" s="48" t="n">
        <v>137</v>
      </c>
      <c r="S334" s="48" t="n">
        <v>197</v>
      </c>
      <c r="T334" s="48" t="n">
        <v>48</v>
      </c>
      <c r="U334" s="48" t="n">
        <v>336</v>
      </c>
      <c r="V334" s="48" t="n">
        <v>41</v>
      </c>
      <c r="W334" s="48" t="n">
        <v>119</v>
      </c>
      <c r="X334" s="48" t="n">
        <v>82</v>
      </c>
      <c r="Y334" s="48" t="n">
        <v>95</v>
      </c>
      <c r="Z334" s="48" t="n">
        <v>218</v>
      </c>
      <c r="AA334" s="48" t="n">
        <v>61</v>
      </c>
      <c r="AB334" s="48" t="n">
        <v>42</v>
      </c>
      <c r="AC334" s="48" t="n">
        <v>23</v>
      </c>
      <c r="AD334" s="48" t="n">
        <v>48</v>
      </c>
      <c r="AE334" s="48" t="n">
        <v>24</v>
      </c>
      <c r="AF334" s="48" t="n">
        <v>14</v>
      </c>
      <c r="AG334" s="48" t="n">
        <v>46</v>
      </c>
      <c r="AH334" s="48" t="n">
        <v>31</v>
      </c>
      <c r="AI334" s="48" t="n">
        <v>19</v>
      </c>
      <c r="AJ334" s="48" t="n">
        <v>4</v>
      </c>
      <c r="AK334" s="48" t="n">
        <v>50</v>
      </c>
      <c r="AL334" s="48" t="n">
        <v>50</v>
      </c>
      <c r="AM334" s="48" t="n">
        <v>13</v>
      </c>
      <c r="AN334" s="48" t="n">
        <v>81</v>
      </c>
      <c r="AO334" s="48" t="n">
        <v>21</v>
      </c>
      <c r="AP334" s="48" t="n">
        <v>13</v>
      </c>
      <c r="AQ334" s="48" t="n">
        <v>61</v>
      </c>
      <c r="AR334" s="48" t="n">
        <v>24</v>
      </c>
      <c r="AS334" s="48" t="n">
        <v>1</v>
      </c>
      <c r="AT334" s="48" t="n">
        <v>56</v>
      </c>
      <c r="AU334" s="48" t="n">
        <v>185</v>
      </c>
      <c r="AV334" s="48" t="n">
        <v>72</v>
      </c>
      <c r="AW334" s="48" t="n">
        <v>143</v>
      </c>
      <c r="AX334" s="48" t="n">
        <v>160</v>
      </c>
      <c r="AY334" s="48" t="n">
        <v>393</v>
      </c>
      <c r="AZ334" s="48" t="n">
        <v>266</v>
      </c>
      <c r="BA334" s="48" t="n">
        <v>280</v>
      </c>
      <c r="BB334" s="48" t="n">
        <v>165</v>
      </c>
      <c r="BC334" s="48" t="n">
        <v>49</v>
      </c>
      <c r="BD334" s="48" t="n">
        <v>134</v>
      </c>
      <c r="BE334" s="48" t="n">
        <v>397</v>
      </c>
      <c r="BF334" s="48" t="n">
        <v>106</v>
      </c>
      <c r="BG334" s="49" t="n">
        <v>1.25</v>
      </c>
    </row>
    <row r="335" customFormat="false" ht="15" hidden="false" customHeight="false" outlineLevel="0" collapsed="false">
      <c r="A335" s="43" t="s">
        <v>906</v>
      </c>
      <c r="B335" s="43" t="s">
        <v>907</v>
      </c>
      <c r="C335" s="44" t="str">
        <f aca="false">IF(A335="","",IFERROR(INDEX(Assumptions!$B$41:$B$55,MATCH(TRUE(),INDEX(ISNUMBER(SEARCH(" "&amp;Assumptions!$A$41:$A$55&amp;" "," "&amp;SUBSTITUTE(SUBSTITUTE(SUBSTITUTE(SUBSTITUTE(B335,"-"," "),","," "),"/"," "),"."," ")&amp;" ")),0),0)),"Other"))</f>
        <v>Other</v>
      </c>
      <c r="D335" s="45" t="n">
        <f aca="false">IF(A335="","",BG335*(1-Assumptions!$B$18))</f>
        <v>2.97</v>
      </c>
      <c r="E335" s="46" t="n">
        <f aca="false">IF(A335="","",INDEX(Assumptions!$B$23:$B$26,MOD(VALUE(LEFT(A335,5)),4)+1))</f>
        <v>4</v>
      </c>
      <c r="F335" s="47" t="n">
        <v>358</v>
      </c>
      <c r="G335" s="48" t="n">
        <v>42</v>
      </c>
      <c r="H335" s="48" t="n">
        <v>14</v>
      </c>
      <c r="I335" s="48" t="n">
        <v>5</v>
      </c>
      <c r="J335" s="48" t="n">
        <v>0</v>
      </c>
      <c r="K335" s="48" t="n">
        <v>40</v>
      </c>
      <c r="L335" s="48" t="n">
        <v>160</v>
      </c>
      <c r="M335" s="48" t="n">
        <v>54</v>
      </c>
      <c r="N335" s="48" t="n">
        <v>23</v>
      </c>
      <c r="O335" s="48" t="n">
        <v>11</v>
      </c>
      <c r="P335" s="48" t="n">
        <v>8</v>
      </c>
      <c r="Q335" s="48" t="n">
        <v>35</v>
      </c>
      <c r="R335" s="48" t="n">
        <v>45</v>
      </c>
      <c r="S335" s="48" t="n">
        <v>72</v>
      </c>
      <c r="T335" s="48" t="n">
        <v>47</v>
      </c>
      <c r="U335" s="48" t="n">
        <v>13</v>
      </c>
      <c r="V335" s="48" t="n">
        <v>29</v>
      </c>
      <c r="W335" s="48" t="n">
        <v>51</v>
      </c>
      <c r="X335" s="48" t="n">
        <v>36</v>
      </c>
      <c r="Y335" s="48" t="n">
        <v>10</v>
      </c>
      <c r="Z335" s="48" t="n">
        <v>13</v>
      </c>
      <c r="AA335" s="48" t="n">
        <v>5</v>
      </c>
      <c r="AB335" s="48" t="n">
        <v>7</v>
      </c>
      <c r="AC335" s="48" t="n">
        <v>82</v>
      </c>
      <c r="AD335" s="48" t="n">
        <v>8</v>
      </c>
      <c r="AE335" s="48" t="n">
        <v>38</v>
      </c>
      <c r="AF335" s="48" t="n">
        <v>26</v>
      </c>
      <c r="AG335" s="48" t="n">
        <v>10</v>
      </c>
      <c r="AH335" s="48" t="n">
        <v>22</v>
      </c>
      <c r="AI335" s="48" t="n">
        <v>24</v>
      </c>
      <c r="AJ335" s="48" t="n">
        <v>4</v>
      </c>
      <c r="AK335" s="48" t="n">
        <v>2</v>
      </c>
      <c r="AL335" s="48" t="n">
        <v>29</v>
      </c>
      <c r="AM335" s="48" t="n">
        <v>48</v>
      </c>
      <c r="AN335" s="48" t="n">
        <v>6</v>
      </c>
      <c r="AO335" s="48" t="n">
        <v>16</v>
      </c>
      <c r="AP335" s="48" t="n">
        <v>1</v>
      </c>
      <c r="AQ335" s="48" t="n">
        <v>4</v>
      </c>
      <c r="AR335" s="48" t="n">
        <v>14</v>
      </c>
      <c r="AS335" s="48" t="n">
        <v>8</v>
      </c>
      <c r="AT335" s="48" t="n">
        <v>16</v>
      </c>
      <c r="AU335" s="48" t="n">
        <v>12</v>
      </c>
      <c r="AV335" s="48" t="n">
        <v>63</v>
      </c>
      <c r="AW335" s="48" t="n">
        <v>7</v>
      </c>
      <c r="AX335" s="48" t="n">
        <v>30</v>
      </c>
      <c r="AY335" s="48" t="n">
        <v>28</v>
      </c>
      <c r="AZ335" s="48" t="n">
        <v>15</v>
      </c>
      <c r="BA335" s="48" t="n">
        <v>22</v>
      </c>
      <c r="BB335" s="48" t="n">
        <v>34</v>
      </c>
      <c r="BC335" s="48" t="n">
        <v>75</v>
      </c>
      <c r="BD335" s="48" t="n">
        <v>42</v>
      </c>
      <c r="BE335" s="48" t="n">
        <v>10</v>
      </c>
      <c r="BF335" s="48" t="n">
        <v>16</v>
      </c>
      <c r="BG335" s="49" t="n">
        <v>4.95</v>
      </c>
    </row>
    <row r="336" customFormat="false" ht="15" hidden="false" customHeight="false" outlineLevel="0" collapsed="false">
      <c r="A336" s="43" t="s">
        <v>908</v>
      </c>
      <c r="B336" s="43" t="s">
        <v>909</v>
      </c>
      <c r="C336" s="44" t="str">
        <f aca="false">IF(A336="","",IFERROR(INDEX(Assumptions!$B$41:$B$55,MATCH(TRUE(),INDEX(ISNUMBER(SEARCH(" "&amp;Assumptions!$A$41:$A$55&amp;" "," "&amp;SUBSTITUTE(SUBSTITUTE(SUBSTITUTE(SUBSTITUTE(B336,"-"," "),","," "),"/"," "),"."," ")&amp;" ")),0),0)),"Other"))</f>
        <v>Other</v>
      </c>
      <c r="D336" s="45" t="n">
        <f aca="false">IF(A336="","",BG336*(1-Assumptions!$B$18))</f>
        <v>1.53</v>
      </c>
      <c r="E336" s="46" t="n">
        <f aca="false">IF(A336="","",INDEX(Assumptions!$B$23:$B$26,MOD(VALUE(LEFT(A336,5)),4)+1))</f>
        <v>4</v>
      </c>
      <c r="F336" s="47" t="n">
        <v>415</v>
      </c>
      <c r="G336" s="48" t="n">
        <v>84</v>
      </c>
      <c r="H336" s="48" t="n">
        <v>48</v>
      </c>
      <c r="I336" s="48" t="n">
        <v>12</v>
      </c>
      <c r="J336" s="48" t="n">
        <v>0</v>
      </c>
      <c r="K336" s="48" t="n">
        <v>27</v>
      </c>
      <c r="L336" s="48" t="n">
        <v>24</v>
      </c>
      <c r="M336" s="48" t="n">
        <v>49</v>
      </c>
      <c r="N336" s="48" t="n">
        <v>22</v>
      </c>
      <c r="O336" s="48" t="n">
        <v>4</v>
      </c>
      <c r="P336" s="48" t="n">
        <v>13</v>
      </c>
      <c r="Q336" s="48" t="n">
        <v>22</v>
      </c>
      <c r="R336" s="48" t="n">
        <v>40</v>
      </c>
      <c r="S336" s="48" t="n">
        <v>17</v>
      </c>
      <c r="T336" s="48" t="n">
        <v>37</v>
      </c>
      <c r="U336" s="48" t="n">
        <v>53</v>
      </c>
      <c r="V336" s="48" t="n">
        <v>13</v>
      </c>
      <c r="W336" s="48" t="n">
        <v>31</v>
      </c>
      <c r="X336" s="48" t="n">
        <v>106</v>
      </c>
      <c r="Y336" s="48" t="n">
        <v>10</v>
      </c>
      <c r="Z336" s="48" t="n">
        <v>9</v>
      </c>
      <c r="AA336" s="48" t="n">
        <v>8</v>
      </c>
      <c r="AB336" s="48" t="n">
        <v>26</v>
      </c>
      <c r="AC336" s="48" t="n">
        <v>43</v>
      </c>
      <c r="AD336" s="48" t="n">
        <v>49</v>
      </c>
      <c r="AE336" s="48" t="n">
        <v>8</v>
      </c>
      <c r="AF336" s="48" t="n">
        <v>18</v>
      </c>
      <c r="AG336" s="48" t="n">
        <v>53</v>
      </c>
      <c r="AH336" s="48" t="n">
        <v>25</v>
      </c>
      <c r="AI336" s="48" t="n">
        <v>10</v>
      </c>
      <c r="AJ336" s="48" t="n">
        <v>16</v>
      </c>
      <c r="AK336" s="48" t="n">
        <v>13</v>
      </c>
      <c r="AL336" s="48" t="n">
        <v>26</v>
      </c>
      <c r="AM336" s="48" t="n">
        <v>106</v>
      </c>
      <c r="AN336" s="48" t="n">
        <v>64</v>
      </c>
      <c r="AO336" s="48" t="n">
        <v>66</v>
      </c>
      <c r="AP336" s="48" t="n">
        <v>64</v>
      </c>
      <c r="AQ336" s="48" t="n">
        <v>35</v>
      </c>
      <c r="AR336" s="48" t="n">
        <v>25</v>
      </c>
      <c r="AS336" s="48" t="n">
        <v>20</v>
      </c>
      <c r="AT336" s="48" t="n">
        <v>32</v>
      </c>
      <c r="AU336" s="48" t="n">
        <v>23</v>
      </c>
      <c r="AV336" s="48" t="n">
        <v>823</v>
      </c>
      <c r="AW336" s="48" t="n">
        <v>117</v>
      </c>
      <c r="AX336" s="48" t="n">
        <v>118</v>
      </c>
      <c r="AY336" s="48" t="n">
        <v>55</v>
      </c>
      <c r="AZ336" s="48" t="n">
        <v>71</v>
      </c>
      <c r="BA336" s="48" t="n">
        <v>37</v>
      </c>
      <c r="BB336" s="48" t="n">
        <v>20</v>
      </c>
      <c r="BC336" s="48" t="n">
        <v>28</v>
      </c>
      <c r="BD336" s="48" t="n">
        <v>64</v>
      </c>
      <c r="BE336" s="48" t="n">
        <v>15</v>
      </c>
      <c r="BF336" s="48" t="n">
        <v>0</v>
      </c>
      <c r="BG336" s="49" t="n">
        <v>2.55</v>
      </c>
    </row>
    <row r="337" customFormat="false" ht="15" hidden="false" customHeight="false" outlineLevel="0" collapsed="false">
      <c r="A337" s="43" t="s">
        <v>910</v>
      </c>
      <c r="B337" s="43" t="s">
        <v>911</v>
      </c>
      <c r="C337" s="44" t="str">
        <f aca="false">IF(A337="","",IFERROR(INDEX(Assumptions!$B$41:$B$55,MATCH(TRUE(),INDEX(ISNUMBER(SEARCH(" "&amp;Assumptions!$A$41:$A$55&amp;" "," "&amp;SUBSTITUTE(SUBSTITUTE(SUBSTITUTE(SUBSTITUTE(B337,"-"," "),","," "),"/"," "),"."," ")&amp;" ")),0),0)),"Other"))</f>
        <v>Bags</v>
      </c>
      <c r="D337" s="45" t="n">
        <f aca="false">IF(A337="","",BG337*(1-Assumptions!$B$18))</f>
        <v>1.248</v>
      </c>
      <c r="E337" s="46" t="n">
        <f aca="false">IF(A337="","",INDEX(Assumptions!$B$23:$B$26,MOD(VALUE(LEFT(A337,5)),4)+1))</f>
        <v>8</v>
      </c>
      <c r="F337" s="47" t="n">
        <v>2003</v>
      </c>
      <c r="G337" s="48" t="n">
        <v>8</v>
      </c>
      <c r="H337" s="48" t="n">
        <v>47</v>
      </c>
      <c r="I337" s="48" t="n">
        <v>1</v>
      </c>
      <c r="J337" s="48" t="n">
        <v>0</v>
      </c>
      <c r="K337" s="48" t="n">
        <v>24</v>
      </c>
      <c r="L337" s="48" t="n">
        <v>40</v>
      </c>
      <c r="M337" s="48" t="n">
        <v>13</v>
      </c>
      <c r="N337" s="48" t="n">
        <v>51</v>
      </c>
      <c r="O337" s="48" t="n">
        <v>53</v>
      </c>
      <c r="P337" s="48" t="n">
        <v>40</v>
      </c>
      <c r="Q337" s="48" t="n">
        <v>14</v>
      </c>
      <c r="R337" s="48" t="n">
        <v>154</v>
      </c>
      <c r="S337" s="48" t="n">
        <v>39</v>
      </c>
      <c r="T337" s="48" t="n">
        <v>156</v>
      </c>
      <c r="U337" s="48" t="n">
        <v>33</v>
      </c>
      <c r="V337" s="48" t="n">
        <v>30</v>
      </c>
      <c r="W337" s="48" t="n">
        <v>306</v>
      </c>
      <c r="X337" s="48" t="n">
        <v>32</v>
      </c>
      <c r="Y337" s="48" t="n">
        <v>29</v>
      </c>
      <c r="Z337" s="48" t="n">
        <v>34</v>
      </c>
      <c r="AA337" s="48" t="n">
        <v>19</v>
      </c>
      <c r="AB337" s="48" t="n">
        <v>20</v>
      </c>
      <c r="AC337" s="48" t="n">
        <v>122</v>
      </c>
      <c r="AD337" s="48" t="n">
        <v>52</v>
      </c>
      <c r="AE337" s="48" t="n">
        <v>61</v>
      </c>
      <c r="AF337" s="48" t="n">
        <v>42</v>
      </c>
      <c r="AG337" s="48" t="n">
        <v>54</v>
      </c>
      <c r="AH337" s="48" t="n">
        <v>34</v>
      </c>
      <c r="AI337" s="48" t="n">
        <v>16</v>
      </c>
      <c r="AJ337" s="48" t="n">
        <v>65</v>
      </c>
      <c r="AK337" s="48" t="n">
        <v>192</v>
      </c>
      <c r="AL337" s="48" t="n">
        <v>75</v>
      </c>
      <c r="AM337" s="48" t="n">
        <v>95</v>
      </c>
      <c r="AN337" s="48" t="n">
        <v>14</v>
      </c>
      <c r="AO337" s="48" t="n">
        <v>159</v>
      </c>
      <c r="AP337" s="48" t="n">
        <v>199</v>
      </c>
      <c r="AQ337" s="48" t="n">
        <v>77</v>
      </c>
      <c r="AR337" s="48" t="n">
        <v>72</v>
      </c>
      <c r="AS337" s="48" t="n">
        <v>34</v>
      </c>
      <c r="AT337" s="48" t="n">
        <v>126</v>
      </c>
      <c r="AU337" s="48" t="n">
        <v>117</v>
      </c>
      <c r="AV337" s="48" t="n">
        <v>80</v>
      </c>
      <c r="AW337" s="48" t="n">
        <v>63</v>
      </c>
      <c r="AX337" s="48" t="n">
        <v>37</v>
      </c>
      <c r="AY337" s="48" t="n">
        <v>38</v>
      </c>
      <c r="AZ337" s="48" t="n">
        <v>51</v>
      </c>
      <c r="BA337" s="48" t="n">
        <v>15</v>
      </c>
      <c r="BB337" s="48" t="n">
        <v>56</v>
      </c>
      <c r="BC337" s="48" t="n">
        <v>126</v>
      </c>
      <c r="BD337" s="48" t="n">
        <v>50</v>
      </c>
      <c r="BE337" s="48" t="n">
        <v>41</v>
      </c>
      <c r="BF337" s="48" t="n">
        <v>54</v>
      </c>
      <c r="BG337" s="49" t="n">
        <v>2.08</v>
      </c>
    </row>
    <row r="338" customFormat="false" ht="15" hidden="false" customHeight="false" outlineLevel="0" collapsed="false">
      <c r="A338" s="43" t="s">
        <v>912</v>
      </c>
      <c r="B338" s="43" t="s">
        <v>913</v>
      </c>
      <c r="C338" s="44" t="str">
        <f aca="false">IF(A338="","",IFERROR(INDEX(Assumptions!$B$41:$B$55,MATCH(TRUE(),INDEX(ISNUMBER(SEARCH(" "&amp;Assumptions!$A$41:$A$55&amp;" "," "&amp;SUBSTITUTE(SUBSTITUTE(SUBSTITUTE(SUBSTITUTE(B338,"-"," "),","," "),"/"," "),"."," ")&amp;" ")),0),0)),"Other"))</f>
        <v>Other</v>
      </c>
      <c r="D338" s="45" t="n">
        <f aca="false">IF(A338="","",BG338*(1-Assumptions!$B$18))</f>
        <v>2.25</v>
      </c>
      <c r="E338" s="46" t="n">
        <f aca="false">IF(A338="","",INDEX(Assumptions!$B$23:$B$26,MOD(VALUE(LEFT(A338,5)),4)+1))</f>
        <v>8</v>
      </c>
      <c r="F338" s="47" t="n">
        <v>355</v>
      </c>
      <c r="G338" s="48" t="n">
        <v>0</v>
      </c>
      <c r="H338" s="48" t="n">
        <v>0</v>
      </c>
      <c r="I338" s="48" t="n">
        <v>0</v>
      </c>
      <c r="J338" s="48" t="n">
        <v>0</v>
      </c>
      <c r="K338" s="48" t="n">
        <v>0</v>
      </c>
      <c r="L338" s="48" t="n">
        <v>0</v>
      </c>
      <c r="M338" s="48" t="n">
        <v>0</v>
      </c>
      <c r="N338" s="48" t="n">
        <v>0</v>
      </c>
      <c r="O338" s="48" t="n">
        <v>0</v>
      </c>
      <c r="P338" s="48" t="n">
        <v>0</v>
      </c>
      <c r="Q338" s="48" t="n">
        <v>0</v>
      </c>
      <c r="R338" s="48" t="n">
        <v>0</v>
      </c>
      <c r="S338" s="48" t="n">
        <v>0</v>
      </c>
      <c r="T338" s="48" t="n">
        <v>0</v>
      </c>
      <c r="U338" s="48" t="n">
        <v>0</v>
      </c>
      <c r="V338" s="48" t="n">
        <v>0</v>
      </c>
      <c r="W338" s="48" t="n">
        <v>0</v>
      </c>
      <c r="X338" s="48" t="n">
        <v>0</v>
      </c>
      <c r="Y338" s="48" t="n">
        <v>0</v>
      </c>
      <c r="Z338" s="48" t="n">
        <v>0</v>
      </c>
      <c r="AA338" s="48" t="n">
        <v>0</v>
      </c>
      <c r="AB338" s="48" t="n">
        <v>0</v>
      </c>
      <c r="AC338" s="48" t="n">
        <v>2</v>
      </c>
      <c r="AD338" s="48" t="n">
        <v>37</v>
      </c>
      <c r="AE338" s="48" t="n">
        <v>66</v>
      </c>
      <c r="AF338" s="48" t="n">
        <v>31</v>
      </c>
      <c r="AG338" s="48" t="n">
        <v>24</v>
      </c>
      <c r="AH338" s="48" t="n">
        <v>6</v>
      </c>
      <c r="AI338" s="48" t="n">
        <v>24</v>
      </c>
      <c r="AJ338" s="48" t="n">
        <v>0</v>
      </c>
      <c r="AK338" s="48" t="n">
        <v>13</v>
      </c>
      <c r="AL338" s="48" t="n">
        <v>8</v>
      </c>
      <c r="AM338" s="48" t="n">
        <v>20</v>
      </c>
      <c r="AN338" s="48" t="n">
        <v>50</v>
      </c>
      <c r="AO338" s="48" t="n">
        <v>30</v>
      </c>
      <c r="AP338" s="48" t="n">
        <v>12</v>
      </c>
      <c r="AQ338" s="48" t="n">
        <v>8</v>
      </c>
      <c r="AR338" s="48" t="n">
        <v>18</v>
      </c>
      <c r="AS338" s="48" t="n">
        <v>35</v>
      </c>
      <c r="AT338" s="48" t="n">
        <v>60</v>
      </c>
      <c r="AU338" s="48" t="n">
        <v>78</v>
      </c>
      <c r="AV338" s="48" t="n">
        <v>140</v>
      </c>
      <c r="AW338" s="48" t="n">
        <v>58</v>
      </c>
      <c r="AX338" s="48" t="n">
        <v>69</v>
      </c>
      <c r="AY338" s="48" t="n">
        <v>89</v>
      </c>
      <c r="AZ338" s="48" t="n">
        <v>81</v>
      </c>
      <c r="BA338" s="48" t="n">
        <v>91</v>
      </c>
      <c r="BB338" s="48" t="n">
        <v>104</v>
      </c>
      <c r="BC338" s="48" t="n">
        <v>247</v>
      </c>
      <c r="BD338" s="48" t="n">
        <v>97</v>
      </c>
      <c r="BE338" s="48" t="n">
        <v>119</v>
      </c>
      <c r="BF338" s="48" t="n">
        <v>231</v>
      </c>
      <c r="BG338" s="49" t="n">
        <v>3.75</v>
      </c>
    </row>
    <row r="339" customFormat="false" ht="15" hidden="false" customHeight="false" outlineLevel="0" collapsed="false">
      <c r="A339" s="43" t="s">
        <v>914</v>
      </c>
      <c r="B339" s="43" t="s">
        <v>915</v>
      </c>
      <c r="C339" s="44" t="str">
        <f aca="false">IF(A339="","",IFERROR(INDEX(Assumptions!$B$41:$B$55,MATCH(TRUE(),INDEX(ISNUMBER(SEARCH(" "&amp;Assumptions!$A$41:$A$55&amp;" "," "&amp;SUBSTITUTE(SUBSTITUTE(SUBSTITUTE(SUBSTITUTE(B339,"-"," "),","," "),"/"," "),"."," ")&amp;" ")),0),0)),"Other"))</f>
        <v>Other</v>
      </c>
      <c r="D339" s="45" t="n">
        <f aca="false">IF(A339="","",BG339*(1-Assumptions!$B$18))</f>
        <v>1.248</v>
      </c>
      <c r="E339" s="46" t="n">
        <f aca="false">IF(A339="","",INDEX(Assumptions!$B$23:$B$26,MOD(VALUE(LEFT(A339,5)),4)+1))</f>
        <v>8</v>
      </c>
      <c r="F339" s="47" t="n">
        <v>202</v>
      </c>
      <c r="G339" s="48" t="n">
        <v>0</v>
      </c>
      <c r="H339" s="48" t="n">
        <v>0</v>
      </c>
      <c r="I339" s="48" t="n">
        <v>0</v>
      </c>
      <c r="J339" s="48" t="n">
        <v>0</v>
      </c>
      <c r="K339" s="48" t="n">
        <v>0</v>
      </c>
      <c r="L339" s="48" t="n">
        <v>0</v>
      </c>
      <c r="M339" s="48" t="n">
        <v>0</v>
      </c>
      <c r="N339" s="48" t="n">
        <v>0</v>
      </c>
      <c r="O339" s="48" t="n">
        <v>0</v>
      </c>
      <c r="P339" s="48" t="n">
        <v>0</v>
      </c>
      <c r="Q339" s="48" t="n">
        <v>0</v>
      </c>
      <c r="R339" s="48" t="n">
        <v>0</v>
      </c>
      <c r="S339" s="48" t="n">
        <v>0</v>
      </c>
      <c r="T339" s="48" t="n">
        <v>0</v>
      </c>
      <c r="U339" s="48" t="n">
        <v>0</v>
      </c>
      <c r="V339" s="48" t="n">
        <v>0</v>
      </c>
      <c r="W339" s="48" t="n">
        <v>0</v>
      </c>
      <c r="X339" s="48" t="n">
        <v>0</v>
      </c>
      <c r="Y339" s="48" t="n">
        <v>0</v>
      </c>
      <c r="Z339" s="48" t="n">
        <v>0</v>
      </c>
      <c r="AA339" s="48" t="n">
        <v>0</v>
      </c>
      <c r="AB339" s="48" t="n">
        <v>0</v>
      </c>
      <c r="AC339" s="48" t="n">
        <v>0</v>
      </c>
      <c r="AD339" s="48" t="n">
        <v>0</v>
      </c>
      <c r="AE339" s="48" t="n">
        <v>0</v>
      </c>
      <c r="AF339" s="48" t="n">
        <v>24</v>
      </c>
      <c r="AG339" s="48" t="n">
        <v>12</v>
      </c>
      <c r="AH339" s="48" t="n">
        <v>0</v>
      </c>
      <c r="AI339" s="48" t="n">
        <v>0</v>
      </c>
      <c r="AJ339" s="48" t="n">
        <v>4</v>
      </c>
      <c r="AK339" s="48" t="n">
        <v>11</v>
      </c>
      <c r="AL339" s="48" t="n">
        <v>0</v>
      </c>
      <c r="AM339" s="48" t="n">
        <v>51</v>
      </c>
      <c r="AN339" s="48" t="n">
        <v>1</v>
      </c>
      <c r="AO339" s="48" t="n">
        <v>606</v>
      </c>
      <c r="AP339" s="48" t="n">
        <v>178</v>
      </c>
      <c r="AQ339" s="48" t="n">
        <v>3</v>
      </c>
      <c r="AR339" s="48" t="n">
        <v>0</v>
      </c>
      <c r="AS339" s="48" t="n">
        <v>28</v>
      </c>
      <c r="AT339" s="48" t="n">
        <v>33</v>
      </c>
      <c r="AU339" s="48" t="n">
        <v>81</v>
      </c>
      <c r="AV339" s="48" t="n">
        <v>183</v>
      </c>
      <c r="AW339" s="48" t="n">
        <v>73</v>
      </c>
      <c r="AX339" s="48" t="n">
        <v>83</v>
      </c>
      <c r="AY339" s="48" t="n">
        <v>166</v>
      </c>
      <c r="AZ339" s="48" t="n">
        <v>194</v>
      </c>
      <c r="BA339" s="48" t="n">
        <v>86</v>
      </c>
      <c r="BB339" s="48" t="n">
        <v>144</v>
      </c>
      <c r="BC339" s="48" t="n">
        <v>460</v>
      </c>
      <c r="BD339" s="48" t="n">
        <v>709</v>
      </c>
      <c r="BE339" s="48" t="n">
        <v>141</v>
      </c>
      <c r="BF339" s="48" t="n">
        <v>224</v>
      </c>
      <c r="BG339" s="49" t="n">
        <v>2.08</v>
      </c>
    </row>
    <row r="340" customFormat="false" ht="15" hidden="false" customHeight="false" outlineLevel="0" collapsed="false">
      <c r="A340" s="43" t="s">
        <v>916</v>
      </c>
      <c r="B340" s="43" t="s">
        <v>917</v>
      </c>
      <c r="C340" s="44" t="str">
        <f aca="false">IF(A340="","",IFERROR(INDEX(Assumptions!$B$41:$B$55,MATCH(TRUE(),INDEX(ISNUMBER(SEARCH(" "&amp;Assumptions!$A$41:$A$55&amp;" "," "&amp;SUBSTITUTE(SUBSTITUTE(SUBSTITUTE(SUBSTITUTE(B340,"-"," "),","," "),"/"," "),"."," ")&amp;" ")),0),0)),"Other"))</f>
        <v>Bags</v>
      </c>
      <c r="D340" s="45" t="n">
        <f aca="false">IF(A340="","",BG340*(1-Assumptions!$B$18))</f>
        <v>0.99</v>
      </c>
      <c r="E340" s="46" t="n">
        <f aca="false">IF(A340="","",INDEX(Assumptions!$B$23:$B$26,MOD(VALUE(LEFT(A340,5)),4)+1))</f>
        <v>4</v>
      </c>
      <c r="F340" s="47" t="n">
        <v>4054</v>
      </c>
      <c r="G340" s="48" t="n">
        <v>62</v>
      </c>
      <c r="H340" s="48" t="n">
        <v>16</v>
      </c>
      <c r="I340" s="48" t="n">
        <v>18</v>
      </c>
      <c r="J340" s="48" t="n">
        <v>0</v>
      </c>
      <c r="K340" s="48" t="n">
        <v>68</v>
      </c>
      <c r="L340" s="48" t="n">
        <v>231</v>
      </c>
      <c r="M340" s="48" t="n">
        <v>120</v>
      </c>
      <c r="N340" s="48" t="n">
        <v>43</v>
      </c>
      <c r="O340" s="48" t="n">
        <v>134</v>
      </c>
      <c r="P340" s="48" t="n">
        <v>140</v>
      </c>
      <c r="Q340" s="48" t="n">
        <v>253</v>
      </c>
      <c r="R340" s="48" t="n">
        <v>96</v>
      </c>
      <c r="S340" s="48" t="n">
        <v>127</v>
      </c>
      <c r="T340" s="48" t="n">
        <v>40</v>
      </c>
      <c r="U340" s="48" t="n">
        <v>44</v>
      </c>
      <c r="V340" s="48" t="n">
        <v>60</v>
      </c>
      <c r="W340" s="48" t="n">
        <v>187</v>
      </c>
      <c r="X340" s="48" t="n">
        <v>187</v>
      </c>
      <c r="Y340" s="48" t="n">
        <v>27</v>
      </c>
      <c r="Z340" s="48" t="n">
        <v>67</v>
      </c>
      <c r="AA340" s="48" t="n">
        <v>11</v>
      </c>
      <c r="AB340" s="48" t="n">
        <v>17</v>
      </c>
      <c r="AC340" s="48" t="n">
        <v>16</v>
      </c>
      <c r="AD340" s="48" t="n">
        <v>112</v>
      </c>
      <c r="AE340" s="48" t="n">
        <v>68</v>
      </c>
      <c r="AF340" s="48" t="n">
        <v>60</v>
      </c>
      <c r="AG340" s="48" t="n">
        <v>129</v>
      </c>
      <c r="AH340" s="48" t="n">
        <v>161</v>
      </c>
      <c r="AI340" s="48" t="n">
        <v>101</v>
      </c>
      <c r="AJ340" s="48" t="n">
        <v>108</v>
      </c>
      <c r="AK340" s="48" t="n">
        <v>15</v>
      </c>
      <c r="AL340" s="48" t="n">
        <v>138</v>
      </c>
      <c r="AM340" s="48" t="n">
        <v>68</v>
      </c>
      <c r="AN340" s="48" t="n">
        <v>15</v>
      </c>
      <c r="AO340" s="48" t="n">
        <v>61</v>
      </c>
      <c r="AP340" s="48" t="n">
        <v>116</v>
      </c>
      <c r="AQ340" s="48" t="n">
        <v>88</v>
      </c>
      <c r="AR340" s="48" t="n">
        <v>25</v>
      </c>
      <c r="AS340" s="48" t="n">
        <v>34</v>
      </c>
      <c r="AT340" s="48" t="n">
        <v>46</v>
      </c>
      <c r="AU340" s="48" t="n">
        <v>209</v>
      </c>
      <c r="AV340" s="48" t="n">
        <v>162</v>
      </c>
      <c r="AW340" s="48" t="n">
        <v>58</v>
      </c>
      <c r="AX340" s="48" t="n">
        <v>30</v>
      </c>
      <c r="AY340" s="48" t="n">
        <v>25</v>
      </c>
      <c r="AZ340" s="48" t="n">
        <v>138</v>
      </c>
      <c r="BA340" s="48" t="n">
        <v>34</v>
      </c>
      <c r="BB340" s="48" t="n">
        <v>80</v>
      </c>
      <c r="BC340" s="48" t="n">
        <v>87</v>
      </c>
      <c r="BD340" s="48" t="n">
        <v>115</v>
      </c>
      <c r="BE340" s="48" t="n">
        <v>142</v>
      </c>
      <c r="BF340" s="48" t="n">
        <v>3</v>
      </c>
      <c r="BG340" s="49" t="n">
        <v>1.65</v>
      </c>
    </row>
    <row r="341" customFormat="false" ht="15" hidden="false" customHeight="false" outlineLevel="0" collapsed="false">
      <c r="A341" s="43" t="s">
        <v>918</v>
      </c>
      <c r="B341" s="43" t="s">
        <v>919</v>
      </c>
      <c r="C341" s="44" t="str">
        <f aca="false">IF(A341="","",IFERROR(INDEX(Assumptions!$B$41:$B$55,MATCH(TRUE(),INDEX(ISNUMBER(SEARCH(" "&amp;Assumptions!$A$41:$A$55&amp;" "," "&amp;SUBSTITUTE(SUBSTITUTE(SUBSTITUTE(SUBSTITUTE(B341,"-"," "),","," "),"/"," "),"."," ")&amp;" ")),0),0)),"Other"))</f>
        <v>Other</v>
      </c>
      <c r="D341" s="45" t="n">
        <f aca="false">IF(A341="","",BG341*(1-Assumptions!$B$18))</f>
        <v>7.65</v>
      </c>
      <c r="E341" s="46" t="n">
        <f aca="false">IF(A341="","",INDEX(Assumptions!$B$23:$B$26,MOD(VALUE(LEFT(A341,5)),4)+1))</f>
        <v>4</v>
      </c>
      <c r="F341" s="47" t="n">
        <v>10</v>
      </c>
      <c r="G341" s="48" t="n">
        <v>4</v>
      </c>
      <c r="H341" s="48" t="n">
        <v>2</v>
      </c>
      <c r="I341" s="48" t="n">
        <v>1</v>
      </c>
      <c r="J341" s="48" t="n">
        <v>0</v>
      </c>
      <c r="K341" s="48" t="n">
        <v>1</v>
      </c>
      <c r="L341" s="48" t="n">
        <v>2</v>
      </c>
      <c r="M341" s="48" t="n">
        <v>14</v>
      </c>
      <c r="N341" s="48" t="n">
        <v>3</v>
      </c>
      <c r="O341" s="48" t="n">
        <v>2</v>
      </c>
      <c r="P341" s="48" t="n">
        <v>2</v>
      </c>
      <c r="Q341" s="48" t="n">
        <v>10</v>
      </c>
      <c r="R341" s="48" t="n">
        <v>12</v>
      </c>
      <c r="S341" s="48" t="n">
        <v>9</v>
      </c>
      <c r="T341" s="48" t="n">
        <v>5</v>
      </c>
      <c r="U341" s="48" t="n">
        <v>17</v>
      </c>
      <c r="V341" s="48" t="n">
        <v>7</v>
      </c>
      <c r="W341" s="48" t="n">
        <v>14</v>
      </c>
      <c r="X341" s="48" t="n">
        <v>8</v>
      </c>
      <c r="Y341" s="48" t="n">
        <v>9</v>
      </c>
      <c r="Z341" s="48" t="n">
        <v>8</v>
      </c>
      <c r="AA341" s="48" t="n">
        <v>6</v>
      </c>
      <c r="AB341" s="48" t="n">
        <v>10</v>
      </c>
      <c r="AC341" s="48" t="n">
        <v>17</v>
      </c>
      <c r="AD341" s="48" t="n">
        <v>13</v>
      </c>
      <c r="AE341" s="48" t="n">
        <v>6</v>
      </c>
      <c r="AF341" s="48" t="n">
        <v>43</v>
      </c>
      <c r="AG341" s="48" t="n">
        <v>30</v>
      </c>
      <c r="AH341" s="48" t="n">
        <v>11</v>
      </c>
      <c r="AI341" s="48" t="n">
        <v>11</v>
      </c>
      <c r="AJ341" s="48" t="n">
        <v>14</v>
      </c>
      <c r="AK341" s="48" t="n">
        <v>8</v>
      </c>
      <c r="AL341" s="48" t="n">
        <v>6</v>
      </c>
      <c r="AM341" s="48" t="n">
        <v>24</v>
      </c>
      <c r="AN341" s="48" t="n">
        <v>5</v>
      </c>
      <c r="AO341" s="48" t="n">
        <v>7</v>
      </c>
      <c r="AP341" s="48" t="n">
        <v>8</v>
      </c>
      <c r="AQ341" s="48" t="n">
        <v>7</v>
      </c>
      <c r="AR341" s="48" t="n">
        <v>10</v>
      </c>
      <c r="AS341" s="48" t="n">
        <v>2</v>
      </c>
      <c r="AT341" s="48" t="n">
        <v>2</v>
      </c>
      <c r="AU341" s="48" t="n">
        <v>15</v>
      </c>
      <c r="AV341" s="48" t="n">
        <v>15</v>
      </c>
      <c r="AW341" s="48" t="n">
        <v>22</v>
      </c>
      <c r="AX341" s="48" t="n">
        <v>1</v>
      </c>
      <c r="AY341" s="48" t="n">
        <v>10</v>
      </c>
      <c r="AZ341" s="48" t="n">
        <v>0</v>
      </c>
      <c r="BA341" s="48" t="n">
        <v>5</v>
      </c>
      <c r="BB341" s="48" t="n">
        <v>5</v>
      </c>
      <c r="BC341" s="48" t="n">
        <v>16</v>
      </c>
      <c r="BD341" s="48" t="n">
        <v>20</v>
      </c>
      <c r="BE341" s="48" t="n">
        <v>7</v>
      </c>
      <c r="BF341" s="48" t="n">
        <v>12</v>
      </c>
      <c r="BG341" s="49" t="n">
        <v>12.75</v>
      </c>
    </row>
    <row r="342" customFormat="false" ht="15" hidden="false" customHeight="false" outlineLevel="0" collapsed="false">
      <c r="A342" s="43" t="s">
        <v>920</v>
      </c>
      <c r="B342" s="43" t="s">
        <v>921</v>
      </c>
      <c r="C342" s="44" t="str">
        <f aca="false">IF(A342="","",IFERROR(INDEX(Assumptions!$B$41:$B$55,MATCH(TRUE(),INDEX(ISNUMBER(SEARCH(" "&amp;Assumptions!$A$41:$A$55&amp;" "," "&amp;SUBSTITUTE(SUBSTITUTE(SUBSTITUTE(SUBSTITUTE(B342,"-"," "),","," "),"/"," "),"."," ")&amp;" ")),0),0)),"Other"))</f>
        <v>Other</v>
      </c>
      <c r="D342" s="45" t="n">
        <f aca="false">IF(A342="","",BG342*(1-Assumptions!$B$18))</f>
        <v>5.97</v>
      </c>
      <c r="E342" s="46" t="n">
        <f aca="false">IF(A342="","",INDEX(Assumptions!$B$23:$B$26,MOD(VALUE(LEFT(A342,5)),4)+1))</f>
        <v>8</v>
      </c>
      <c r="F342" s="47" t="n">
        <v>100</v>
      </c>
      <c r="G342" s="48" t="n">
        <v>9</v>
      </c>
      <c r="H342" s="48" t="n">
        <v>2</v>
      </c>
      <c r="I342" s="48" t="n">
        <v>0</v>
      </c>
      <c r="J342" s="48" t="n">
        <v>0</v>
      </c>
      <c r="K342" s="48" t="n">
        <v>29</v>
      </c>
      <c r="L342" s="48" t="n">
        <v>3</v>
      </c>
      <c r="M342" s="48" t="n">
        <v>24</v>
      </c>
      <c r="N342" s="48" t="n">
        <v>21</v>
      </c>
      <c r="O342" s="48" t="n">
        <v>37</v>
      </c>
      <c r="P342" s="48" t="n">
        <v>7</v>
      </c>
      <c r="Q342" s="48" t="n">
        <v>21</v>
      </c>
      <c r="R342" s="48" t="n">
        <v>4</v>
      </c>
      <c r="S342" s="48" t="n">
        <v>4</v>
      </c>
      <c r="T342" s="48" t="n">
        <v>24</v>
      </c>
      <c r="U342" s="48" t="n">
        <v>10</v>
      </c>
      <c r="V342" s="48" t="n">
        <v>15</v>
      </c>
      <c r="W342" s="48" t="n">
        <v>11</v>
      </c>
      <c r="X342" s="48" t="n">
        <v>11</v>
      </c>
      <c r="Y342" s="48" t="n">
        <v>12</v>
      </c>
      <c r="Z342" s="48" t="n">
        <v>6</v>
      </c>
      <c r="AA342" s="48" t="n">
        <v>0</v>
      </c>
      <c r="AB342" s="48" t="n">
        <v>8</v>
      </c>
      <c r="AC342" s="48" t="n">
        <v>14</v>
      </c>
      <c r="AD342" s="48" t="n">
        <v>6</v>
      </c>
      <c r="AE342" s="48" t="n">
        <v>10</v>
      </c>
      <c r="AF342" s="48" t="n">
        <v>6</v>
      </c>
      <c r="AG342" s="48" t="n">
        <v>31</v>
      </c>
      <c r="AH342" s="48" t="n">
        <v>8</v>
      </c>
      <c r="AI342" s="48" t="n">
        <v>2</v>
      </c>
      <c r="AJ342" s="48" t="n">
        <v>4</v>
      </c>
      <c r="AK342" s="48" t="n">
        <v>4</v>
      </c>
      <c r="AL342" s="48" t="n">
        <v>15</v>
      </c>
      <c r="AM342" s="48" t="n">
        <v>9</v>
      </c>
      <c r="AN342" s="48" t="n">
        <v>10</v>
      </c>
      <c r="AO342" s="48" t="n">
        <v>8</v>
      </c>
      <c r="AP342" s="48" t="n">
        <v>6</v>
      </c>
      <c r="AQ342" s="48" t="n">
        <v>12</v>
      </c>
      <c r="AR342" s="48" t="n">
        <v>12</v>
      </c>
      <c r="AS342" s="48" t="n">
        <v>10</v>
      </c>
      <c r="AT342" s="48" t="n">
        <v>21</v>
      </c>
      <c r="AU342" s="48" t="n">
        <v>22</v>
      </c>
      <c r="AV342" s="48" t="n">
        <v>149</v>
      </c>
      <c r="AW342" s="48" t="n">
        <v>12</v>
      </c>
      <c r="AX342" s="48" t="n">
        <v>9</v>
      </c>
      <c r="AY342" s="48" t="n">
        <v>13</v>
      </c>
      <c r="AZ342" s="48" t="n">
        <v>6</v>
      </c>
      <c r="BA342" s="48" t="n">
        <v>6</v>
      </c>
      <c r="BB342" s="48" t="n">
        <v>41</v>
      </c>
      <c r="BC342" s="48" t="n">
        <v>13</v>
      </c>
      <c r="BD342" s="48" t="n">
        <v>5</v>
      </c>
      <c r="BE342" s="48" t="n">
        <v>12</v>
      </c>
      <c r="BF342" s="48" t="n">
        <v>10</v>
      </c>
      <c r="BG342" s="49" t="n">
        <v>9.95</v>
      </c>
    </row>
    <row r="343" customFormat="false" ht="15" hidden="false" customHeight="false" outlineLevel="0" collapsed="false">
      <c r="A343" s="43" t="s">
        <v>922</v>
      </c>
      <c r="B343" s="43" t="s">
        <v>923</v>
      </c>
      <c r="C343" s="44" t="str">
        <f aca="false">IF(A343="","",IFERROR(INDEX(Assumptions!$B$41:$B$55,MATCH(TRUE(),INDEX(ISNUMBER(SEARCH(" "&amp;Assumptions!$A$41:$A$55&amp;" "," "&amp;SUBSTITUTE(SUBSTITUTE(SUBSTITUTE(SUBSTITUTE(B343,"-"," "),","," "),"/"," "),"."," ")&amp;" ")),0),0)),"Other"))</f>
        <v>Other</v>
      </c>
      <c r="D343" s="45" t="n">
        <f aca="false">IF(A343="","",BG343*(1-Assumptions!$B$18))</f>
        <v>10.17</v>
      </c>
      <c r="E343" s="46" t="n">
        <f aca="false">IF(A343="","",INDEX(Assumptions!$B$23:$B$26,MOD(VALUE(LEFT(A343,5)),4)+1))</f>
        <v>6</v>
      </c>
      <c r="F343" s="47" t="n">
        <v>68</v>
      </c>
      <c r="G343" s="48" t="n">
        <v>9</v>
      </c>
      <c r="H343" s="48" t="n">
        <v>0</v>
      </c>
      <c r="I343" s="48" t="n">
        <v>0</v>
      </c>
      <c r="J343" s="48" t="n">
        <v>0</v>
      </c>
      <c r="K343" s="48" t="n">
        <v>1</v>
      </c>
      <c r="L343" s="48" t="n">
        <v>1</v>
      </c>
      <c r="M343" s="48" t="n">
        <v>1</v>
      </c>
      <c r="N343" s="48" t="n">
        <v>1</v>
      </c>
      <c r="O343" s="48" t="n">
        <v>0</v>
      </c>
      <c r="P343" s="48" t="n">
        <v>0</v>
      </c>
      <c r="Q343" s="48" t="n">
        <v>1</v>
      </c>
      <c r="R343" s="48" t="n">
        <v>0</v>
      </c>
      <c r="S343" s="48" t="n">
        <v>0</v>
      </c>
      <c r="T343" s="48" t="n">
        <v>0</v>
      </c>
      <c r="U343" s="48" t="n">
        <v>0</v>
      </c>
      <c r="V343" s="48" t="n">
        <v>0</v>
      </c>
      <c r="W343" s="48" t="n">
        <v>12</v>
      </c>
      <c r="X343" s="48" t="n">
        <v>2</v>
      </c>
      <c r="Y343" s="48" t="n">
        <v>0</v>
      </c>
      <c r="Z343" s="48" t="n">
        <v>0</v>
      </c>
      <c r="AA343" s="48" t="n">
        <v>0</v>
      </c>
      <c r="AB343" s="48" t="n">
        <v>0</v>
      </c>
      <c r="AC343" s="48" t="n">
        <v>0</v>
      </c>
      <c r="AD343" s="48" t="n">
        <v>0</v>
      </c>
      <c r="AE343" s="48" t="n">
        <v>0</v>
      </c>
      <c r="AF343" s="48" t="n">
        <v>1</v>
      </c>
      <c r="AG343" s="48" t="n">
        <v>0</v>
      </c>
      <c r="AH343" s="48" t="n">
        <v>0</v>
      </c>
      <c r="AI343" s="48" t="n">
        <v>25</v>
      </c>
      <c r="AJ343" s="48" t="n">
        <v>0</v>
      </c>
      <c r="AK343" s="48" t="n">
        <v>2</v>
      </c>
      <c r="AL343" s="48" t="n">
        <v>1</v>
      </c>
      <c r="AM343" s="48" t="n">
        <v>2</v>
      </c>
      <c r="AN343" s="48" t="n">
        <v>5</v>
      </c>
      <c r="AO343" s="48" t="n">
        <v>0</v>
      </c>
      <c r="AP343" s="48" t="n">
        <v>2</v>
      </c>
      <c r="AQ343" s="48" t="n">
        <v>68</v>
      </c>
      <c r="AR343" s="48" t="n">
        <v>18</v>
      </c>
      <c r="AS343" s="48" t="n">
        <v>2</v>
      </c>
      <c r="AT343" s="48" t="n">
        <v>19</v>
      </c>
      <c r="AU343" s="48" t="n">
        <v>9</v>
      </c>
      <c r="AV343" s="48" t="n">
        <v>19</v>
      </c>
      <c r="AW343" s="48" t="n">
        <v>14</v>
      </c>
      <c r="AX343" s="48" t="n">
        <v>12</v>
      </c>
      <c r="AY343" s="48" t="n">
        <v>22</v>
      </c>
      <c r="AZ343" s="48" t="n">
        <v>70</v>
      </c>
      <c r="BA343" s="48" t="n">
        <v>8</v>
      </c>
      <c r="BB343" s="48" t="n">
        <v>10</v>
      </c>
      <c r="BC343" s="48" t="n">
        <v>63</v>
      </c>
      <c r="BD343" s="48" t="n">
        <v>33</v>
      </c>
      <c r="BE343" s="48" t="n">
        <v>5</v>
      </c>
      <c r="BF343" s="48" t="n">
        <v>7</v>
      </c>
      <c r="BG343" s="49" t="n">
        <v>16.95</v>
      </c>
    </row>
    <row r="344" customFormat="false" ht="15" hidden="false" customHeight="false" outlineLevel="0" collapsed="false">
      <c r="A344" s="43" t="s">
        <v>924</v>
      </c>
      <c r="B344" s="43" t="s">
        <v>925</v>
      </c>
      <c r="C344" s="44" t="str">
        <f aca="false">IF(A344="","",IFERROR(INDEX(Assumptions!$B$41:$B$55,MATCH(TRUE(),INDEX(ISNUMBER(SEARCH(" "&amp;Assumptions!$A$41:$A$55&amp;" "," "&amp;SUBSTITUTE(SUBSTITUTE(SUBSTITUTE(SUBSTITUTE(B344,"-"," "),","," "),"/"," "),"."," ")&amp;" ")),0),0)),"Other"))</f>
        <v>Other</v>
      </c>
      <c r="D344" s="45" t="n">
        <f aca="false">IF(A344="","",BG344*(1-Assumptions!$B$18))</f>
        <v>4.77</v>
      </c>
      <c r="E344" s="46" t="n">
        <f aca="false">IF(A344="","",INDEX(Assumptions!$B$23:$B$26,MOD(VALUE(LEFT(A344,5)),4)+1))</f>
        <v>6</v>
      </c>
      <c r="F344" s="47" t="n">
        <v>154</v>
      </c>
      <c r="G344" s="48" t="n">
        <v>1</v>
      </c>
      <c r="H344" s="48" t="n">
        <v>1</v>
      </c>
      <c r="I344" s="48" t="n">
        <v>3</v>
      </c>
      <c r="J344" s="48" t="n">
        <v>0</v>
      </c>
      <c r="K344" s="48" t="n">
        <v>2</v>
      </c>
      <c r="L344" s="48" t="n">
        <v>0</v>
      </c>
      <c r="M344" s="48" t="n">
        <v>0</v>
      </c>
      <c r="N344" s="48" t="n">
        <v>1</v>
      </c>
      <c r="O344" s="48" t="n">
        <v>16</v>
      </c>
      <c r="P344" s="48" t="n">
        <v>2</v>
      </c>
      <c r="Q344" s="48" t="n">
        <v>9</v>
      </c>
      <c r="R344" s="48" t="n">
        <v>11</v>
      </c>
      <c r="S344" s="48" t="n">
        <v>15</v>
      </c>
      <c r="T344" s="48" t="n">
        <v>16</v>
      </c>
      <c r="U344" s="48" t="n">
        <v>2</v>
      </c>
      <c r="V344" s="48" t="n">
        <v>5</v>
      </c>
      <c r="W344" s="48" t="n">
        <v>10</v>
      </c>
      <c r="X344" s="48" t="n">
        <v>10</v>
      </c>
      <c r="Y344" s="48" t="n">
        <v>32</v>
      </c>
      <c r="Z344" s="48" t="n">
        <v>27</v>
      </c>
      <c r="AA344" s="48" t="n">
        <v>104</v>
      </c>
      <c r="AB344" s="48" t="n">
        <v>118</v>
      </c>
      <c r="AC344" s="48" t="n">
        <v>93</v>
      </c>
      <c r="AD344" s="48" t="n">
        <v>55</v>
      </c>
      <c r="AE344" s="48" t="n">
        <v>29</v>
      </c>
      <c r="AF344" s="48" t="n">
        <v>18</v>
      </c>
      <c r="AG344" s="48" t="n">
        <v>40</v>
      </c>
      <c r="AH344" s="48" t="n">
        <v>29</v>
      </c>
      <c r="AI344" s="48" t="n">
        <v>24</v>
      </c>
      <c r="AJ344" s="48" t="n">
        <v>24</v>
      </c>
      <c r="AK344" s="48" t="n">
        <v>10</v>
      </c>
      <c r="AL344" s="48" t="n">
        <v>16</v>
      </c>
      <c r="AM344" s="48" t="n">
        <v>22</v>
      </c>
      <c r="AN344" s="48" t="n">
        <v>28</v>
      </c>
      <c r="AO344" s="48" t="n">
        <v>34</v>
      </c>
      <c r="AP344" s="48" t="n">
        <v>16</v>
      </c>
      <c r="AQ344" s="48" t="n">
        <v>6</v>
      </c>
      <c r="AR344" s="48" t="n">
        <v>20</v>
      </c>
      <c r="AS344" s="48" t="n">
        <v>4</v>
      </c>
      <c r="AT344" s="48" t="n">
        <v>2</v>
      </c>
      <c r="AU344" s="48" t="n">
        <v>3</v>
      </c>
      <c r="AV344" s="48" t="n">
        <v>3</v>
      </c>
      <c r="AW344" s="48" t="n">
        <v>1</v>
      </c>
      <c r="AX344" s="48" t="n">
        <v>3</v>
      </c>
      <c r="AY344" s="48" t="n">
        <v>8</v>
      </c>
      <c r="AZ344" s="48" t="n">
        <v>4</v>
      </c>
      <c r="BA344" s="48" t="n">
        <v>1</v>
      </c>
      <c r="BB344" s="48" t="n">
        <v>2</v>
      </c>
      <c r="BC344" s="48" t="n">
        <v>4</v>
      </c>
      <c r="BD344" s="48" t="n">
        <v>0</v>
      </c>
      <c r="BE344" s="48" t="n">
        <v>0</v>
      </c>
      <c r="BF344" s="48" t="n">
        <v>5</v>
      </c>
      <c r="BG344" s="49" t="n">
        <v>7.95</v>
      </c>
    </row>
    <row r="345" customFormat="false" ht="15" hidden="false" customHeight="false" outlineLevel="0" collapsed="false">
      <c r="A345" s="43" t="s">
        <v>926</v>
      </c>
      <c r="B345" s="43" t="s">
        <v>927</v>
      </c>
      <c r="C345" s="44" t="str">
        <f aca="false">IF(A345="","",IFERROR(INDEX(Assumptions!$B$41:$B$55,MATCH(TRUE(),INDEX(ISNUMBER(SEARCH(" "&amp;Assumptions!$A$41:$A$55&amp;" "," "&amp;SUBSTITUTE(SUBSTITUTE(SUBSTITUTE(SUBSTITUTE(B345,"-"," "),","," "),"/"," "),"."," ")&amp;" ")),0),0)),"Other"))</f>
        <v>Kitchen</v>
      </c>
      <c r="D345" s="45" t="n">
        <f aca="false">IF(A345="","",BG345*(1-Assumptions!$B$18))</f>
        <v>0.99</v>
      </c>
      <c r="E345" s="46" t="n">
        <f aca="false">IF(A345="","",INDEX(Assumptions!$B$23:$B$26,MOD(VALUE(LEFT(A345,5)),4)+1))</f>
        <v>4</v>
      </c>
      <c r="F345" s="47" t="n">
        <v>79</v>
      </c>
      <c r="G345" s="48" t="n">
        <v>185</v>
      </c>
      <c r="H345" s="48" t="n">
        <v>73</v>
      </c>
      <c r="I345" s="48" t="n">
        <v>5</v>
      </c>
      <c r="J345" s="48" t="n">
        <v>0</v>
      </c>
      <c r="K345" s="48" t="n">
        <v>26</v>
      </c>
      <c r="L345" s="48" t="n">
        <v>48</v>
      </c>
      <c r="M345" s="48" t="n">
        <v>129</v>
      </c>
      <c r="N345" s="48" t="n">
        <v>78</v>
      </c>
      <c r="O345" s="48" t="n">
        <v>27</v>
      </c>
      <c r="P345" s="48" t="n">
        <v>7</v>
      </c>
      <c r="Q345" s="48" t="n">
        <v>14</v>
      </c>
      <c r="R345" s="48" t="n">
        <v>135</v>
      </c>
      <c r="S345" s="48" t="n">
        <v>19</v>
      </c>
      <c r="T345" s="48" t="n">
        <v>50</v>
      </c>
      <c r="U345" s="48" t="n">
        <v>21</v>
      </c>
      <c r="V345" s="48" t="n">
        <v>37</v>
      </c>
      <c r="W345" s="48" t="n">
        <v>108</v>
      </c>
      <c r="X345" s="48" t="n">
        <v>26</v>
      </c>
      <c r="Y345" s="48" t="n">
        <v>35</v>
      </c>
      <c r="Z345" s="48" t="n">
        <v>28</v>
      </c>
      <c r="AA345" s="48" t="n">
        <v>25</v>
      </c>
      <c r="AB345" s="48" t="n">
        <v>81</v>
      </c>
      <c r="AC345" s="48" t="n">
        <v>121</v>
      </c>
      <c r="AD345" s="48" t="n">
        <v>60</v>
      </c>
      <c r="AE345" s="48" t="n">
        <v>55</v>
      </c>
      <c r="AF345" s="48" t="n">
        <v>40</v>
      </c>
      <c r="AG345" s="48" t="n">
        <v>123</v>
      </c>
      <c r="AH345" s="48" t="n">
        <v>50</v>
      </c>
      <c r="AI345" s="48" t="n">
        <v>25</v>
      </c>
      <c r="AJ345" s="48" t="n">
        <v>27</v>
      </c>
      <c r="AK345" s="48" t="n">
        <v>34</v>
      </c>
      <c r="AL345" s="48" t="n">
        <v>30</v>
      </c>
      <c r="AM345" s="48" t="n">
        <v>96</v>
      </c>
      <c r="AN345" s="48" t="n">
        <v>68</v>
      </c>
      <c r="AO345" s="48" t="n">
        <v>39</v>
      </c>
      <c r="AP345" s="48" t="n">
        <v>46</v>
      </c>
      <c r="AQ345" s="48" t="n">
        <v>60</v>
      </c>
      <c r="AR345" s="48" t="n">
        <v>182</v>
      </c>
      <c r="AS345" s="48" t="n">
        <v>33</v>
      </c>
      <c r="AT345" s="48" t="n">
        <v>53</v>
      </c>
      <c r="AU345" s="48" t="n">
        <v>195</v>
      </c>
      <c r="AV345" s="48" t="n">
        <v>150</v>
      </c>
      <c r="AW345" s="48" t="n">
        <v>139</v>
      </c>
      <c r="AX345" s="48" t="n">
        <v>150</v>
      </c>
      <c r="AY345" s="48" t="n">
        <v>124</v>
      </c>
      <c r="AZ345" s="48" t="n">
        <v>137</v>
      </c>
      <c r="BA345" s="48" t="n">
        <v>174</v>
      </c>
      <c r="BB345" s="48" t="n">
        <v>112</v>
      </c>
      <c r="BC345" s="48" t="n">
        <v>175</v>
      </c>
      <c r="BD345" s="48" t="n">
        <v>106</v>
      </c>
      <c r="BE345" s="48" t="n">
        <v>195</v>
      </c>
      <c r="BF345" s="48" t="n">
        <v>129</v>
      </c>
      <c r="BG345" s="49" t="n">
        <v>1.65</v>
      </c>
    </row>
    <row r="346" customFormat="false" ht="15" hidden="false" customHeight="false" outlineLevel="0" collapsed="false">
      <c r="A346" s="43" t="s">
        <v>928</v>
      </c>
      <c r="B346" s="43" t="s">
        <v>929</v>
      </c>
      <c r="C346" s="44" t="str">
        <f aca="false">IF(A346="","",IFERROR(INDEX(Assumptions!$B$41:$B$55,MATCH(TRUE(),INDEX(ISNUMBER(SEARCH(" "&amp;Assumptions!$A$41:$A$55&amp;" "," "&amp;SUBSTITUTE(SUBSTITUTE(SUBSTITUTE(SUBSTITUTE(B346,"-"," "),","," "),"/"," "),"."," ")&amp;" ")),0),0)),"Other"))</f>
        <v>Other</v>
      </c>
      <c r="D346" s="45" t="n">
        <f aca="false">IF(A346="","",BG346*(1-Assumptions!$B$18))</f>
        <v>0.75</v>
      </c>
      <c r="E346" s="46" t="n">
        <f aca="false">IF(A346="","",INDEX(Assumptions!$B$23:$B$26,MOD(VALUE(LEFT(A346,5)),4)+1))</f>
        <v>4</v>
      </c>
      <c r="F346" s="47" t="n">
        <v>6964</v>
      </c>
      <c r="G346" s="48" t="n">
        <v>0</v>
      </c>
      <c r="H346" s="48" t="n">
        <v>2</v>
      </c>
      <c r="I346" s="48" t="n">
        <v>0</v>
      </c>
      <c r="J346" s="48" t="n">
        <v>0</v>
      </c>
      <c r="K346" s="48" t="n">
        <v>24</v>
      </c>
      <c r="L346" s="48" t="n">
        <v>5</v>
      </c>
      <c r="M346" s="48" t="n">
        <v>3</v>
      </c>
      <c r="N346" s="48" t="n">
        <v>3</v>
      </c>
      <c r="O346" s="48" t="n">
        <v>204</v>
      </c>
      <c r="P346" s="48" t="n">
        <v>108</v>
      </c>
      <c r="Q346" s="48" t="n">
        <v>1</v>
      </c>
      <c r="R346" s="48" t="n">
        <v>32</v>
      </c>
      <c r="S346" s="48" t="n">
        <v>100</v>
      </c>
      <c r="T346" s="48" t="n">
        <v>481</v>
      </c>
      <c r="U346" s="48" t="n">
        <v>97</v>
      </c>
      <c r="V346" s="48" t="n">
        <v>330</v>
      </c>
      <c r="W346" s="48" t="n">
        <v>316</v>
      </c>
      <c r="X346" s="48" t="n">
        <v>102</v>
      </c>
      <c r="Y346" s="48" t="n">
        <v>324</v>
      </c>
      <c r="Z346" s="48" t="n">
        <v>22</v>
      </c>
      <c r="AA346" s="48" t="n">
        <v>98</v>
      </c>
      <c r="AB346" s="48" t="n">
        <v>235</v>
      </c>
      <c r="AC346" s="48" t="n">
        <v>335</v>
      </c>
      <c r="AD346" s="48" t="n">
        <v>45</v>
      </c>
      <c r="AE346" s="48" t="n">
        <v>578</v>
      </c>
      <c r="AF346" s="48" t="n">
        <v>48</v>
      </c>
      <c r="AG346" s="48" t="n">
        <v>139</v>
      </c>
      <c r="AH346" s="48" t="n">
        <v>205</v>
      </c>
      <c r="AI346" s="48" t="n">
        <v>5</v>
      </c>
      <c r="AJ346" s="48" t="n">
        <v>126</v>
      </c>
      <c r="AK346" s="48" t="n">
        <v>37</v>
      </c>
      <c r="AL346" s="48" t="n">
        <v>349</v>
      </c>
      <c r="AM346" s="48" t="n">
        <v>109</v>
      </c>
      <c r="AN346" s="48" t="n">
        <v>195</v>
      </c>
      <c r="AO346" s="48" t="n">
        <v>19</v>
      </c>
      <c r="AP346" s="48" t="n">
        <v>615</v>
      </c>
      <c r="AQ346" s="48" t="n">
        <v>303</v>
      </c>
      <c r="AR346" s="48" t="n">
        <v>109</v>
      </c>
      <c r="AS346" s="48" t="n">
        <v>32</v>
      </c>
      <c r="AT346" s="48" t="n">
        <v>179</v>
      </c>
      <c r="AU346" s="48" t="n">
        <v>0</v>
      </c>
      <c r="AV346" s="48" t="n">
        <v>99</v>
      </c>
      <c r="AW346" s="48" t="n">
        <v>132</v>
      </c>
      <c r="AX346" s="48" t="n">
        <v>0</v>
      </c>
      <c r="AY346" s="48" t="n">
        <v>36</v>
      </c>
      <c r="AZ346" s="48" t="n">
        <v>26</v>
      </c>
      <c r="BA346" s="48" t="n">
        <v>12</v>
      </c>
      <c r="BB346" s="48" t="n">
        <v>132</v>
      </c>
      <c r="BC346" s="48" t="n">
        <v>115</v>
      </c>
      <c r="BD346" s="48" t="n">
        <v>12</v>
      </c>
      <c r="BE346" s="48" t="n">
        <v>412</v>
      </c>
      <c r="BF346" s="48" t="n">
        <v>210</v>
      </c>
      <c r="BG346" s="49" t="n">
        <v>1.25</v>
      </c>
    </row>
    <row r="347" customFormat="false" ht="15" hidden="false" customHeight="false" outlineLevel="0" collapsed="false">
      <c r="A347" s="43" t="s">
        <v>930</v>
      </c>
      <c r="B347" s="43" t="s">
        <v>931</v>
      </c>
      <c r="C347" s="44" t="str">
        <f aca="false">IF(A347="","",IFERROR(INDEX(Assumptions!$B$41:$B$55,MATCH(TRUE(),INDEX(ISNUMBER(SEARCH(" "&amp;Assumptions!$A$41:$A$55&amp;" "," "&amp;SUBSTITUTE(SUBSTITUTE(SUBSTITUTE(SUBSTITUTE(B347,"-"," "),","," "),"/"," "),"."," ")&amp;" ")),0),0)),"Other"))</f>
        <v>Other</v>
      </c>
      <c r="D347" s="45" t="n">
        <f aca="false">IF(A347="","",BG347*(1-Assumptions!$B$18))</f>
        <v>2.49</v>
      </c>
      <c r="E347" s="46" t="n">
        <f aca="false">IF(A347="","",INDEX(Assumptions!$B$23:$B$26,MOD(VALUE(LEFT(A347,5)),4)+1))</f>
        <v>6</v>
      </c>
      <c r="F347" s="47" t="n">
        <v>485</v>
      </c>
      <c r="G347" s="48" t="n">
        <v>0</v>
      </c>
      <c r="H347" s="48" t="n">
        <v>0</v>
      </c>
      <c r="I347" s="48" t="n">
        <v>0</v>
      </c>
      <c r="J347" s="48" t="n">
        <v>0</v>
      </c>
      <c r="K347" s="48" t="n">
        <v>0</v>
      </c>
      <c r="L347" s="48" t="n">
        <v>0</v>
      </c>
      <c r="M347" s="48" t="n">
        <v>0</v>
      </c>
      <c r="N347" s="48" t="n">
        <v>0</v>
      </c>
      <c r="O347" s="48" t="n">
        <v>0</v>
      </c>
      <c r="P347" s="48" t="n">
        <v>0</v>
      </c>
      <c r="Q347" s="48" t="n">
        <v>0</v>
      </c>
      <c r="R347" s="48" t="n">
        <v>0</v>
      </c>
      <c r="S347" s="48" t="n">
        <v>0</v>
      </c>
      <c r="T347" s="48" t="n">
        <v>0</v>
      </c>
      <c r="U347" s="48" t="n">
        <v>0</v>
      </c>
      <c r="V347" s="48" t="n">
        <v>0</v>
      </c>
      <c r="W347" s="48" t="n">
        <v>0</v>
      </c>
      <c r="X347" s="48" t="n">
        <v>4</v>
      </c>
      <c r="Y347" s="48" t="n">
        <v>17</v>
      </c>
      <c r="Z347" s="48" t="n">
        <v>22</v>
      </c>
      <c r="AA347" s="48" t="n">
        <v>17</v>
      </c>
      <c r="AB347" s="48" t="n">
        <v>54</v>
      </c>
      <c r="AC347" s="48" t="n">
        <v>130</v>
      </c>
      <c r="AD347" s="48" t="n">
        <v>46</v>
      </c>
      <c r="AE347" s="48" t="n">
        <v>96</v>
      </c>
      <c r="AF347" s="48" t="n">
        <v>11</v>
      </c>
      <c r="AG347" s="48" t="n">
        <v>69</v>
      </c>
      <c r="AH347" s="48" t="n">
        <v>170</v>
      </c>
      <c r="AI347" s="48" t="n">
        <v>34</v>
      </c>
      <c r="AJ347" s="48" t="n">
        <v>23</v>
      </c>
      <c r="AK347" s="48" t="n">
        <v>36</v>
      </c>
      <c r="AL347" s="48" t="n">
        <v>52</v>
      </c>
      <c r="AM347" s="48" t="n">
        <v>31</v>
      </c>
      <c r="AN347" s="48" t="n">
        <v>25</v>
      </c>
      <c r="AO347" s="48" t="n">
        <v>18</v>
      </c>
      <c r="AP347" s="48" t="n">
        <v>89</v>
      </c>
      <c r="AQ347" s="48" t="n">
        <v>26</v>
      </c>
      <c r="AR347" s="48" t="n">
        <v>40</v>
      </c>
      <c r="AS347" s="48" t="n">
        <v>38</v>
      </c>
      <c r="AT347" s="48" t="n">
        <v>44</v>
      </c>
      <c r="AU347" s="48" t="n">
        <v>18</v>
      </c>
      <c r="AV347" s="48" t="n">
        <v>63</v>
      </c>
      <c r="AW347" s="48" t="n">
        <v>48</v>
      </c>
      <c r="AX347" s="48" t="n">
        <v>38</v>
      </c>
      <c r="AY347" s="48" t="n">
        <v>54</v>
      </c>
      <c r="AZ347" s="48" t="n">
        <v>14</v>
      </c>
      <c r="BA347" s="48" t="n">
        <v>22</v>
      </c>
      <c r="BB347" s="48" t="n">
        <v>29</v>
      </c>
      <c r="BC347" s="48" t="n">
        <v>182</v>
      </c>
      <c r="BD347" s="48" t="n">
        <v>36</v>
      </c>
      <c r="BE347" s="48" t="n">
        <v>54</v>
      </c>
      <c r="BF347" s="48" t="n">
        <v>30</v>
      </c>
      <c r="BG347" s="49" t="n">
        <v>4.15</v>
      </c>
    </row>
    <row r="348" customFormat="false" ht="15" hidden="false" customHeight="false" outlineLevel="0" collapsed="false">
      <c r="A348" s="43" t="s">
        <v>932</v>
      </c>
      <c r="B348" s="43" t="s">
        <v>933</v>
      </c>
      <c r="C348" s="44" t="str">
        <f aca="false">IF(A348="","",IFERROR(INDEX(Assumptions!$B$41:$B$55,MATCH(TRUE(),INDEX(ISNUMBER(SEARCH(" "&amp;Assumptions!$A$41:$A$55&amp;" "," "&amp;SUBSTITUTE(SUBSTITUTE(SUBSTITUTE(SUBSTITUTE(B348,"-"," "),","," "),"/"," "),"."," ")&amp;" ")),0),0)),"Other"))</f>
        <v>Other</v>
      </c>
      <c r="D348" s="45" t="n">
        <f aca="false">IF(A348="","",BG348*(1-Assumptions!$B$18))</f>
        <v>1.014</v>
      </c>
      <c r="E348" s="46" t="n">
        <f aca="false">IF(A348="","",INDEX(Assumptions!$B$23:$B$26,MOD(VALUE(LEFT(A348,5)),4)+1))</f>
        <v>4</v>
      </c>
      <c r="F348" s="47" t="n">
        <v>866</v>
      </c>
      <c r="G348" s="48" t="n">
        <v>129</v>
      </c>
      <c r="H348" s="48" t="n">
        <v>96</v>
      </c>
      <c r="I348" s="48" t="n">
        <v>37</v>
      </c>
      <c r="J348" s="48" t="n">
        <v>0</v>
      </c>
      <c r="K348" s="48" t="n">
        <v>67</v>
      </c>
      <c r="L348" s="48" t="n">
        <v>14</v>
      </c>
      <c r="M348" s="48" t="n">
        <v>86</v>
      </c>
      <c r="N348" s="48" t="n">
        <v>82</v>
      </c>
      <c r="O348" s="48" t="n">
        <v>72</v>
      </c>
      <c r="P348" s="48" t="n">
        <v>47</v>
      </c>
      <c r="Q348" s="48" t="n">
        <v>88</v>
      </c>
      <c r="R348" s="48" t="n">
        <v>61</v>
      </c>
      <c r="S348" s="48" t="n">
        <v>59</v>
      </c>
      <c r="T348" s="48" t="n">
        <v>95</v>
      </c>
      <c r="U348" s="48" t="n">
        <v>29</v>
      </c>
      <c r="V348" s="48" t="n">
        <v>30</v>
      </c>
      <c r="W348" s="48" t="n">
        <v>159</v>
      </c>
      <c r="X348" s="48" t="n">
        <v>14</v>
      </c>
      <c r="Y348" s="48" t="n">
        <v>89</v>
      </c>
      <c r="Z348" s="48" t="n">
        <v>11</v>
      </c>
      <c r="AA348" s="48" t="n">
        <v>17</v>
      </c>
      <c r="AB348" s="48" t="n">
        <v>42</v>
      </c>
      <c r="AC348" s="48" t="n">
        <v>95</v>
      </c>
      <c r="AD348" s="48" t="n">
        <v>118</v>
      </c>
      <c r="AE348" s="48" t="n">
        <v>38</v>
      </c>
      <c r="AF348" s="48" t="n">
        <v>21</v>
      </c>
      <c r="AG348" s="48" t="n">
        <v>85</v>
      </c>
      <c r="AH348" s="48" t="n">
        <v>117</v>
      </c>
      <c r="AI348" s="48" t="n">
        <v>24</v>
      </c>
      <c r="AJ348" s="48" t="n">
        <v>31</v>
      </c>
      <c r="AK348" s="48" t="n">
        <v>40</v>
      </c>
      <c r="AL348" s="48" t="n">
        <v>96</v>
      </c>
      <c r="AM348" s="48" t="n">
        <v>282</v>
      </c>
      <c r="AN348" s="48" t="n">
        <v>50</v>
      </c>
      <c r="AO348" s="48" t="n">
        <v>115</v>
      </c>
      <c r="AP348" s="48" t="n">
        <v>68</v>
      </c>
      <c r="AQ348" s="48" t="n">
        <v>92</v>
      </c>
      <c r="AR348" s="48" t="n">
        <v>128</v>
      </c>
      <c r="AS348" s="48" t="n">
        <v>5</v>
      </c>
      <c r="AT348" s="48" t="n">
        <v>400</v>
      </c>
      <c r="AU348" s="48" t="n">
        <v>26</v>
      </c>
      <c r="AV348" s="48" t="n">
        <v>10</v>
      </c>
      <c r="AW348" s="48" t="n">
        <v>226</v>
      </c>
      <c r="AX348" s="48" t="n">
        <v>80</v>
      </c>
      <c r="AY348" s="48" t="n">
        <v>35</v>
      </c>
      <c r="AZ348" s="48" t="n">
        <v>6</v>
      </c>
      <c r="BA348" s="48" t="n">
        <v>50</v>
      </c>
      <c r="BB348" s="48" t="n">
        <v>65</v>
      </c>
      <c r="BC348" s="48" t="n">
        <v>77</v>
      </c>
      <c r="BD348" s="48" t="n">
        <v>147</v>
      </c>
      <c r="BE348" s="48" t="n">
        <v>56</v>
      </c>
      <c r="BF348" s="48" t="n">
        <v>188</v>
      </c>
      <c r="BG348" s="49" t="n">
        <v>1.69</v>
      </c>
    </row>
    <row r="349" customFormat="false" ht="15" hidden="false" customHeight="false" outlineLevel="0" collapsed="false">
      <c r="A349" s="43" t="s">
        <v>934</v>
      </c>
      <c r="B349" s="43" t="s">
        <v>935</v>
      </c>
      <c r="C349" s="44" t="str">
        <f aca="false">IF(A349="","",IFERROR(INDEX(Assumptions!$B$41:$B$55,MATCH(TRUE(),INDEX(ISNUMBER(SEARCH(" "&amp;Assumptions!$A$41:$A$55&amp;" "," "&amp;SUBSTITUTE(SUBSTITUTE(SUBSTITUTE(SUBSTITUTE(B349,"-"," "),","," "),"/"," "),"."," ")&amp;" ")),0),0)),"Other"))</f>
        <v>Other</v>
      </c>
      <c r="D349" s="45" t="n">
        <f aca="false">IF(A349="","",BG349*(1-Assumptions!$B$18))</f>
        <v>0.99</v>
      </c>
      <c r="E349" s="46" t="n">
        <f aca="false">IF(A349="","",INDEX(Assumptions!$B$23:$B$26,MOD(VALUE(LEFT(A349,5)),4)+1))</f>
        <v>4</v>
      </c>
      <c r="F349" s="47" t="n">
        <v>497</v>
      </c>
      <c r="G349" s="48" t="n">
        <v>0</v>
      </c>
      <c r="H349" s="48" t="n">
        <v>0</v>
      </c>
      <c r="I349" s="48" t="n">
        <v>0</v>
      </c>
      <c r="J349" s="48" t="n">
        <v>0</v>
      </c>
      <c r="K349" s="48" t="n">
        <v>0</v>
      </c>
      <c r="L349" s="48" t="n">
        <v>0</v>
      </c>
      <c r="M349" s="48" t="n">
        <v>0</v>
      </c>
      <c r="N349" s="48" t="n">
        <v>0</v>
      </c>
      <c r="O349" s="48" t="n">
        <v>0</v>
      </c>
      <c r="P349" s="48" t="n">
        <v>0</v>
      </c>
      <c r="Q349" s="48" t="n">
        <v>0</v>
      </c>
      <c r="R349" s="48" t="n">
        <v>0</v>
      </c>
      <c r="S349" s="48" t="n">
        <v>0</v>
      </c>
      <c r="T349" s="48" t="n">
        <v>0</v>
      </c>
      <c r="U349" s="48" t="n">
        <v>0</v>
      </c>
      <c r="V349" s="48" t="n">
        <v>0</v>
      </c>
      <c r="W349" s="48" t="n">
        <v>0</v>
      </c>
      <c r="X349" s="48" t="n">
        <v>0</v>
      </c>
      <c r="Y349" s="48" t="n">
        <v>0</v>
      </c>
      <c r="Z349" s="48" t="n">
        <v>0</v>
      </c>
      <c r="AA349" s="48" t="n">
        <v>0</v>
      </c>
      <c r="AB349" s="48" t="n">
        <v>0</v>
      </c>
      <c r="AC349" s="48" t="n">
        <v>0</v>
      </c>
      <c r="AD349" s="48" t="n">
        <v>0</v>
      </c>
      <c r="AE349" s="48" t="n">
        <v>0</v>
      </c>
      <c r="AF349" s="48" t="n">
        <v>0</v>
      </c>
      <c r="AG349" s="48" t="n">
        <v>0</v>
      </c>
      <c r="AH349" s="48" t="n">
        <v>0</v>
      </c>
      <c r="AI349" s="48" t="n">
        <v>0</v>
      </c>
      <c r="AJ349" s="48" t="n">
        <v>0</v>
      </c>
      <c r="AK349" s="48" t="n">
        <v>0</v>
      </c>
      <c r="AL349" s="48" t="n">
        <v>538</v>
      </c>
      <c r="AM349" s="48" t="n">
        <v>626</v>
      </c>
      <c r="AN349" s="48" t="n">
        <v>826</v>
      </c>
      <c r="AO349" s="48" t="n">
        <v>477</v>
      </c>
      <c r="AP349" s="48" t="n">
        <v>685</v>
      </c>
      <c r="AQ349" s="48" t="n">
        <v>82</v>
      </c>
      <c r="AR349" s="48" t="n">
        <v>152</v>
      </c>
      <c r="AS349" s="48" t="n">
        <v>195</v>
      </c>
      <c r="AT349" s="48" t="n">
        <v>122</v>
      </c>
      <c r="AU349" s="48" t="n">
        <v>579</v>
      </c>
      <c r="AV349" s="48" t="n">
        <v>6</v>
      </c>
      <c r="AW349" s="48" t="n">
        <v>0</v>
      </c>
      <c r="AX349" s="48" t="n">
        <v>5</v>
      </c>
      <c r="AY349" s="48" t="n">
        <v>1</v>
      </c>
      <c r="AZ349" s="48" t="n">
        <v>0</v>
      </c>
      <c r="BA349" s="48" t="n">
        <v>0</v>
      </c>
      <c r="BB349" s="48" t="n">
        <v>4</v>
      </c>
      <c r="BC349" s="48" t="n">
        <v>0</v>
      </c>
      <c r="BD349" s="48" t="n">
        <v>0</v>
      </c>
      <c r="BE349" s="48" t="n">
        <v>5</v>
      </c>
      <c r="BF349" s="48" t="n">
        <v>0</v>
      </c>
      <c r="BG349" s="49" t="n">
        <v>1.65</v>
      </c>
    </row>
    <row r="350" customFormat="false" ht="15" hidden="false" customHeight="false" outlineLevel="0" collapsed="false">
      <c r="A350" s="43" t="s">
        <v>936</v>
      </c>
      <c r="B350" s="43" t="s">
        <v>937</v>
      </c>
      <c r="C350" s="44" t="str">
        <f aca="false">IF(A350="","",IFERROR(INDEX(Assumptions!$B$41:$B$55,MATCH(TRUE(),INDEX(ISNUMBER(SEARCH(" "&amp;Assumptions!$A$41:$A$55&amp;" "," "&amp;SUBSTITUTE(SUBSTITUTE(SUBSTITUTE(SUBSTITUTE(B350,"-"," "),","," "),"/"," "),"."," ")&amp;" ")),0),0)),"Other"))</f>
        <v>Other</v>
      </c>
      <c r="D350" s="45" t="n">
        <f aca="false">IF(A350="","",BG350*(1-Assumptions!$B$18))</f>
        <v>5.97</v>
      </c>
      <c r="E350" s="46" t="n">
        <f aca="false">IF(A350="","",INDEX(Assumptions!$B$23:$B$26,MOD(VALUE(LEFT(A350,5)),4)+1))</f>
        <v>6</v>
      </c>
      <c r="F350" s="47" t="n">
        <v>28</v>
      </c>
      <c r="G350" s="48" t="n">
        <v>29</v>
      </c>
      <c r="H350" s="48" t="n">
        <v>29</v>
      </c>
      <c r="I350" s="48" t="n">
        <v>5</v>
      </c>
      <c r="J350" s="48" t="n">
        <v>0</v>
      </c>
      <c r="K350" s="48" t="n">
        <v>6</v>
      </c>
      <c r="L350" s="48" t="n">
        <v>4</v>
      </c>
      <c r="M350" s="48" t="n">
        <v>5</v>
      </c>
      <c r="N350" s="48" t="n">
        <v>33</v>
      </c>
      <c r="O350" s="48" t="n">
        <v>4</v>
      </c>
      <c r="P350" s="48" t="n">
        <v>3</v>
      </c>
      <c r="Q350" s="48" t="n">
        <v>26</v>
      </c>
      <c r="R350" s="48" t="n">
        <v>7</v>
      </c>
      <c r="S350" s="48" t="n">
        <v>27</v>
      </c>
      <c r="T350" s="48" t="n">
        <v>10</v>
      </c>
      <c r="U350" s="48" t="n">
        <v>19</v>
      </c>
      <c r="V350" s="48" t="n">
        <v>16</v>
      </c>
      <c r="W350" s="48" t="n">
        <v>24</v>
      </c>
      <c r="X350" s="48" t="n">
        <v>12</v>
      </c>
      <c r="Y350" s="48" t="n">
        <v>6</v>
      </c>
      <c r="Z350" s="48" t="n">
        <v>10</v>
      </c>
      <c r="AA350" s="48" t="n">
        <v>6</v>
      </c>
      <c r="AB350" s="48" t="n">
        <v>7</v>
      </c>
      <c r="AC350" s="48" t="n">
        <v>13</v>
      </c>
      <c r="AD350" s="48" t="n">
        <v>6</v>
      </c>
      <c r="AE350" s="48" t="n">
        <v>4</v>
      </c>
      <c r="AF350" s="48" t="n">
        <v>10</v>
      </c>
      <c r="AG350" s="48" t="n">
        <v>9</v>
      </c>
      <c r="AH350" s="48" t="n">
        <v>3</v>
      </c>
      <c r="AI350" s="48" t="n">
        <v>22</v>
      </c>
      <c r="AJ350" s="48" t="n">
        <v>1</v>
      </c>
      <c r="AK350" s="48" t="n">
        <v>7</v>
      </c>
      <c r="AL350" s="48" t="n">
        <v>9</v>
      </c>
      <c r="AM350" s="48" t="n">
        <v>19</v>
      </c>
      <c r="AN350" s="48" t="n">
        <v>10</v>
      </c>
      <c r="AO350" s="48" t="n">
        <v>26</v>
      </c>
      <c r="AP350" s="48" t="n">
        <v>13</v>
      </c>
      <c r="AQ350" s="48" t="n">
        <v>47</v>
      </c>
      <c r="AR350" s="48" t="n">
        <v>11</v>
      </c>
      <c r="AS350" s="48" t="n">
        <v>3</v>
      </c>
      <c r="AT350" s="48" t="n">
        <v>4</v>
      </c>
      <c r="AU350" s="48" t="n">
        <v>5</v>
      </c>
      <c r="AV350" s="48" t="n">
        <v>28</v>
      </c>
      <c r="AW350" s="48" t="n">
        <v>15</v>
      </c>
      <c r="AX350" s="48" t="n">
        <v>16</v>
      </c>
      <c r="AY350" s="48" t="n">
        <v>7</v>
      </c>
      <c r="AZ350" s="48" t="n">
        <v>14</v>
      </c>
      <c r="BA350" s="48" t="n">
        <v>8</v>
      </c>
      <c r="BB350" s="48" t="n">
        <v>17</v>
      </c>
      <c r="BC350" s="48" t="n">
        <v>28</v>
      </c>
      <c r="BD350" s="48" t="n">
        <v>28</v>
      </c>
      <c r="BE350" s="48" t="n">
        <v>14</v>
      </c>
      <c r="BF350" s="48" t="n">
        <v>40</v>
      </c>
      <c r="BG350" s="49" t="n">
        <v>9.95</v>
      </c>
    </row>
    <row r="351" customFormat="false" ht="15" hidden="false" customHeight="false" outlineLevel="0" collapsed="false">
      <c r="A351" s="43" t="s">
        <v>938</v>
      </c>
      <c r="B351" s="43" t="s">
        <v>939</v>
      </c>
      <c r="C351" s="44" t="str">
        <f aca="false">IF(A351="","",IFERROR(INDEX(Assumptions!$B$41:$B$55,MATCH(TRUE(),INDEX(ISNUMBER(SEARCH(" "&amp;Assumptions!$A$41:$A$55&amp;" "," "&amp;SUBSTITUTE(SUBSTITUTE(SUBSTITUTE(SUBSTITUTE(B351,"-"," "),","," "),"/"," "),"."," ")&amp;" ")),0),0)),"Other"))</f>
        <v>Kitchen</v>
      </c>
      <c r="D351" s="45" t="n">
        <f aca="false">IF(A351="","",BG351*(1-Assumptions!$B$18))</f>
        <v>0.75</v>
      </c>
      <c r="E351" s="46" t="n">
        <f aca="false">IF(A351="","",INDEX(Assumptions!$B$23:$B$26,MOD(VALUE(LEFT(A351,5)),4)+1))</f>
        <v>4</v>
      </c>
      <c r="F351" s="47" t="n">
        <v>102</v>
      </c>
      <c r="G351" s="48" t="n">
        <v>68</v>
      </c>
      <c r="H351" s="48" t="n">
        <v>62</v>
      </c>
      <c r="I351" s="48" t="n">
        <v>52</v>
      </c>
      <c r="J351" s="48" t="n">
        <v>0</v>
      </c>
      <c r="K351" s="48" t="n">
        <v>43</v>
      </c>
      <c r="L351" s="48" t="n">
        <v>85</v>
      </c>
      <c r="M351" s="48" t="n">
        <v>45</v>
      </c>
      <c r="N351" s="48" t="n">
        <v>50</v>
      </c>
      <c r="O351" s="48" t="n">
        <v>158</v>
      </c>
      <c r="P351" s="48" t="n">
        <v>33</v>
      </c>
      <c r="Q351" s="48" t="n">
        <v>12</v>
      </c>
      <c r="R351" s="48" t="n">
        <v>39</v>
      </c>
      <c r="S351" s="48" t="n">
        <v>68</v>
      </c>
      <c r="T351" s="48" t="n">
        <v>36</v>
      </c>
      <c r="U351" s="48" t="n">
        <v>204</v>
      </c>
      <c r="V351" s="48" t="n">
        <v>67</v>
      </c>
      <c r="W351" s="48" t="n">
        <v>20</v>
      </c>
      <c r="X351" s="48" t="n">
        <v>29</v>
      </c>
      <c r="Y351" s="48" t="n">
        <v>53</v>
      </c>
      <c r="Z351" s="48" t="n">
        <v>30</v>
      </c>
      <c r="AA351" s="48" t="n">
        <v>56</v>
      </c>
      <c r="AB351" s="48" t="n">
        <v>38</v>
      </c>
      <c r="AC351" s="48" t="n">
        <v>79</v>
      </c>
      <c r="AD351" s="48" t="n">
        <v>204</v>
      </c>
      <c r="AE351" s="48" t="n">
        <v>6</v>
      </c>
      <c r="AF351" s="48" t="n">
        <v>98</v>
      </c>
      <c r="AG351" s="48" t="n">
        <v>69</v>
      </c>
      <c r="AH351" s="48" t="n">
        <v>18</v>
      </c>
      <c r="AI351" s="48" t="n">
        <v>71</v>
      </c>
      <c r="AJ351" s="48" t="n">
        <v>1178</v>
      </c>
      <c r="AK351" s="48" t="n">
        <v>43</v>
      </c>
      <c r="AL351" s="48" t="n">
        <v>20</v>
      </c>
      <c r="AM351" s="48" t="n">
        <v>32</v>
      </c>
      <c r="AN351" s="48" t="n">
        <v>63</v>
      </c>
      <c r="AO351" s="48" t="n">
        <v>110</v>
      </c>
      <c r="AP351" s="48" t="n">
        <v>49</v>
      </c>
      <c r="AQ351" s="48" t="n">
        <v>24</v>
      </c>
      <c r="AR351" s="48" t="n">
        <v>21</v>
      </c>
      <c r="AS351" s="48" t="n">
        <v>535</v>
      </c>
      <c r="AT351" s="48" t="n">
        <v>140</v>
      </c>
      <c r="AU351" s="48" t="n">
        <v>3</v>
      </c>
      <c r="AV351" s="48" t="n">
        <v>665</v>
      </c>
      <c r="AW351" s="48" t="n">
        <v>17</v>
      </c>
      <c r="AX351" s="48" t="n">
        <v>24</v>
      </c>
      <c r="AY351" s="48" t="n">
        <v>91</v>
      </c>
      <c r="AZ351" s="48" t="n">
        <v>73</v>
      </c>
      <c r="BA351" s="48" t="n">
        <v>41</v>
      </c>
      <c r="BB351" s="48" t="n">
        <v>144</v>
      </c>
      <c r="BC351" s="48" t="n">
        <v>83</v>
      </c>
      <c r="BD351" s="48" t="n">
        <v>96</v>
      </c>
      <c r="BE351" s="48" t="n">
        <v>51</v>
      </c>
      <c r="BF351" s="48" t="n">
        <v>24</v>
      </c>
      <c r="BG351" s="49" t="n">
        <v>1.25</v>
      </c>
    </row>
    <row r="352" customFormat="false" ht="15" hidden="false" customHeight="false" outlineLevel="0" collapsed="false">
      <c r="A352" s="43" t="s">
        <v>940</v>
      </c>
      <c r="B352" s="43" t="s">
        <v>941</v>
      </c>
      <c r="C352" s="44" t="str">
        <f aca="false">IF(A352="","",IFERROR(INDEX(Assumptions!$B$41:$B$55,MATCH(TRUE(),INDEX(ISNUMBER(SEARCH(" "&amp;Assumptions!$A$41:$A$55&amp;" "," "&amp;SUBSTITUTE(SUBSTITUTE(SUBSTITUTE(SUBSTITUTE(B352,"-"," "),","," "),"/"," "),"."," ")&amp;" ")),0),0)),"Other"))</f>
        <v>Other</v>
      </c>
      <c r="D352" s="45" t="n">
        <f aca="false">IF(A352="","",BG352*(1-Assumptions!$B$18))</f>
        <v>3.57</v>
      </c>
      <c r="E352" s="46" t="n">
        <f aca="false">IF(A352="","",INDEX(Assumptions!$B$23:$B$26,MOD(VALUE(LEFT(A352,5)),4)+1))</f>
        <v>6</v>
      </c>
      <c r="F352" s="47" t="n">
        <v>647</v>
      </c>
      <c r="G352" s="48" t="n">
        <v>31</v>
      </c>
      <c r="H352" s="48" t="n">
        <v>26</v>
      </c>
      <c r="I352" s="48" t="n">
        <v>1</v>
      </c>
      <c r="J352" s="48" t="n">
        <v>0</v>
      </c>
      <c r="K352" s="48" t="n">
        <v>10</v>
      </c>
      <c r="L352" s="48" t="n">
        <v>33</v>
      </c>
      <c r="M352" s="48" t="n">
        <v>11</v>
      </c>
      <c r="N352" s="48" t="n">
        <v>6</v>
      </c>
      <c r="O352" s="48" t="n">
        <v>109</v>
      </c>
      <c r="P352" s="48" t="n">
        <v>4</v>
      </c>
      <c r="Q352" s="48" t="n">
        <v>4</v>
      </c>
      <c r="R352" s="48" t="n">
        <v>20</v>
      </c>
      <c r="S352" s="48" t="n">
        <v>15</v>
      </c>
      <c r="T352" s="48" t="n">
        <v>10</v>
      </c>
      <c r="U352" s="48" t="n">
        <v>6</v>
      </c>
      <c r="V352" s="48" t="n">
        <v>9</v>
      </c>
      <c r="W352" s="48" t="n">
        <v>2</v>
      </c>
      <c r="X352" s="48" t="n">
        <v>4</v>
      </c>
      <c r="Y352" s="48" t="n">
        <v>8</v>
      </c>
      <c r="Z352" s="48" t="n">
        <v>0</v>
      </c>
      <c r="AA352" s="48" t="n">
        <v>8</v>
      </c>
      <c r="AB352" s="48" t="n">
        <v>10</v>
      </c>
      <c r="AC352" s="48" t="n">
        <v>49</v>
      </c>
      <c r="AD352" s="48" t="n">
        <v>19</v>
      </c>
      <c r="AE352" s="48" t="n">
        <v>9</v>
      </c>
      <c r="AF352" s="48" t="n">
        <v>0</v>
      </c>
      <c r="AG352" s="48" t="n">
        <v>2</v>
      </c>
      <c r="AH352" s="48" t="n">
        <v>12</v>
      </c>
      <c r="AI352" s="48" t="n">
        <v>13</v>
      </c>
      <c r="AJ352" s="48" t="n">
        <v>9</v>
      </c>
      <c r="AK352" s="48" t="n">
        <v>70</v>
      </c>
      <c r="AL352" s="48" t="n">
        <v>63</v>
      </c>
      <c r="AM352" s="48" t="n">
        <v>60</v>
      </c>
      <c r="AN352" s="48" t="n">
        <v>19</v>
      </c>
      <c r="AO352" s="48" t="n">
        <v>17</v>
      </c>
      <c r="AP352" s="48" t="n">
        <v>17</v>
      </c>
      <c r="AQ352" s="48" t="n">
        <v>14</v>
      </c>
      <c r="AR352" s="48" t="n">
        <v>21</v>
      </c>
      <c r="AS352" s="48" t="n">
        <v>23</v>
      </c>
      <c r="AT352" s="48" t="n">
        <v>34</v>
      </c>
      <c r="AU352" s="48" t="n">
        <v>31</v>
      </c>
      <c r="AV352" s="48" t="n">
        <v>29</v>
      </c>
      <c r="AW352" s="48" t="n">
        <v>25</v>
      </c>
      <c r="AX352" s="48" t="n">
        <v>21</v>
      </c>
      <c r="AY352" s="48" t="n">
        <v>19</v>
      </c>
      <c r="AZ352" s="48" t="n">
        <v>8</v>
      </c>
      <c r="BA352" s="48" t="n">
        <v>75</v>
      </c>
      <c r="BB352" s="48" t="n">
        <v>68</v>
      </c>
      <c r="BC352" s="48" t="n">
        <v>18</v>
      </c>
      <c r="BD352" s="48" t="n">
        <v>18</v>
      </c>
      <c r="BE352" s="48" t="n">
        <v>11</v>
      </c>
      <c r="BF352" s="48" t="n">
        <v>60</v>
      </c>
      <c r="BG352" s="49" t="n">
        <v>5.95</v>
      </c>
    </row>
    <row r="353" customFormat="false" ht="15" hidden="false" customHeight="false" outlineLevel="0" collapsed="false">
      <c r="A353" s="43" t="s">
        <v>942</v>
      </c>
      <c r="B353" s="43" t="s">
        <v>943</v>
      </c>
      <c r="C353" s="44" t="str">
        <f aca="false">IF(A353="","",IFERROR(INDEX(Assumptions!$B$41:$B$55,MATCH(TRUE(),INDEX(ISNUMBER(SEARCH(" "&amp;Assumptions!$A$41:$A$55&amp;" "," "&amp;SUBSTITUTE(SUBSTITUTE(SUBSTITUTE(SUBSTITUTE(B353,"-"," "),","," "),"/"," "),"."," ")&amp;" ")),0),0)),"Other"))</f>
        <v>Kitchen</v>
      </c>
      <c r="D353" s="45" t="n">
        <f aca="false">IF(A353="","",BG353*(1-Assumptions!$B$18))</f>
        <v>4.77</v>
      </c>
      <c r="E353" s="46" t="n">
        <f aca="false">IF(A353="","",INDEX(Assumptions!$B$23:$B$26,MOD(VALUE(LEFT(A353,5)),4)+1))</f>
        <v>2</v>
      </c>
      <c r="F353" s="47" t="n">
        <v>138</v>
      </c>
      <c r="G353" s="48" t="n">
        <v>21</v>
      </c>
      <c r="H353" s="48" t="n">
        <v>22</v>
      </c>
      <c r="I353" s="48" t="n">
        <v>6</v>
      </c>
      <c r="J353" s="48" t="n">
        <v>0</v>
      </c>
      <c r="K353" s="48" t="n">
        <v>5</v>
      </c>
      <c r="L353" s="48" t="n">
        <v>148</v>
      </c>
      <c r="M353" s="48" t="n">
        <v>13</v>
      </c>
      <c r="N353" s="48" t="n">
        <v>24</v>
      </c>
      <c r="O353" s="48" t="n">
        <v>29</v>
      </c>
      <c r="P353" s="48" t="n">
        <v>14</v>
      </c>
      <c r="Q353" s="48" t="n">
        <v>19</v>
      </c>
      <c r="R353" s="48" t="n">
        <v>23</v>
      </c>
      <c r="S353" s="48" t="n">
        <v>52</v>
      </c>
      <c r="T353" s="48" t="n">
        <v>6</v>
      </c>
      <c r="U353" s="48" t="n">
        <v>16</v>
      </c>
      <c r="V353" s="48" t="n">
        <v>6</v>
      </c>
      <c r="W353" s="48" t="n">
        <v>19</v>
      </c>
      <c r="X353" s="48" t="n">
        <v>18</v>
      </c>
      <c r="Y353" s="48" t="n">
        <v>6</v>
      </c>
      <c r="Z353" s="48" t="n">
        <v>7</v>
      </c>
      <c r="AA353" s="48" t="n">
        <v>8</v>
      </c>
      <c r="AB353" s="48" t="n">
        <v>10</v>
      </c>
      <c r="AC353" s="48" t="n">
        <v>7</v>
      </c>
      <c r="AD353" s="48" t="n">
        <v>5</v>
      </c>
      <c r="AE353" s="48" t="n">
        <v>8</v>
      </c>
      <c r="AF353" s="48" t="n">
        <v>9</v>
      </c>
      <c r="AG353" s="48" t="n">
        <v>4</v>
      </c>
      <c r="AH353" s="48" t="n">
        <v>18</v>
      </c>
      <c r="AI353" s="48" t="n">
        <v>12</v>
      </c>
      <c r="AJ353" s="48" t="n">
        <v>2</v>
      </c>
      <c r="AK353" s="48" t="n">
        <v>6</v>
      </c>
      <c r="AL353" s="48" t="n">
        <v>10</v>
      </c>
      <c r="AM353" s="48" t="n">
        <v>52</v>
      </c>
      <c r="AN353" s="48" t="n">
        <v>10</v>
      </c>
      <c r="AO353" s="48" t="n">
        <v>25</v>
      </c>
      <c r="AP353" s="48" t="n">
        <v>7</v>
      </c>
      <c r="AQ353" s="48" t="n">
        <v>0</v>
      </c>
      <c r="AR353" s="48" t="n">
        <v>6</v>
      </c>
      <c r="AS353" s="48" t="n">
        <v>21</v>
      </c>
      <c r="AT353" s="48" t="n">
        <v>7</v>
      </c>
      <c r="AU353" s="48" t="n">
        <v>19</v>
      </c>
      <c r="AV353" s="48" t="n">
        <v>52</v>
      </c>
      <c r="AW353" s="48" t="n">
        <v>16</v>
      </c>
      <c r="AX353" s="48" t="n">
        <v>5</v>
      </c>
      <c r="AY353" s="48" t="n">
        <v>9</v>
      </c>
      <c r="AZ353" s="48" t="n">
        <v>15</v>
      </c>
      <c r="BA353" s="48" t="n">
        <v>19</v>
      </c>
      <c r="BB353" s="48" t="n">
        <v>17</v>
      </c>
      <c r="BC353" s="48" t="n">
        <v>28</v>
      </c>
      <c r="BD353" s="48" t="n">
        <v>14</v>
      </c>
      <c r="BE353" s="48" t="n">
        <v>9</v>
      </c>
      <c r="BF353" s="48" t="n">
        <v>14</v>
      </c>
      <c r="BG353" s="49" t="n">
        <v>7.95</v>
      </c>
    </row>
    <row r="354" customFormat="false" ht="15" hidden="false" customHeight="false" outlineLevel="0" collapsed="false">
      <c r="A354" s="43" t="s">
        <v>944</v>
      </c>
      <c r="B354" s="43" t="s">
        <v>945</v>
      </c>
      <c r="C354" s="44" t="str">
        <f aca="false">IF(A354="","",IFERROR(INDEX(Assumptions!$B$41:$B$55,MATCH(TRUE(),INDEX(ISNUMBER(SEARCH(" "&amp;Assumptions!$A$41:$A$55&amp;" "," "&amp;SUBSTITUTE(SUBSTITUTE(SUBSTITUTE(SUBSTITUTE(B354,"-"," "),","," "),"/"," "),"."," ")&amp;" ")),0),0)),"Other"))</f>
        <v>Kitchen</v>
      </c>
      <c r="D354" s="45" t="n">
        <f aca="false">IF(A354="","",BG354*(1-Assumptions!$B$18))</f>
        <v>8.97</v>
      </c>
      <c r="E354" s="46" t="n">
        <f aca="false">IF(A354="","",INDEX(Assumptions!$B$23:$B$26,MOD(VALUE(LEFT(A354,5)),4)+1))</f>
        <v>8</v>
      </c>
      <c r="F354" s="47" t="n">
        <v>359</v>
      </c>
      <c r="G354" s="48" t="n">
        <v>9</v>
      </c>
      <c r="H354" s="48" t="n">
        <v>15</v>
      </c>
      <c r="I354" s="48" t="n">
        <v>1</v>
      </c>
      <c r="J354" s="48" t="n">
        <v>0</v>
      </c>
      <c r="K354" s="48" t="n">
        <v>2</v>
      </c>
      <c r="L354" s="48" t="n">
        <v>4</v>
      </c>
      <c r="M354" s="48" t="n">
        <v>12</v>
      </c>
      <c r="N354" s="48" t="n">
        <v>6</v>
      </c>
      <c r="O354" s="48" t="n">
        <v>10</v>
      </c>
      <c r="P354" s="48" t="n">
        <v>9</v>
      </c>
      <c r="Q354" s="48" t="n">
        <v>19</v>
      </c>
      <c r="R354" s="48" t="n">
        <v>2</v>
      </c>
      <c r="S354" s="48" t="n">
        <v>36</v>
      </c>
      <c r="T354" s="48" t="n">
        <v>17</v>
      </c>
      <c r="U354" s="48" t="n">
        <v>3</v>
      </c>
      <c r="V354" s="48" t="n">
        <v>3</v>
      </c>
      <c r="W354" s="48" t="n">
        <v>1</v>
      </c>
      <c r="X354" s="48" t="n">
        <v>4</v>
      </c>
      <c r="Y354" s="48" t="n">
        <v>7</v>
      </c>
      <c r="Z354" s="48" t="n">
        <v>5</v>
      </c>
      <c r="AA354" s="48" t="n">
        <v>1</v>
      </c>
      <c r="AB354" s="48" t="n">
        <v>38</v>
      </c>
      <c r="AC354" s="48" t="n">
        <v>3</v>
      </c>
      <c r="AD354" s="48" t="n">
        <v>9</v>
      </c>
      <c r="AE354" s="48" t="n">
        <v>3</v>
      </c>
      <c r="AF354" s="48" t="n">
        <v>6</v>
      </c>
      <c r="AG354" s="48" t="n">
        <v>3</v>
      </c>
      <c r="AH354" s="48" t="n">
        <v>5</v>
      </c>
      <c r="AI354" s="48" t="n">
        <v>12</v>
      </c>
      <c r="AJ354" s="48" t="n">
        <v>8</v>
      </c>
      <c r="AK354" s="48" t="n">
        <v>9</v>
      </c>
      <c r="AL354" s="48" t="n">
        <v>1</v>
      </c>
      <c r="AM354" s="48" t="n">
        <v>15</v>
      </c>
      <c r="AN354" s="48" t="n">
        <v>2</v>
      </c>
      <c r="AO354" s="48" t="n">
        <v>5</v>
      </c>
      <c r="AP354" s="48" t="n">
        <v>6</v>
      </c>
      <c r="AQ354" s="48" t="n">
        <v>10</v>
      </c>
      <c r="AR354" s="48" t="n">
        <v>1</v>
      </c>
      <c r="AS354" s="48" t="n">
        <v>3</v>
      </c>
      <c r="AT354" s="48" t="n">
        <v>15</v>
      </c>
      <c r="AU354" s="48" t="n">
        <v>5</v>
      </c>
      <c r="AV354" s="48" t="n">
        <v>47</v>
      </c>
      <c r="AW354" s="48" t="n">
        <v>2</v>
      </c>
      <c r="AX354" s="48" t="n">
        <v>3</v>
      </c>
      <c r="AY354" s="48" t="n">
        <v>4</v>
      </c>
      <c r="AZ354" s="48" t="n">
        <v>7</v>
      </c>
      <c r="BA354" s="48" t="n">
        <v>4</v>
      </c>
      <c r="BB354" s="48" t="n">
        <v>1</v>
      </c>
      <c r="BC354" s="48" t="n">
        <v>5</v>
      </c>
      <c r="BD354" s="48" t="n">
        <v>16</v>
      </c>
      <c r="BE354" s="48" t="n">
        <v>16</v>
      </c>
      <c r="BF354" s="48" t="n">
        <v>4</v>
      </c>
      <c r="BG354" s="49" t="n">
        <v>14.95</v>
      </c>
    </row>
    <row r="355" customFormat="false" ht="15" hidden="false" customHeight="false" outlineLevel="0" collapsed="false">
      <c r="A355" s="43" t="s">
        <v>946</v>
      </c>
      <c r="B355" s="43" t="s">
        <v>947</v>
      </c>
      <c r="C355" s="44" t="str">
        <f aca="false">IF(A355="","",IFERROR(INDEX(Assumptions!$B$41:$B$55,MATCH(TRUE(),INDEX(ISNUMBER(SEARCH(" "&amp;Assumptions!$A$41:$A$55&amp;" "," "&amp;SUBSTITUTE(SUBSTITUTE(SUBSTITUTE(SUBSTITUTE(B355,"-"," "),","," "),"/"," "),"."," ")&amp;" ")),0),0)),"Other"))</f>
        <v>Other</v>
      </c>
      <c r="D355" s="45" t="n">
        <f aca="false">IF(A355="","",BG355*(1-Assumptions!$B$18))</f>
        <v>4.77</v>
      </c>
      <c r="E355" s="46" t="n">
        <f aca="false">IF(A355="","",INDEX(Assumptions!$B$23:$B$26,MOD(VALUE(LEFT(A355,5)),4)+1))</f>
        <v>8</v>
      </c>
      <c r="F355" s="47" t="n">
        <v>185</v>
      </c>
      <c r="G355" s="48" t="n">
        <v>0</v>
      </c>
      <c r="H355" s="48" t="n">
        <v>0</v>
      </c>
      <c r="I355" s="48" t="n">
        <v>0</v>
      </c>
      <c r="J355" s="48" t="n">
        <v>0</v>
      </c>
      <c r="K355" s="48" t="n">
        <v>0</v>
      </c>
      <c r="L355" s="48" t="n">
        <v>0</v>
      </c>
      <c r="M355" s="48" t="n">
        <v>0</v>
      </c>
      <c r="N355" s="48" t="n">
        <v>0</v>
      </c>
      <c r="O355" s="48" t="n">
        <v>0</v>
      </c>
      <c r="P355" s="48" t="n">
        <v>0</v>
      </c>
      <c r="Q355" s="48" t="n">
        <v>0</v>
      </c>
      <c r="R355" s="48" t="n">
        <v>0</v>
      </c>
      <c r="S355" s="48" t="n">
        <v>0</v>
      </c>
      <c r="T355" s="48" t="n">
        <v>0</v>
      </c>
      <c r="U355" s="48" t="n">
        <v>0</v>
      </c>
      <c r="V355" s="48" t="n">
        <v>0</v>
      </c>
      <c r="W355" s="48" t="n">
        <v>0</v>
      </c>
      <c r="X355" s="48" t="n">
        <v>0</v>
      </c>
      <c r="Y355" s="48" t="n">
        <v>0</v>
      </c>
      <c r="Z355" s="48" t="n">
        <v>0</v>
      </c>
      <c r="AA355" s="48" t="n">
        <v>3</v>
      </c>
      <c r="AB355" s="48" t="n">
        <v>47</v>
      </c>
      <c r="AC355" s="48" t="n">
        <v>87</v>
      </c>
      <c r="AD355" s="48" t="n">
        <v>144</v>
      </c>
      <c r="AE355" s="48" t="n">
        <v>30</v>
      </c>
      <c r="AF355" s="48" t="n">
        <v>32</v>
      </c>
      <c r="AG355" s="48" t="n">
        <v>22</v>
      </c>
      <c r="AH355" s="48" t="n">
        <v>19</v>
      </c>
      <c r="AI355" s="48" t="n">
        <v>16</v>
      </c>
      <c r="AJ355" s="48" t="n">
        <v>10</v>
      </c>
      <c r="AK355" s="48" t="n">
        <v>38</v>
      </c>
      <c r="AL355" s="48" t="n">
        <v>23</v>
      </c>
      <c r="AM355" s="48" t="n">
        <v>23</v>
      </c>
      <c r="AN355" s="48" t="n">
        <v>13</v>
      </c>
      <c r="AO355" s="48" t="n">
        <v>0</v>
      </c>
      <c r="AP355" s="48" t="n">
        <v>1</v>
      </c>
      <c r="AQ355" s="48" t="n">
        <v>0</v>
      </c>
      <c r="AR355" s="48" t="n">
        <v>0</v>
      </c>
      <c r="AS355" s="48" t="n">
        <v>0</v>
      </c>
      <c r="AT355" s="48" t="n">
        <v>0</v>
      </c>
      <c r="AU355" s="48" t="n">
        <v>1</v>
      </c>
      <c r="AV355" s="48" t="n">
        <v>0</v>
      </c>
      <c r="AW355" s="48" t="n">
        <v>173</v>
      </c>
      <c r="AX355" s="48" t="n">
        <v>35</v>
      </c>
      <c r="AY355" s="48" t="n">
        <v>47</v>
      </c>
      <c r="AZ355" s="48" t="n">
        <v>31</v>
      </c>
      <c r="BA355" s="48" t="n">
        <v>33</v>
      </c>
      <c r="BB355" s="48" t="n">
        <v>52</v>
      </c>
      <c r="BC355" s="48" t="n">
        <v>10</v>
      </c>
      <c r="BD355" s="48" t="n">
        <v>9</v>
      </c>
      <c r="BE355" s="48" t="n">
        <v>37</v>
      </c>
      <c r="BF355" s="48" t="n">
        <v>28</v>
      </c>
      <c r="BG355" s="49" t="n">
        <v>7.95</v>
      </c>
    </row>
    <row r="356" customFormat="false" ht="15" hidden="false" customHeight="false" outlineLevel="0" collapsed="false">
      <c r="A356" s="43" t="s">
        <v>948</v>
      </c>
      <c r="B356" s="43" t="s">
        <v>949</v>
      </c>
      <c r="C356" s="44" t="str">
        <f aca="false">IF(A356="","",IFERROR(INDEX(Assumptions!$B$41:$B$55,MATCH(TRUE(),INDEX(ISNUMBER(SEARCH(" "&amp;Assumptions!$A$41:$A$55&amp;" "," "&amp;SUBSTITUTE(SUBSTITUTE(SUBSTITUTE(SUBSTITUTE(B356,"-"," "),","," "),"/"," "),"."," ")&amp;" ")),0),0)),"Other"))</f>
        <v>Other</v>
      </c>
      <c r="D356" s="45" t="n">
        <f aca="false">IF(A356="","",BG356*(1-Assumptions!$B$18))</f>
        <v>10.17</v>
      </c>
      <c r="E356" s="46" t="n">
        <f aca="false">IF(A356="","",INDEX(Assumptions!$B$23:$B$26,MOD(VALUE(LEFT(A356,5)),4)+1))</f>
        <v>2</v>
      </c>
      <c r="F356" s="47" t="n">
        <v>108</v>
      </c>
      <c r="G356" s="48" t="n">
        <v>0</v>
      </c>
      <c r="H356" s="48" t="n">
        <v>0</v>
      </c>
      <c r="I356" s="48" t="n">
        <v>0</v>
      </c>
      <c r="J356" s="48" t="n">
        <v>0</v>
      </c>
      <c r="K356" s="48" t="n">
        <v>0</v>
      </c>
      <c r="L356" s="48" t="n">
        <v>0</v>
      </c>
      <c r="M356" s="48" t="n">
        <v>0</v>
      </c>
      <c r="N356" s="48" t="n">
        <v>0</v>
      </c>
      <c r="O356" s="48" t="n">
        <v>0</v>
      </c>
      <c r="P356" s="48" t="n">
        <v>0</v>
      </c>
      <c r="Q356" s="48" t="n">
        <v>0</v>
      </c>
      <c r="R356" s="48" t="n">
        <v>0</v>
      </c>
      <c r="S356" s="48" t="n">
        <v>0</v>
      </c>
      <c r="T356" s="48" t="n">
        <v>56</v>
      </c>
      <c r="U356" s="48" t="n">
        <v>38</v>
      </c>
      <c r="V356" s="48" t="n">
        <v>13</v>
      </c>
      <c r="W356" s="48" t="n">
        <v>29</v>
      </c>
      <c r="X356" s="48" t="n">
        <v>7</v>
      </c>
      <c r="Y356" s="48" t="n">
        <v>33</v>
      </c>
      <c r="Z356" s="48" t="n">
        <v>5</v>
      </c>
      <c r="AA356" s="48" t="n">
        <v>3</v>
      </c>
      <c r="AB356" s="48" t="n">
        <v>10</v>
      </c>
      <c r="AC356" s="48" t="n">
        <v>14</v>
      </c>
      <c r="AD356" s="48" t="n">
        <v>10</v>
      </c>
      <c r="AE356" s="48" t="n">
        <v>14</v>
      </c>
      <c r="AF356" s="48" t="n">
        <v>1</v>
      </c>
      <c r="AG356" s="48" t="n">
        <v>11</v>
      </c>
      <c r="AH356" s="48" t="n">
        <v>28</v>
      </c>
      <c r="AI356" s="48" t="n">
        <v>5</v>
      </c>
      <c r="AJ356" s="48" t="n">
        <v>1</v>
      </c>
      <c r="AK356" s="48" t="n">
        <v>0</v>
      </c>
      <c r="AL356" s="48" t="n">
        <v>2</v>
      </c>
      <c r="AM356" s="48" t="n">
        <v>6</v>
      </c>
      <c r="AN356" s="48" t="n">
        <v>9</v>
      </c>
      <c r="AO356" s="48" t="n">
        <v>10</v>
      </c>
      <c r="AP356" s="48" t="n">
        <v>0</v>
      </c>
      <c r="AQ356" s="48" t="n">
        <v>8</v>
      </c>
      <c r="AR356" s="48" t="n">
        <v>1</v>
      </c>
      <c r="AS356" s="48" t="n">
        <v>9</v>
      </c>
      <c r="AT356" s="48" t="n">
        <v>0</v>
      </c>
      <c r="AU356" s="48" t="n">
        <v>22</v>
      </c>
      <c r="AV356" s="48" t="n">
        <v>21</v>
      </c>
      <c r="AW356" s="48" t="n">
        <v>2</v>
      </c>
      <c r="AX356" s="48" t="n">
        <v>5</v>
      </c>
      <c r="AY356" s="48" t="n">
        <v>12</v>
      </c>
      <c r="AZ356" s="48" t="n">
        <v>3</v>
      </c>
      <c r="BA356" s="48" t="n">
        <v>2</v>
      </c>
      <c r="BB356" s="48" t="n">
        <v>4</v>
      </c>
      <c r="BC356" s="48" t="n">
        <v>14</v>
      </c>
      <c r="BD356" s="48" t="n">
        <v>4</v>
      </c>
      <c r="BE356" s="48" t="n">
        <v>16</v>
      </c>
      <c r="BF356" s="48" t="n">
        <v>4</v>
      </c>
      <c r="BG356" s="49" t="n">
        <v>16.95</v>
      </c>
    </row>
    <row r="357" customFormat="false" ht="15" hidden="false" customHeight="false" outlineLevel="0" collapsed="false">
      <c r="A357" s="43" t="s">
        <v>950</v>
      </c>
      <c r="B357" s="43" t="s">
        <v>951</v>
      </c>
      <c r="C357" s="44" t="str">
        <f aca="false">IF(A357="","",IFERROR(INDEX(Assumptions!$B$41:$B$55,MATCH(TRUE(),INDEX(ISNUMBER(SEARCH(" "&amp;Assumptions!$A$41:$A$55&amp;" "," "&amp;SUBSTITUTE(SUBSTITUTE(SUBSTITUTE(SUBSTITUTE(B357,"-"," "),","," "),"/"," "),"."," ")&amp;" ")),0),0)),"Other"))</f>
        <v>Other</v>
      </c>
      <c r="D357" s="45" t="n">
        <f aca="false">IF(A357="","",BG357*(1-Assumptions!$B$18))</f>
        <v>2.55</v>
      </c>
      <c r="E357" s="46" t="n">
        <f aca="false">IF(A357="","",INDEX(Assumptions!$B$23:$B$26,MOD(VALUE(LEFT(A357,5)),4)+1))</f>
        <v>6</v>
      </c>
      <c r="F357" s="47" t="n">
        <v>1360</v>
      </c>
      <c r="G357" s="48" t="n">
        <v>103</v>
      </c>
      <c r="H357" s="48" t="n">
        <v>112</v>
      </c>
      <c r="I357" s="48" t="n">
        <v>61</v>
      </c>
      <c r="J357" s="48" t="n">
        <v>0</v>
      </c>
      <c r="K357" s="48" t="n">
        <v>40</v>
      </c>
      <c r="L357" s="48" t="n">
        <v>19</v>
      </c>
      <c r="M357" s="48" t="n">
        <v>13</v>
      </c>
      <c r="N357" s="48" t="n">
        <v>10</v>
      </c>
      <c r="O357" s="48" t="n">
        <v>6</v>
      </c>
      <c r="P357" s="48" t="n">
        <v>7</v>
      </c>
      <c r="Q357" s="48" t="n">
        <v>10</v>
      </c>
      <c r="R357" s="48" t="n">
        <v>13</v>
      </c>
      <c r="S357" s="48" t="n">
        <v>12</v>
      </c>
      <c r="T357" s="48" t="n">
        <v>1</v>
      </c>
      <c r="U357" s="48" t="n">
        <v>2</v>
      </c>
      <c r="V357" s="48" t="n">
        <v>3</v>
      </c>
      <c r="W357" s="48" t="n">
        <v>10</v>
      </c>
      <c r="X357" s="48" t="n">
        <v>2</v>
      </c>
      <c r="Y357" s="48" t="n">
        <v>5</v>
      </c>
      <c r="Z357" s="48" t="n">
        <v>4</v>
      </c>
      <c r="AA357" s="48" t="n">
        <v>0</v>
      </c>
      <c r="AB357" s="48" t="n">
        <v>0</v>
      </c>
      <c r="AC357" s="48" t="n">
        <v>3</v>
      </c>
      <c r="AD357" s="48" t="n">
        <v>1</v>
      </c>
      <c r="AE357" s="48" t="n">
        <v>0</v>
      </c>
      <c r="AF357" s="48" t="n">
        <v>4</v>
      </c>
      <c r="AG357" s="48" t="n">
        <v>1</v>
      </c>
      <c r="AH357" s="48" t="n">
        <v>0</v>
      </c>
      <c r="AI357" s="48" t="n">
        <v>0</v>
      </c>
      <c r="AJ357" s="48" t="n">
        <v>8</v>
      </c>
      <c r="AK357" s="48" t="n">
        <v>1</v>
      </c>
      <c r="AL357" s="48" t="n">
        <v>13</v>
      </c>
      <c r="AM357" s="48" t="n">
        <v>25</v>
      </c>
      <c r="AN357" s="48" t="n">
        <v>3</v>
      </c>
      <c r="AO357" s="48" t="n">
        <v>12</v>
      </c>
      <c r="AP357" s="48" t="n">
        <v>9</v>
      </c>
      <c r="AQ357" s="48" t="n">
        <v>6</v>
      </c>
      <c r="AR357" s="48" t="n">
        <v>16</v>
      </c>
      <c r="AS357" s="48" t="n">
        <v>30</v>
      </c>
      <c r="AT357" s="48" t="n">
        <v>19</v>
      </c>
      <c r="AU357" s="48" t="n">
        <v>86</v>
      </c>
      <c r="AV357" s="48" t="n">
        <v>50</v>
      </c>
      <c r="AW357" s="48" t="n">
        <v>86</v>
      </c>
      <c r="AX357" s="48" t="n">
        <v>68</v>
      </c>
      <c r="AY357" s="48" t="n">
        <v>59</v>
      </c>
      <c r="AZ357" s="48" t="n">
        <v>48</v>
      </c>
      <c r="BA357" s="48" t="n">
        <v>49</v>
      </c>
      <c r="BB357" s="48" t="n">
        <v>113</v>
      </c>
      <c r="BC357" s="48" t="n">
        <v>101</v>
      </c>
      <c r="BD357" s="48" t="n">
        <v>53</v>
      </c>
      <c r="BE357" s="48" t="n">
        <v>59</v>
      </c>
      <c r="BF357" s="48" t="n">
        <v>117</v>
      </c>
      <c r="BG357" s="49" t="n">
        <v>4.25</v>
      </c>
    </row>
    <row r="358" customFormat="false" ht="15" hidden="false" customHeight="false" outlineLevel="0" collapsed="false">
      <c r="A358" s="43" t="s">
        <v>952</v>
      </c>
      <c r="B358" s="43" t="s">
        <v>953</v>
      </c>
      <c r="C358" s="44" t="str">
        <f aca="false">IF(A358="","",IFERROR(INDEX(Assumptions!$B$41:$B$55,MATCH(TRUE(),INDEX(ISNUMBER(SEARCH(" "&amp;Assumptions!$A$41:$A$55&amp;" "," "&amp;SUBSTITUTE(SUBSTITUTE(SUBSTITUTE(SUBSTITUTE(B358,"-"," "),","," "),"/"," "),"."," ")&amp;" ")),0),0)),"Other"))</f>
        <v>Other</v>
      </c>
      <c r="D358" s="45" t="n">
        <f aca="false">IF(A358="","",BG358*(1-Assumptions!$B$18))</f>
        <v>4.95</v>
      </c>
      <c r="E358" s="46" t="n">
        <f aca="false">IF(A358="","",INDEX(Assumptions!$B$23:$B$26,MOD(VALUE(LEFT(A358,5)),4)+1))</f>
        <v>4</v>
      </c>
      <c r="F358" s="47" t="n">
        <v>200</v>
      </c>
      <c r="G358" s="48" t="n">
        <v>0</v>
      </c>
      <c r="H358" s="48" t="n">
        <v>0</v>
      </c>
      <c r="I358" s="48" t="n">
        <v>0</v>
      </c>
      <c r="J358" s="48" t="n">
        <v>0</v>
      </c>
      <c r="K358" s="48" t="n">
        <v>0</v>
      </c>
      <c r="L358" s="48" t="n">
        <v>0</v>
      </c>
      <c r="M358" s="48" t="n">
        <v>0</v>
      </c>
      <c r="N358" s="48" t="n">
        <v>0</v>
      </c>
      <c r="O358" s="48" t="n">
        <v>0</v>
      </c>
      <c r="P358" s="48" t="n">
        <v>0</v>
      </c>
      <c r="Q358" s="48" t="n">
        <v>0</v>
      </c>
      <c r="R358" s="48" t="n">
        <v>0</v>
      </c>
      <c r="S358" s="48" t="n">
        <v>0</v>
      </c>
      <c r="T358" s="48" t="n">
        <v>0</v>
      </c>
      <c r="U358" s="48" t="n">
        <v>0</v>
      </c>
      <c r="V358" s="48" t="n">
        <v>0</v>
      </c>
      <c r="W358" s="48" t="n">
        <v>0</v>
      </c>
      <c r="X358" s="48" t="n">
        <v>0</v>
      </c>
      <c r="Y358" s="48" t="n">
        <v>0</v>
      </c>
      <c r="Z358" s="48" t="n">
        <v>0</v>
      </c>
      <c r="AA358" s="48" t="n">
        <v>0</v>
      </c>
      <c r="AB358" s="48" t="n">
        <v>0</v>
      </c>
      <c r="AC358" s="48" t="n">
        <v>0</v>
      </c>
      <c r="AD358" s="48" t="n">
        <v>0</v>
      </c>
      <c r="AE358" s="48" t="n">
        <v>0</v>
      </c>
      <c r="AF358" s="48" t="n">
        <v>0</v>
      </c>
      <c r="AG358" s="48" t="n">
        <v>0</v>
      </c>
      <c r="AH358" s="48" t="n">
        <v>0</v>
      </c>
      <c r="AI358" s="48" t="n">
        <v>0</v>
      </c>
      <c r="AJ358" s="48" t="n">
        <v>0</v>
      </c>
      <c r="AK358" s="48" t="n">
        <v>0</v>
      </c>
      <c r="AL358" s="48" t="n">
        <v>0</v>
      </c>
      <c r="AM358" s="48" t="n">
        <v>0</v>
      </c>
      <c r="AN358" s="48" t="n">
        <v>0</v>
      </c>
      <c r="AO358" s="48" t="n">
        <v>0</v>
      </c>
      <c r="AP358" s="48" t="n">
        <v>0</v>
      </c>
      <c r="AQ358" s="48" t="n">
        <v>0</v>
      </c>
      <c r="AR358" s="48" t="n">
        <v>0</v>
      </c>
      <c r="AS358" s="48" t="n">
        <v>0</v>
      </c>
      <c r="AT358" s="48" t="n">
        <v>0</v>
      </c>
      <c r="AU358" s="48" t="n">
        <v>0</v>
      </c>
      <c r="AV358" s="48" t="n">
        <v>0</v>
      </c>
      <c r="AW358" s="48" t="n">
        <v>2</v>
      </c>
      <c r="AX358" s="48" t="n">
        <v>252</v>
      </c>
      <c r="AY358" s="48" t="n">
        <v>68</v>
      </c>
      <c r="AZ358" s="48" t="n">
        <v>142</v>
      </c>
      <c r="BA358" s="48" t="n">
        <v>83</v>
      </c>
      <c r="BB358" s="48" t="n">
        <v>145</v>
      </c>
      <c r="BC358" s="48" t="n">
        <v>55</v>
      </c>
      <c r="BD358" s="48" t="n">
        <v>32</v>
      </c>
      <c r="BE358" s="48" t="n">
        <v>76</v>
      </c>
      <c r="BF358" s="48" t="n">
        <v>10</v>
      </c>
      <c r="BG358" s="49" t="n">
        <v>8.25</v>
      </c>
    </row>
    <row r="359" customFormat="false" ht="15" hidden="false" customHeight="false" outlineLevel="0" collapsed="false">
      <c r="A359" s="43" t="s">
        <v>954</v>
      </c>
      <c r="B359" s="43" t="s">
        <v>955</v>
      </c>
      <c r="C359" s="44" t="str">
        <f aca="false">IF(A359="","",IFERROR(INDEX(Assumptions!$B$41:$B$55,MATCH(TRUE(),INDEX(ISNUMBER(SEARCH(" "&amp;Assumptions!$A$41:$A$55&amp;" "," "&amp;SUBSTITUTE(SUBSTITUTE(SUBSTITUTE(SUBSTITUTE(B359,"-"," "),","," "),"/"," "),"."," ")&amp;" ")),0),0)),"Other"))</f>
        <v>Other</v>
      </c>
      <c r="D359" s="45" t="n">
        <f aca="false">IF(A359="","",BG359*(1-Assumptions!$B$18))</f>
        <v>0.99</v>
      </c>
      <c r="E359" s="46" t="n">
        <f aca="false">IF(A359="","",INDEX(Assumptions!$B$23:$B$26,MOD(VALUE(LEFT(A359,5)),4)+1))</f>
        <v>8</v>
      </c>
      <c r="F359" s="47" t="n">
        <v>461</v>
      </c>
      <c r="G359" s="48" t="n">
        <v>0</v>
      </c>
      <c r="H359" s="48" t="n">
        <v>0</v>
      </c>
      <c r="I359" s="48" t="n">
        <v>0</v>
      </c>
      <c r="J359" s="48" t="n">
        <v>0</v>
      </c>
      <c r="K359" s="48" t="n">
        <v>0</v>
      </c>
      <c r="L359" s="48" t="n">
        <v>0</v>
      </c>
      <c r="M359" s="48" t="n">
        <v>0</v>
      </c>
      <c r="N359" s="48" t="n">
        <v>0</v>
      </c>
      <c r="O359" s="48" t="n">
        <v>0</v>
      </c>
      <c r="P359" s="48" t="n">
        <v>0</v>
      </c>
      <c r="Q359" s="48" t="n">
        <v>0</v>
      </c>
      <c r="R359" s="48" t="n">
        <v>0</v>
      </c>
      <c r="S359" s="48" t="n">
        <v>0</v>
      </c>
      <c r="T359" s="48" t="n">
        <v>0</v>
      </c>
      <c r="U359" s="48" t="n">
        <v>0</v>
      </c>
      <c r="V359" s="48" t="n">
        <v>0</v>
      </c>
      <c r="W359" s="48" t="n">
        <v>0</v>
      </c>
      <c r="X359" s="48" t="n">
        <v>0</v>
      </c>
      <c r="Y359" s="48" t="n">
        <v>0</v>
      </c>
      <c r="Z359" s="48" t="n">
        <v>0</v>
      </c>
      <c r="AA359" s="48" t="n">
        <v>0</v>
      </c>
      <c r="AB359" s="48" t="n">
        <v>0</v>
      </c>
      <c r="AC359" s="48" t="n">
        <v>35</v>
      </c>
      <c r="AD359" s="48" t="n">
        <v>273</v>
      </c>
      <c r="AE359" s="48" t="n">
        <v>107</v>
      </c>
      <c r="AF359" s="48" t="n">
        <v>179</v>
      </c>
      <c r="AG359" s="48" t="n">
        <v>127</v>
      </c>
      <c r="AH359" s="48" t="n">
        <v>86</v>
      </c>
      <c r="AI359" s="48" t="n">
        <v>96</v>
      </c>
      <c r="AJ359" s="48" t="n">
        <v>12</v>
      </c>
      <c r="AK359" s="48" t="n">
        <v>10</v>
      </c>
      <c r="AL359" s="48" t="n">
        <v>42</v>
      </c>
      <c r="AM359" s="48" t="n">
        <v>137</v>
      </c>
      <c r="AN359" s="48" t="n">
        <v>36</v>
      </c>
      <c r="AO359" s="48" t="n">
        <v>30</v>
      </c>
      <c r="AP359" s="48" t="n">
        <v>25</v>
      </c>
      <c r="AQ359" s="48" t="n">
        <v>32</v>
      </c>
      <c r="AR359" s="48" t="n">
        <v>26</v>
      </c>
      <c r="AS359" s="48" t="n">
        <v>36</v>
      </c>
      <c r="AT359" s="48" t="n">
        <v>60</v>
      </c>
      <c r="AU359" s="48" t="n">
        <v>106</v>
      </c>
      <c r="AV359" s="48" t="n">
        <v>149</v>
      </c>
      <c r="AW359" s="48" t="n">
        <v>140</v>
      </c>
      <c r="AX359" s="48" t="n">
        <v>162</v>
      </c>
      <c r="AY359" s="48" t="n">
        <v>150</v>
      </c>
      <c r="AZ359" s="48" t="n">
        <v>390</v>
      </c>
      <c r="BA359" s="48" t="n">
        <v>305</v>
      </c>
      <c r="BB359" s="48" t="n">
        <v>283</v>
      </c>
      <c r="BC359" s="48" t="n">
        <v>219</v>
      </c>
      <c r="BD359" s="48" t="n">
        <v>289</v>
      </c>
      <c r="BE359" s="48" t="n">
        <v>217</v>
      </c>
      <c r="BF359" s="48" t="n">
        <v>235</v>
      </c>
      <c r="BG359" s="49" t="n">
        <v>1.65</v>
      </c>
    </row>
    <row r="360" customFormat="false" ht="15" hidden="false" customHeight="false" outlineLevel="0" collapsed="false">
      <c r="A360" s="43" t="s">
        <v>956</v>
      </c>
      <c r="B360" s="43" t="s">
        <v>957</v>
      </c>
      <c r="C360" s="44" t="str">
        <f aca="false">IF(A360="","",IFERROR(INDEX(Assumptions!$B$41:$B$55,MATCH(TRUE(),INDEX(ISNUMBER(SEARCH(" "&amp;Assumptions!$A$41:$A$55&amp;" "," "&amp;SUBSTITUTE(SUBSTITUTE(SUBSTITUTE(SUBSTITUTE(B360,"-"," "),","," "),"/"," "),"."," ")&amp;" ")),0),0)),"Other"))</f>
        <v>Other</v>
      </c>
      <c r="D360" s="45" t="n">
        <f aca="false">IF(A360="","",BG360*(1-Assumptions!$B$18))</f>
        <v>3.57</v>
      </c>
      <c r="E360" s="46" t="n">
        <f aca="false">IF(A360="","",INDEX(Assumptions!$B$23:$B$26,MOD(VALUE(LEFT(A360,5)),4)+1))</f>
        <v>8</v>
      </c>
      <c r="F360" s="47" t="n">
        <v>238</v>
      </c>
      <c r="G360" s="48" t="n">
        <v>111</v>
      </c>
      <c r="H360" s="48" t="n">
        <v>56</v>
      </c>
      <c r="I360" s="48" t="n">
        <v>9</v>
      </c>
      <c r="J360" s="48" t="n">
        <v>0</v>
      </c>
      <c r="K360" s="48" t="n">
        <v>36</v>
      </c>
      <c r="L360" s="48" t="n">
        <v>7</v>
      </c>
      <c r="M360" s="48" t="n">
        <v>8</v>
      </c>
      <c r="N360" s="48" t="n">
        <v>8</v>
      </c>
      <c r="O360" s="48" t="n">
        <v>11</v>
      </c>
      <c r="P360" s="48" t="n">
        <v>38</v>
      </c>
      <c r="Q360" s="48" t="n">
        <v>8</v>
      </c>
      <c r="R360" s="48" t="n">
        <v>11</v>
      </c>
      <c r="S360" s="48" t="n">
        <v>16</v>
      </c>
      <c r="T360" s="48" t="n">
        <v>4</v>
      </c>
      <c r="U360" s="48" t="n">
        <v>17</v>
      </c>
      <c r="V360" s="48" t="n">
        <v>204</v>
      </c>
      <c r="W360" s="48" t="n">
        <v>9</v>
      </c>
      <c r="X360" s="48" t="n">
        <v>33</v>
      </c>
      <c r="Y360" s="48" t="n">
        <v>7</v>
      </c>
      <c r="Z360" s="48" t="n">
        <v>49</v>
      </c>
      <c r="AA360" s="48" t="n">
        <v>1</v>
      </c>
      <c r="AB360" s="48" t="n">
        <v>4</v>
      </c>
      <c r="AC360" s="48" t="n">
        <v>13</v>
      </c>
      <c r="AD360" s="48" t="n">
        <v>4</v>
      </c>
      <c r="AE360" s="48" t="n">
        <v>6</v>
      </c>
      <c r="AF360" s="48" t="n">
        <v>24</v>
      </c>
      <c r="AG360" s="48" t="n">
        <v>4</v>
      </c>
      <c r="AH360" s="48" t="n">
        <v>36</v>
      </c>
      <c r="AI360" s="48" t="n">
        <v>7</v>
      </c>
      <c r="AJ360" s="48" t="n">
        <v>10</v>
      </c>
      <c r="AK360" s="48" t="n">
        <v>4</v>
      </c>
      <c r="AL360" s="48" t="n">
        <v>4</v>
      </c>
      <c r="AM360" s="48" t="n">
        <v>1</v>
      </c>
      <c r="AN360" s="48" t="n">
        <v>20</v>
      </c>
      <c r="AO360" s="48" t="n">
        <v>7</v>
      </c>
      <c r="AP360" s="48" t="n">
        <v>4</v>
      </c>
      <c r="AQ360" s="48" t="n">
        <v>19</v>
      </c>
      <c r="AR360" s="48" t="n">
        <v>2</v>
      </c>
      <c r="AS360" s="48" t="n">
        <v>3</v>
      </c>
      <c r="AT360" s="48" t="n">
        <v>48</v>
      </c>
      <c r="AU360" s="48" t="n">
        <v>10</v>
      </c>
      <c r="AV360" s="48" t="n">
        <v>25</v>
      </c>
      <c r="AW360" s="48" t="n">
        <v>17</v>
      </c>
      <c r="AX360" s="48" t="n">
        <v>21</v>
      </c>
      <c r="AY360" s="48" t="n">
        <v>27</v>
      </c>
      <c r="AZ360" s="48" t="n">
        <v>10</v>
      </c>
      <c r="BA360" s="48" t="n">
        <v>18</v>
      </c>
      <c r="BB360" s="48" t="n">
        <v>18</v>
      </c>
      <c r="BC360" s="48" t="n">
        <v>11</v>
      </c>
      <c r="BD360" s="48" t="n">
        <v>10</v>
      </c>
      <c r="BE360" s="48" t="n">
        <v>62</v>
      </c>
      <c r="BF360" s="48" t="n">
        <v>32</v>
      </c>
      <c r="BG360" s="49" t="n">
        <v>5.95</v>
      </c>
    </row>
    <row r="361" customFormat="false" ht="15" hidden="false" customHeight="false" outlineLevel="0" collapsed="false">
      <c r="A361" s="43" t="s">
        <v>958</v>
      </c>
      <c r="B361" s="43" t="s">
        <v>959</v>
      </c>
      <c r="C361" s="44" t="str">
        <f aca="false">IF(A361="","",IFERROR(INDEX(Assumptions!$B$41:$B$55,MATCH(TRUE(),INDEX(ISNUMBER(SEARCH(" "&amp;Assumptions!$A$41:$A$55&amp;" "," "&amp;SUBSTITUTE(SUBSTITUTE(SUBSTITUTE(SUBSTITUTE(B361,"-"," "),","," "),"/"," "),"."," ")&amp;" ")),0),0)),"Other"))</f>
        <v>Other</v>
      </c>
      <c r="D361" s="45" t="n">
        <f aca="false">IF(A361="","",BG361*(1-Assumptions!$B$18))</f>
        <v>1.77</v>
      </c>
      <c r="E361" s="46" t="n">
        <f aca="false">IF(A361="","",INDEX(Assumptions!$B$23:$B$26,MOD(VALUE(LEFT(A361,5)),4)+1))</f>
        <v>2</v>
      </c>
      <c r="F361" s="47" t="n">
        <v>461</v>
      </c>
      <c r="G361" s="48" t="n">
        <v>5</v>
      </c>
      <c r="H361" s="48" t="n">
        <v>12</v>
      </c>
      <c r="I361" s="48" t="n">
        <v>3</v>
      </c>
      <c r="J361" s="48" t="n">
        <v>0</v>
      </c>
      <c r="K361" s="48" t="n">
        <v>21</v>
      </c>
      <c r="L361" s="48" t="n">
        <v>78</v>
      </c>
      <c r="M361" s="48" t="n">
        <v>27</v>
      </c>
      <c r="N361" s="48" t="n">
        <v>14</v>
      </c>
      <c r="O361" s="48" t="n">
        <v>172</v>
      </c>
      <c r="P361" s="48" t="n">
        <v>65</v>
      </c>
      <c r="Q361" s="48" t="n">
        <v>81</v>
      </c>
      <c r="R361" s="48" t="n">
        <v>83</v>
      </c>
      <c r="S361" s="48" t="n">
        <v>23</v>
      </c>
      <c r="T361" s="48" t="n">
        <v>39</v>
      </c>
      <c r="U361" s="48" t="n">
        <v>66</v>
      </c>
      <c r="V361" s="48" t="n">
        <v>19</v>
      </c>
      <c r="W361" s="48" t="n">
        <v>109</v>
      </c>
      <c r="X361" s="48" t="n">
        <v>36</v>
      </c>
      <c r="Y361" s="48" t="n">
        <v>14</v>
      </c>
      <c r="Z361" s="48" t="n">
        <v>171</v>
      </c>
      <c r="AA361" s="48" t="n">
        <v>9</v>
      </c>
      <c r="AB361" s="48" t="n">
        <v>55</v>
      </c>
      <c r="AC361" s="48" t="n">
        <v>38</v>
      </c>
      <c r="AD361" s="48" t="n">
        <v>91</v>
      </c>
      <c r="AE361" s="48" t="n">
        <v>20</v>
      </c>
      <c r="AF361" s="48" t="n">
        <v>35</v>
      </c>
      <c r="AG361" s="48" t="n">
        <v>30</v>
      </c>
      <c r="AH361" s="48" t="n">
        <v>15</v>
      </c>
      <c r="AI361" s="48" t="n">
        <v>13</v>
      </c>
      <c r="AJ361" s="48" t="n">
        <v>58</v>
      </c>
      <c r="AK361" s="48" t="n">
        <v>47</v>
      </c>
      <c r="AL361" s="48" t="n">
        <v>22</v>
      </c>
      <c r="AM361" s="48" t="n">
        <v>95</v>
      </c>
      <c r="AN361" s="48" t="n">
        <v>8</v>
      </c>
      <c r="AO361" s="48" t="n">
        <v>17</v>
      </c>
      <c r="AP361" s="48" t="n">
        <v>25</v>
      </c>
      <c r="AQ361" s="48" t="n">
        <v>37</v>
      </c>
      <c r="AR361" s="48" t="n">
        <v>16</v>
      </c>
      <c r="AS361" s="48" t="n">
        <v>74</v>
      </c>
      <c r="AT361" s="48" t="n">
        <v>78</v>
      </c>
      <c r="AU361" s="48" t="n">
        <v>13</v>
      </c>
      <c r="AV361" s="48" t="n">
        <v>100</v>
      </c>
      <c r="AW361" s="48" t="n">
        <v>24</v>
      </c>
      <c r="AX361" s="48" t="n">
        <v>56</v>
      </c>
      <c r="AY361" s="48" t="n">
        <v>44</v>
      </c>
      <c r="AZ361" s="48" t="n">
        <v>15</v>
      </c>
      <c r="BA361" s="48" t="n">
        <v>17</v>
      </c>
      <c r="BB361" s="48" t="n">
        <v>25</v>
      </c>
      <c r="BC361" s="48" t="n">
        <v>8</v>
      </c>
      <c r="BD361" s="48" t="n">
        <v>24</v>
      </c>
      <c r="BE361" s="48" t="n">
        <v>21</v>
      </c>
      <c r="BF361" s="48" t="n">
        <v>13</v>
      </c>
      <c r="BG361" s="49" t="n">
        <v>2.95</v>
      </c>
    </row>
    <row r="362" customFormat="false" ht="15" hidden="false" customHeight="false" outlineLevel="0" collapsed="false">
      <c r="A362" s="43" t="s">
        <v>960</v>
      </c>
      <c r="B362" s="43" t="s">
        <v>961</v>
      </c>
      <c r="C362" s="44" t="str">
        <f aca="false">IF(A362="","",IFERROR(INDEX(Assumptions!$B$41:$B$55,MATCH(TRUE(),INDEX(ISNUMBER(SEARCH(" "&amp;Assumptions!$A$41:$A$55&amp;" "," "&amp;SUBSTITUTE(SUBSTITUTE(SUBSTITUTE(SUBSTITUTE(B362,"-"," "),","," "),"/"," "),"."," ")&amp;" ")),0),0)),"Other"))</f>
        <v>Other</v>
      </c>
      <c r="D362" s="45" t="n">
        <f aca="false">IF(A362="","",BG362*(1-Assumptions!$B$18))</f>
        <v>0.75</v>
      </c>
      <c r="E362" s="46" t="n">
        <f aca="false">IF(A362="","",INDEX(Assumptions!$B$23:$B$26,MOD(VALUE(LEFT(A362,5)),4)+1))</f>
        <v>2</v>
      </c>
      <c r="F362" s="47" t="n">
        <v>379</v>
      </c>
      <c r="G362" s="48" t="n">
        <v>7</v>
      </c>
      <c r="H362" s="48" t="n">
        <v>294</v>
      </c>
      <c r="I362" s="48" t="n">
        <v>19</v>
      </c>
      <c r="J362" s="48" t="n">
        <v>0</v>
      </c>
      <c r="K362" s="48" t="n">
        <v>47</v>
      </c>
      <c r="L362" s="48" t="n">
        <v>59</v>
      </c>
      <c r="M362" s="48" t="n">
        <v>101</v>
      </c>
      <c r="N362" s="48" t="n">
        <v>134</v>
      </c>
      <c r="O362" s="48" t="n">
        <v>46</v>
      </c>
      <c r="P362" s="48" t="n">
        <v>63</v>
      </c>
      <c r="Q362" s="48" t="n">
        <v>191</v>
      </c>
      <c r="R362" s="48" t="n">
        <v>443</v>
      </c>
      <c r="S362" s="48" t="n">
        <v>36</v>
      </c>
      <c r="T362" s="48" t="n">
        <v>94</v>
      </c>
      <c r="U362" s="48" t="n">
        <v>166</v>
      </c>
      <c r="V362" s="48" t="n">
        <v>24</v>
      </c>
      <c r="W362" s="48" t="n">
        <v>63</v>
      </c>
      <c r="X362" s="48" t="n">
        <v>109</v>
      </c>
      <c r="Y362" s="48" t="n">
        <v>135</v>
      </c>
      <c r="Z362" s="48" t="n">
        <v>45</v>
      </c>
      <c r="AA362" s="48" t="n">
        <v>33</v>
      </c>
      <c r="AB362" s="48" t="n">
        <v>42</v>
      </c>
      <c r="AC362" s="48" t="n">
        <v>216</v>
      </c>
      <c r="AD362" s="48" t="n">
        <v>88</v>
      </c>
      <c r="AE362" s="48" t="n">
        <v>114</v>
      </c>
      <c r="AF362" s="48" t="n">
        <v>89</v>
      </c>
      <c r="AG362" s="48" t="n">
        <v>148</v>
      </c>
      <c r="AH362" s="48" t="n">
        <v>111</v>
      </c>
      <c r="AI362" s="48" t="n">
        <v>174</v>
      </c>
      <c r="AJ362" s="48" t="n">
        <v>77</v>
      </c>
      <c r="AK362" s="48" t="n">
        <v>32</v>
      </c>
      <c r="AL362" s="48" t="n">
        <v>38</v>
      </c>
      <c r="AM362" s="48" t="n">
        <v>58</v>
      </c>
      <c r="AN362" s="48" t="n">
        <v>25</v>
      </c>
      <c r="AO362" s="48" t="n">
        <v>66</v>
      </c>
      <c r="AP362" s="48" t="n">
        <v>139</v>
      </c>
      <c r="AQ362" s="48" t="n">
        <v>84</v>
      </c>
      <c r="AR362" s="48" t="n">
        <v>148</v>
      </c>
      <c r="AS362" s="48" t="n">
        <v>126</v>
      </c>
      <c r="AT362" s="48" t="n">
        <v>81</v>
      </c>
      <c r="AU362" s="48" t="n">
        <v>180</v>
      </c>
      <c r="AV362" s="48" t="n">
        <v>208</v>
      </c>
      <c r="AW362" s="48" t="n">
        <v>40</v>
      </c>
      <c r="AX362" s="48" t="n">
        <v>85</v>
      </c>
      <c r="AY362" s="48" t="n">
        <v>94</v>
      </c>
      <c r="AZ362" s="48" t="n">
        <v>35</v>
      </c>
      <c r="BA362" s="48" t="n">
        <v>75</v>
      </c>
      <c r="BB362" s="48" t="n">
        <v>34</v>
      </c>
      <c r="BC362" s="48" t="n">
        <v>113</v>
      </c>
      <c r="BD362" s="48" t="n">
        <v>19</v>
      </c>
      <c r="BE362" s="48" t="n">
        <v>29</v>
      </c>
      <c r="BF362" s="48" t="n">
        <v>50</v>
      </c>
      <c r="BG362" s="49" t="n">
        <v>1.25</v>
      </c>
    </row>
    <row r="363" customFormat="false" ht="15" hidden="false" customHeight="false" outlineLevel="0" collapsed="false">
      <c r="A363" s="43" t="s">
        <v>962</v>
      </c>
      <c r="B363" s="43" t="s">
        <v>963</v>
      </c>
      <c r="C363" s="44" t="str">
        <f aca="false">IF(A363="","",IFERROR(INDEX(Assumptions!$B$41:$B$55,MATCH(TRUE(),INDEX(ISNUMBER(SEARCH(" "&amp;Assumptions!$A$41:$A$55&amp;" "," "&amp;SUBSTITUTE(SUBSTITUTE(SUBSTITUTE(SUBSTITUTE(B363,"-"," "),","," "),"/"," "),"."," ")&amp;" ")),0),0)),"Other"))</f>
        <v>Other</v>
      </c>
      <c r="D363" s="45" t="n">
        <f aca="false">IF(A363="","",BG363*(1-Assumptions!$B$18))</f>
        <v>4.05</v>
      </c>
      <c r="E363" s="46" t="n">
        <f aca="false">IF(A363="","",INDEX(Assumptions!$B$23:$B$26,MOD(VALUE(LEFT(A363,5)),4)+1))</f>
        <v>6</v>
      </c>
      <c r="F363" s="47" t="n">
        <v>137</v>
      </c>
      <c r="G363" s="48" t="n">
        <v>16</v>
      </c>
      <c r="H363" s="48" t="n">
        <v>36</v>
      </c>
      <c r="I363" s="48" t="n">
        <v>12</v>
      </c>
      <c r="J363" s="48" t="n">
        <v>0</v>
      </c>
      <c r="K363" s="48" t="n">
        <v>26</v>
      </c>
      <c r="L363" s="48" t="n">
        <v>8</v>
      </c>
      <c r="M363" s="48" t="n">
        <v>3</v>
      </c>
      <c r="N363" s="48" t="n">
        <v>54</v>
      </c>
      <c r="O363" s="48" t="n">
        <v>24</v>
      </c>
      <c r="P363" s="48" t="n">
        <v>10</v>
      </c>
      <c r="Q363" s="48" t="n">
        <v>7</v>
      </c>
      <c r="R363" s="48" t="n">
        <v>13</v>
      </c>
      <c r="S363" s="48" t="n">
        <v>7</v>
      </c>
      <c r="T363" s="48" t="n">
        <v>29</v>
      </c>
      <c r="U363" s="48" t="n">
        <v>41</v>
      </c>
      <c r="V363" s="48" t="n">
        <v>15</v>
      </c>
      <c r="W363" s="48" t="n">
        <v>7</v>
      </c>
      <c r="X363" s="48" t="n">
        <v>13</v>
      </c>
      <c r="Y363" s="48" t="n">
        <v>32</v>
      </c>
      <c r="Z363" s="48" t="n">
        <v>2</v>
      </c>
      <c r="AA363" s="48" t="n">
        <v>4</v>
      </c>
      <c r="AB363" s="48" t="n">
        <v>13</v>
      </c>
      <c r="AC363" s="48" t="n">
        <v>11</v>
      </c>
      <c r="AD363" s="48" t="n">
        <v>30</v>
      </c>
      <c r="AE363" s="48" t="n">
        <v>6</v>
      </c>
      <c r="AF363" s="48" t="n">
        <v>0</v>
      </c>
      <c r="AG363" s="48" t="n">
        <v>20</v>
      </c>
      <c r="AH363" s="48" t="n">
        <v>43</v>
      </c>
      <c r="AI363" s="48" t="n">
        <v>12</v>
      </c>
      <c r="AJ363" s="48" t="n">
        <v>2</v>
      </c>
      <c r="AK363" s="48" t="n">
        <v>23</v>
      </c>
      <c r="AL363" s="48" t="n">
        <v>16</v>
      </c>
      <c r="AM363" s="48" t="n">
        <v>12</v>
      </c>
      <c r="AN363" s="48" t="n">
        <v>32</v>
      </c>
      <c r="AO363" s="48" t="n">
        <v>21</v>
      </c>
      <c r="AP363" s="48" t="n">
        <v>18</v>
      </c>
      <c r="AQ363" s="48" t="n">
        <v>27</v>
      </c>
      <c r="AR363" s="48" t="n">
        <v>16</v>
      </c>
      <c r="AS363" s="48" t="n">
        <v>4</v>
      </c>
      <c r="AT363" s="48" t="n">
        <v>4</v>
      </c>
      <c r="AU363" s="48" t="n">
        <v>7</v>
      </c>
      <c r="AV363" s="48" t="n">
        <v>183</v>
      </c>
      <c r="AW363" s="48" t="n">
        <v>5</v>
      </c>
      <c r="AX363" s="48" t="n">
        <v>17</v>
      </c>
      <c r="AY363" s="48" t="n">
        <v>7</v>
      </c>
      <c r="AZ363" s="48" t="n">
        <v>11</v>
      </c>
      <c r="BA363" s="48" t="n">
        <v>5</v>
      </c>
      <c r="BB363" s="48" t="n">
        <v>18</v>
      </c>
      <c r="BC363" s="48" t="n">
        <v>35</v>
      </c>
      <c r="BD363" s="48" t="n">
        <v>7</v>
      </c>
      <c r="BE363" s="48" t="n">
        <v>48</v>
      </c>
      <c r="BF363" s="48" t="n">
        <v>8</v>
      </c>
      <c r="BG363" s="49" t="n">
        <v>6.75</v>
      </c>
    </row>
    <row r="364" customFormat="false" ht="15" hidden="false" customHeight="false" outlineLevel="0" collapsed="false">
      <c r="A364" s="43" t="s">
        <v>964</v>
      </c>
      <c r="B364" s="43" t="s">
        <v>965</v>
      </c>
      <c r="C364" s="44" t="str">
        <f aca="false">IF(A364="","",IFERROR(INDEX(Assumptions!$B$41:$B$55,MATCH(TRUE(),INDEX(ISNUMBER(SEARCH(" "&amp;Assumptions!$A$41:$A$55&amp;" "," "&amp;SUBSTITUTE(SUBSTITUTE(SUBSTITUTE(SUBSTITUTE(B364,"-"," "),","," "),"/"," "),"."," ")&amp;" ")),0),0)),"Other"))</f>
        <v>Other</v>
      </c>
      <c r="D364" s="45" t="n">
        <f aca="false">IF(A364="","",BG364*(1-Assumptions!$B$18))</f>
        <v>1.734</v>
      </c>
      <c r="E364" s="46" t="n">
        <f aca="false">IF(A364="","",INDEX(Assumptions!$B$23:$B$26,MOD(VALUE(LEFT(A364,5)),4)+1))</f>
        <v>2</v>
      </c>
      <c r="F364" s="47" t="n">
        <v>1818</v>
      </c>
      <c r="G364" s="48" t="n">
        <v>0</v>
      </c>
      <c r="H364" s="48" t="n">
        <v>0</v>
      </c>
      <c r="I364" s="48" t="n">
        <v>0</v>
      </c>
      <c r="J364" s="48" t="n">
        <v>0</v>
      </c>
      <c r="K364" s="48" t="n">
        <v>0</v>
      </c>
      <c r="L364" s="48" t="n">
        <v>0</v>
      </c>
      <c r="M364" s="48" t="n">
        <v>0</v>
      </c>
      <c r="N364" s="48" t="n">
        <v>0</v>
      </c>
      <c r="O364" s="48" t="n">
        <v>0</v>
      </c>
      <c r="P364" s="48" t="n">
        <v>0</v>
      </c>
      <c r="Q364" s="48" t="n">
        <v>0</v>
      </c>
      <c r="R364" s="48" t="n">
        <v>0</v>
      </c>
      <c r="S364" s="48" t="n">
        <v>0</v>
      </c>
      <c r="T364" s="48" t="n">
        <v>0</v>
      </c>
      <c r="U364" s="48" t="n">
        <v>0</v>
      </c>
      <c r="V364" s="48" t="n">
        <v>0</v>
      </c>
      <c r="W364" s="48" t="n">
        <v>0</v>
      </c>
      <c r="X364" s="48" t="n">
        <v>0</v>
      </c>
      <c r="Y364" s="48" t="n">
        <v>0</v>
      </c>
      <c r="Z364" s="48" t="n">
        <v>0</v>
      </c>
      <c r="AA364" s="48" t="n">
        <v>0</v>
      </c>
      <c r="AB364" s="48" t="n">
        <v>0</v>
      </c>
      <c r="AC364" s="48" t="n">
        <v>0</v>
      </c>
      <c r="AD364" s="48" t="n">
        <v>0</v>
      </c>
      <c r="AE364" s="48" t="n">
        <v>0</v>
      </c>
      <c r="AF364" s="48" t="n">
        <v>0</v>
      </c>
      <c r="AG364" s="48" t="n">
        <v>0</v>
      </c>
      <c r="AH364" s="48" t="n">
        <v>0</v>
      </c>
      <c r="AI364" s="48" t="n">
        <v>0</v>
      </c>
      <c r="AJ364" s="48" t="n">
        <v>0</v>
      </c>
      <c r="AK364" s="48" t="n">
        <v>31</v>
      </c>
      <c r="AL364" s="48" t="n">
        <v>18</v>
      </c>
      <c r="AM364" s="48" t="n">
        <v>12</v>
      </c>
      <c r="AN364" s="48" t="n">
        <v>90</v>
      </c>
      <c r="AO364" s="48" t="n">
        <v>52</v>
      </c>
      <c r="AP364" s="48" t="n">
        <v>48</v>
      </c>
      <c r="AQ364" s="48" t="n">
        <v>38</v>
      </c>
      <c r="AR364" s="48" t="n">
        <v>15</v>
      </c>
      <c r="AS364" s="48" t="n">
        <v>36</v>
      </c>
      <c r="AT364" s="48" t="n">
        <v>85</v>
      </c>
      <c r="AU364" s="48" t="n">
        <v>90</v>
      </c>
      <c r="AV364" s="48" t="n">
        <v>253</v>
      </c>
      <c r="AW364" s="48" t="n">
        <v>150</v>
      </c>
      <c r="AX364" s="48" t="n">
        <v>159</v>
      </c>
      <c r="AY364" s="48" t="n">
        <v>96</v>
      </c>
      <c r="AZ364" s="48" t="n">
        <v>122</v>
      </c>
      <c r="BA364" s="48" t="n">
        <v>180</v>
      </c>
      <c r="BB364" s="48" t="n">
        <v>168</v>
      </c>
      <c r="BC364" s="48" t="n">
        <v>302</v>
      </c>
      <c r="BD364" s="48" t="n">
        <v>151</v>
      </c>
      <c r="BE364" s="48" t="n">
        <v>85</v>
      </c>
      <c r="BF364" s="48" t="n">
        <v>182</v>
      </c>
      <c r="BG364" s="49" t="n">
        <v>2.89</v>
      </c>
    </row>
    <row r="365" customFormat="false" ht="15" hidden="false" customHeight="false" outlineLevel="0" collapsed="false">
      <c r="A365" s="43" t="s">
        <v>966</v>
      </c>
      <c r="B365" s="43" t="s">
        <v>967</v>
      </c>
      <c r="C365" s="44" t="str">
        <f aca="false">IF(A365="","",IFERROR(INDEX(Assumptions!$B$41:$B$55,MATCH(TRUE(),INDEX(ISNUMBER(SEARCH(" "&amp;Assumptions!$A$41:$A$55&amp;" "," "&amp;SUBSTITUTE(SUBSTITUTE(SUBSTITUTE(SUBSTITUTE(B365,"-"," "),","," "),"/"," "),"."," ")&amp;" ")),0),0)),"Other"))</f>
        <v>Other</v>
      </c>
      <c r="D365" s="45" t="n">
        <f aca="false">IF(A365="","",BG365*(1-Assumptions!$B$18))</f>
        <v>0.75</v>
      </c>
      <c r="E365" s="46" t="n">
        <f aca="false">IF(A365="","",INDEX(Assumptions!$B$23:$B$26,MOD(VALUE(LEFT(A365,5)),4)+1))</f>
        <v>6</v>
      </c>
      <c r="F365" s="47" t="n">
        <v>617</v>
      </c>
      <c r="G365" s="48" t="n">
        <v>133</v>
      </c>
      <c r="H365" s="48" t="n">
        <v>307</v>
      </c>
      <c r="I365" s="48" t="n">
        <v>1</v>
      </c>
      <c r="J365" s="48" t="n">
        <v>0</v>
      </c>
      <c r="K365" s="48" t="n">
        <v>45</v>
      </c>
      <c r="L365" s="48" t="n">
        <v>88</v>
      </c>
      <c r="M365" s="48" t="n">
        <v>31</v>
      </c>
      <c r="N365" s="48" t="n">
        <v>70</v>
      </c>
      <c r="O365" s="48" t="n">
        <v>123</v>
      </c>
      <c r="P365" s="48" t="n">
        <v>6</v>
      </c>
      <c r="Q365" s="48" t="n">
        <v>164</v>
      </c>
      <c r="R365" s="48" t="n">
        <v>70</v>
      </c>
      <c r="S365" s="48" t="n">
        <v>38</v>
      </c>
      <c r="T365" s="48" t="n">
        <v>9</v>
      </c>
      <c r="U365" s="48" t="n">
        <v>51</v>
      </c>
      <c r="V365" s="48" t="n">
        <v>228</v>
      </c>
      <c r="W365" s="48" t="n">
        <v>152</v>
      </c>
      <c r="X365" s="48" t="n">
        <v>78</v>
      </c>
      <c r="Y365" s="48" t="n">
        <v>107</v>
      </c>
      <c r="Z365" s="48" t="n">
        <v>89</v>
      </c>
      <c r="AA365" s="48" t="n">
        <v>242</v>
      </c>
      <c r="AB365" s="48" t="n">
        <v>199</v>
      </c>
      <c r="AC365" s="48" t="n">
        <v>383</v>
      </c>
      <c r="AD365" s="48" t="n">
        <v>54</v>
      </c>
      <c r="AE365" s="48" t="n">
        <v>48</v>
      </c>
      <c r="AF365" s="48" t="n">
        <v>120</v>
      </c>
      <c r="AG365" s="48" t="n">
        <v>3</v>
      </c>
      <c r="AH365" s="48" t="n">
        <v>24</v>
      </c>
      <c r="AI365" s="48" t="n">
        <v>76</v>
      </c>
      <c r="AJ365" s="48" t="n">
        <v>0</v>
      </c>
      <c r="AK365" s="48" t="n">
        <v>72</v>
      </c>
      <c r="AL365" s="48" t="n">
        <v>124</v>
      </c>
      <c r="AM365" s="48" t="n">
        <v>54</v>
      </c>
      <c r="AN365" s="48" t="n">
        <v>29</v>
      </c>
      <c r="AO365" s="48" t="n">
        <v>72</v>
      </c>
      <c r="AP365" s="48" t="n">
        <v>121</v>
      </c>
      <c r="AQ365" s="48" t="n">
        <v>100</v>
      </c>
      <c r="AR365" s="48" t="n">
        <v>31</v>
      </c>
      <c r="AS365" s="48" t="n">
        <v>145</v>
      </c>
      <c r="AT365" s="48" t="n">
        <v>59</v>
      </c>
      <c r="AU365" s="48" t="n">
        <v>91</v>
      </c>
      <c r="AV365" s="48" t="n">
        <v>387</v>
      </c>
      <c r="AW365" s="48" t="n">
        <v>207</v>
      </c>
      <c r="AX365" s="48" t="n">
        <v>274</v>
      </c>
      <c r="AY365" s="48" t="n">
        <v>30</v>
      </c>
      <c r="AZ365" s="48" t="n">
        <v>59</v>
      </c>
      <c r="BA365" s="48" t="n">
        <v>27</v>
      </c>
      <c r="BB365" s="48" t="n">
        <v>87</v>
      </c>
      <c r="BC365" s="48" t="n">
        <v>89</v>
      </c>
      <c r="BD365" s="48" t="n">
        <v>137</v>
      </c>
      <c r="BE365" s="48" t="n">
        <v>115</v>
      </c>
      <c r="BF365" s="48" t="n">
        <v>99</v>
      </c>
      <c r="BG365" s="49" t="n">
        <v>1.25</v>
      </c>
    </row>
    <row r="366" customFormat="false" ht="15" hidden="false" customHeight="false" outlineLevel="0" collapsed="false">
      <c r="A366" s="43" t="s">
        <v>968</v>
      </c>
      <c r="B366" s="43" t="s">
        <v>969</v>
      </c>
      <c r="C366" s="44" t="str">
        <f aca="false">IF(A366="","",IFERROR(INDEX(Assumptions!$B$41:$B$55,MATCH(TRUE(),INDEX(ISNUMBER(SEARCH(" "&amp;Assumptions!$A$41:$A$55&amp;" "," "&amp;SUBSTITUTE(SUBSTITUTE(SUBSTITUTE(SUBSTITUTE(B366,"-"," "),","," "),"/"," "),"."," ")&amp;" ")),0),0)),"Other"))</f>
        <v>Other</v>
      </c>
      <c r="D366" s="45" t="n">
        <f aca="false">IF(A366="","",BG366*(1-Assumptions!$B$18))</f>
        <v>1.26</v>
      </c>
      <c r="E366" s="46" t="n">
        <f aca="false">IF(A366="","",INDEX(Assumptions!$B$23:$B$26,MOD(VALUE(LEFT(A366,5)),4)+1))</f>
        <v>6</v>
      </c>
      <c r="F366" s="47" t="n">
        <v>183</v>
      </c>
      <c r="G366" s="48" t="n">
        <v>958</v>
      </c>
      <c r="H366" s="48" t="n">
        <v>2006</v>
      </c>
      <c r="I366" s="48" t="n">
        <v>378</v>
      </c>
      <c r="J366" s="48" t="n">
        <v>0</v>
      </c>
      <c r="K366" s="48" t="n">
        <v>358</v>
      </c>
      <c r="L366" s="48" t="n">
        <v>280</v>
      </c>
      <c r="M366" s="48" t="n">
        <v>47</v>
      </c>
      <c r="N366" s="48" t="n">
        <v>50</v>
      </c>
      <c r="O366" s="48" t="n">
        <v>10</v>
      </c>
      <c r="P366" s="48" t="n">
        <v>12</v>
      </c>
      <c r="Q366" s="48" t="n">
        <v>13</v>
      </c>
      <c r="R366" s="48" t="n">
        <v>4</v>
      </c>
      <c r="S366" s="48" t="n">
        <v>6</v>
      </c>
      <c r="T366" s="48" t="n">
        <v>0</v>
      </c>
      <c r="U366" s="48" t="n">
        <v>2</v>
      </c>
      <c r="V366" s="48" t="n">
        <v>0</v>
      </c>
      <c r="W366" s="48" t="n">
        <v>0</v>
      </c>
      <c r="X366" s="48" t="n">
        <v>2</v>
      </c>
      <c r="Y366" s="48" t="n">
        <v>0</v>
      </c>
      <c r="Z366" s="48" t="n">
        <v>12</v>
      </c>
      <c r="AA366" s="48" t="n">
        <v>0</v>
      </c>
      <c r="AB366" s="48" t="n">
        <v>0</v>
      </c>
      <c r="AC366" s="48" t="n">
        <v>0</v>
      </c>
      <c r="AD366" s="48" t="n">
        <v>4</v>
      </c>
      <c r="AE366" s="48" t="n">
        <v>0</v>
      </c>
      <c r="AF366" s="48" t="n">
        <v>0</v>
      </c>
      <c r="AG366" s="48" t="n">
        <v>4</v>
      </c>
      <c r="AH366" s="48" t="n">
        <v>0</v>
      </c>
      <c r="AI366" s="48" t="n">
        <v>0</v>
      </c>
      <c r="AJ366" s="48" t="n">
        <v>1</v>
      </c>
      <c r="AK366" s="48" t="n">
        <v>0</v>
      </c>
      <c r="AL366" s="48" t="n">
        <v>0</v>
      </c>
      <c r="AM366" s="48" t="n">
        <v>4</v>
      </c>
      <c r="AN366" s="48" t="n">
        <v>2</v>
      </c>
      <c r="AO366" s="48" t="n">
        <v>0</v>
      </c>
      <c r="AP366" s="48" t="n">
        <v>0</v>
      </c>
      <c r="AQ366" s="48" t="n">
        <v>0</v>
      </c>
      <c r="AR366" s="48" t="n">
        <v>25</v>
      </c>
      <c r="AS366" s="48" t="n">
        <v>0</v>
      </c>
      <c r="AT366" s="48" t="n">
        <v>5</v>
      </c>
      <c r="AU366" s="48" t="n">
        <v>30</v>
      </c>
      <c r="AV366" s="48" t="n">
        <v>54</v>
      </c>
      <c r="AW366" s="48" t="n">
        <v>10</v>
      </c>
      <c r="AX366" s="48" t="n">
        <v>13</v>
      </c>
      <c r="AY366" s="48" t="n">
        <v>35</v>
      </c>
      <c r="AZ366" s="48" t="n">
        <v>67</v>
      </c>
      <c r="BA366" s="48" t="n">
        <v>63</v>
      </c>
      <c r="BB366" s="48" t="n">
        <v>105</v>
      </c>
      <c r="BC366" s="48" t="n">
        <v>84</v>
      </c>
      <c r="BD366" s="48" t="n">
        <v>24</v>
      </c>
      <c r="BE366" s="48" t="n">
        <v>19</v>
      </c>
      <c r="BF366" s="48" t="n">
        <v>63</v>
      </c>
      <c r="BG366" s="49" t="n">
        <v>2.1</v>
      </c>
    </row>
    <row r="367" customFormat="false" ht="15" hidden="false" customHeight="false" outlineLevel="0" collapsed="false">
      <c r="A367" s="43" t="s">
        <v>970</v>
      </c>
      <c r="B367" s="43" t="s">
        <v>971</v>
      </c>
      <c r="C367" s="44" t="str">
        <f aca="false">IF(A367="","",IFERROR(INDEX(Assumptions!$B$41:$B$55,MATCH(TRUE(),INDEX(ISNUMBER(SEARCH(" "&amp;Assumptions!$A$41:$A$55&amp;" "," "&amp;SUBSTITUTE(SUBSTITUTE(SUBSTITUTE(SUBSTITUTE(B367,"-"," "),","," "),"/"," "),"."," ")&amp;" ")),0),0)),"Other"))</f>
        <v>Other</v>
      </c>
      <c r="D367" s="45" t="n">
        <f aca="false">IF(A367="","",BG367*(1-Assumptions!$B$18))</f>
        <v>2.49</v>
      </c>
      <c r="E367" s="46" t="n">
        <f aca="false">IF(A367="","",INDEX(Assumptions!$B$23:$B$26,MOD(VALUE(LEFT(A367,5)),4)+1))</f>
        <v>4</v>
      </c>
      <c r="F367" s="47" t="n">
        <v>30</v>
      </c>
      <c r="G367" s="48" t="n">
        <v>0</v>
      </c>
      <c r="H367" s="48" t="n">
        <v>0</v>
      </c>
      <c r="I367" s="48" t="n">
        <v>0</v>
      </c>
      <c r="J367" s="48" t="n">
        <v>0</v>
      </c>
      <c r="K367" s="48" t="n">
        <v>0</v>
      </c>
      <c r="L367" s="48" t="n">
        <v>0</v>
      </c>
      <c r="M367" s="48" t="n">
        <v>0</v>
      </c>
      <c r="N367" s="48" t="n">
        <v>0</v>
      </c>
      <c r="O367" s="48" t="n">
        <v>0</v>
      </c>
      <c r="P367" s="48" t="n">
        <v>0</v>
      </c>
      <c r="Q367" s="48" t="n">
        <v>0</v>
      </c>
      <c r="R367" s="48" t="n">
        <v>0</v>
      </c>
      <c r="S367" s="48" t="n">
        <v>0</v>
      </c>
      <c r="T367" s="48" t="n">
        <v>0</v>
      </c>
      <c r="U367" s="48" t="n">
        <v>0</v>
      </c>
      <c r="V367" s="48" t="n">
        <v>0</v>
      </c>
      <c r="W367" s="48" t="n">
        <v>0</v>
      </c>
      <c r="X367" s="48" t="n">
        <v>0</v>
      </c>
      <c r="Y367" s="48" t="n">
        <v>0</v>
      </c>
      <c r="Z367" s="48" t="n">
        <v>0</v>
      </c>
      <c r="AA367" s="48" t="n">
        <v>0</v>
      </c>
      <c r="AB367" s="48" t="n">
        <v>0</v>
      </c>
      <c r="AC367" s="48" t="n">
        <v>34</v>
      </c>
      <c r="AD367" s="48" t="n">
        <v>55</v>
      </c>
      <c r="AE367" s="48" t="n">
        <v>51</v>
      </c>
      <c r="AF367" s="48" t="n">
        <v>43</v>
      </c>
      <c r="AG367" s="48" t="n">
        <v>31</v>
      </c>
      <c r="AH367" s="48" t="n">
        <v>60</v>
      </c>
      <c r="AI367" s="48" t="n">
        <v>36</v>
      </c>
      <c r="AJ367" s="48" t="n">
        <v>7</v>
      </c>
      <c r="AK367" s="48" t="n">
        <v>66</v>
      </c>
      <c r="AL367" s="48" t="n">
        <v>17</v>
      </c>
      <c r="AM367" s="48" t="n">
        <v>14</v>
      </c>
      <c r="AN367" s="48" t="n">
        <v>33</v>
      </c>
      <c r="AO367" s="48" t="n">
        <v>40</v>
      </c>
      <c r="AP367" s="48" t="n">
        <v>26</v>
      </c>
      <c r="AQ367" s="48" t="n">
        <v>69</v>
      </c>
      <c r="AR367" s="48" t="n">
        <v>35</v>
      </c>
      <c r="AS367" s="48" t="n">
        <v>9</v>
      </c>
      <c r="AT367" s="48" t="n">
        <v>73</v>
      </c>
      <c r="AU367" s="48" t="n">
        <v>45</v>
      </c>
      <c r="AV367" s="48" t="n">
        <v>88</v>
      </c>
      <c r="AW367" s="48" t="n">
        <v>46</v>
      </c>
      <c r="AX367" s="48" t="n">
        <v>68</v>
      </c>
      <c r="AY367" s="48" t="n">
        <v>93</v>
      </c>
      <c r="AZ367" s="48" t="n">
        <v>48</v>
      </c>
      <c r="BA367" s="48" t="n">
        <v>109</v>
      </c>
      <c r="BB367" s="48" t="n">
        <v>94</v>
      </c>
      <c r="BC367" s="48" t="n">
        <v>37</v>
      </c>
      <c r="BD367" s="48" t="n">
        <v>62</v>
      </c>
      <c r="BE367" s="48" t="n">
        <v>65</v>
      </c>
      <c r="BF367" s="48" t="n">
        <v>94</v>
      </c>
      <c r="BG367" s="49" t="n">
        <v>4.15</v>
      </c>
    </row>
    <row r="368" customFormat="false" ht="15" hidden="false" customHeight="false" outlineLevel="0" collapsed="false">
      <c r="A368" s="43" t="s">
        <v>972</v>
      </c>
      <c r="B368" s="43" t="s">
        <v>973</v>
      </c>
      <c r="C368" s="44" t="str">
        <f aca="false">IF(A368="","",IFERROR(INDEX(Assumptions!$B$41:$B$55,MATCH(TRUE(),INDEX(ISNUMBER(SEARCH(" "&amp;Assumptions!$A$41:$A$55&amp;" "," "&amp;SUBSTITUTE(SUBSTITUTE(SUBSTITUTE(SUBSTITUTE(B368,"-"," "),","," "),"/"," "),"."," ")&amp;" ")),0),0)),"Other"))</f>
        <v>Kitchen</v>
      </c>
      <c r="D368" s="45" t="n">
        <f aca="false">IF(A368="","",BG368*(1-Assumptions!$B$18))</f>
        <v>0.498</v>
      </c>
      <c r="E368" s="46" t="n">
        <f aca="false">IF(A368="","",INDEX(Assumptions!$B$23:$B$26,MOD(VALUE(LEFT(A368,5)),4)+1))</f>
        <v>4</v>
      </c>
      <c r="F368" s="47" t="n">
        <v>6342</v>
      </c>
      <c r="G368" s="48" t="n">
        <v>0</v>
      </c>
      <c r="H368" s="48" t="n">
        <v>0</v>
      </c>
      <c r="I368" s="48" t="n">
        <v>0</v>
      </c>
      <c r="J368" s="48" t="n">
        <v>0</v>
      </c>
      <c r="K368" s="48" t="n">
        <v>0</v>
      </c>
      <c r="L368" s="48" t="n">
        <v>0</v>
      </c>
      <c r="M368" s="48" t="n">
        <v>0</v>
      </c>
      <c r="N368" s="48" t="n">
        <v>0</v>
      </c>
      <c r="O368" s="48" t="n">
        <v>0</v>
      </c>
      <c r="P368" s="48" t="n">
        <v>0</v>
      </c>
      <c r="Q368" s="48" t="n">
        <v>0</v>
      </c>
      <c r="R368" s="48" t="n">
        <v>0</v>
      </c>
      <c r="S368" s="48" t="n">
        <v>0</v>
      </c>
      <c r="T368" s="48" t="n">
        <v>0</v>
      </c>
      <c r="U368" s="48" t="n">
        <v>0</v>
      </c>
      <c r="V368" s="48" t="n">
        <v>0</v>
      </c>
      <c r="W368" s="48" t="n">
        <v>0</v>
      </c>
      <c r="X368" s="48" t="n">
        <v>0</v>
      </c>
      <c r="Y368" s="48" t="n">
        <v>0</v>
      </c>
      <c r="Z368" s="48" t="n">
        <v>0</v>
      </c>
      <c r="AA368" s="48" t="n">
        <v>0</v>
      </c>
      <c r="AB368" s="48" t="n">
        <v>0</v>
      </c>
      <c r="AC368" s="48" t="n">
        <v>0</v>
      </c>
      <c r="AD368" s="48" t="n">
        <v>0</v>
      </c>
      <c r="AE368" s="48" t="n">
        <v>0</v>
      </c>
      <c r="AF368" s="48" t="n">
        <v>0</v>
      </c>
      <c r="AG368" s="48" t="n">
        <v>0</v>
      </c>
      <c r="AH368" s="48" t="n">
        <v>0</v>
      </c>
      <c r="AI368" s="48" t="n">
        <v>0</v>
      </c>
      <c r="AJ368" s="48" t="n">
        <v>0</v>
      </c>
      <c r="AK368" s="48" t="n">
        <v>0</v>
      </c>
      <c r="AL368" s="48" t="n">
        <v>694</v>
      </c>
      <c r="AM368" s="48" t="n">
        <v>656</v>
      </c>
      <c r="AN368" s="48" t="n">
        <v>727</v>
      </c>
      <c r="AO368" s="48" t="n">
        <v>155</v>
      </c>
      <c r="AP368" s="48" t="n">
        <v>540</v>
      </c>
      <c r="AQ368" s="48" t="n">
        <v>317</v>
      </c>
      <c r="AR368" s="48" t="n">
        <v>189</v>
      </c>
      <c r="AS368" s="48" t="n">
        <v>274</v>
      </c>
      <c r="AT368" s="48" t="n">
        <v>417</v>
      </c>
      <c r="AU368" s="48" t="n">
        <v>284</v>
      </c>
      <c r="AV368" s="48" t="n">
        <v>661</v>
      </c>
      <c r="AW368" s="48" t="n">
        <v>440</v>
      </c>
      <c r="AX368" s="48" t="n">
        <v>337</v>
      </c>
      <c r="AY368" s="48" t="n">
        <v>144</v>
      </c>
      <c r="AZ368" s="48" t="n">
        <v>195</v>
      </c>
      <c r="BA368" s="48" t="n">
        <v>234</v>
      </c>
      <c r="BB368" s="48" t="n">
        <v>220</v>
      </c>
      <c r="BC368" s="48" t="n">
        <v>311</v>
      </c>
      <c r="BD368" s="48" t="n">
        <v>648</v>
      </c>
      <c r="BE368" s="48" t="n">
        <v>317</v>
      </c>
      <c r="BF368" s="48" t="n">
        <v>284</v>
      </c>
      <c r="BG368" s="49" t="n">
        <v>0.83</v>
      </c>
    </row>
    <row r="369" customFormat="false" ht="15" hidden="false" customHeight="false" outlineLevel="0" collapsed="false">
      <c r="A369" s="43" t="s">
        <v>974</v>
      </c>
      <c r="B369" s="43" t="s">
        <v>975</v>
      </c>
      <c r="C369" s="44" t="str">
        <f aca="false">IF(A369="","",IFERROR(INDEX(Assumptions!$B$41:$B$55,MATCH(TRUE(),INDEX(ISNUMBER(SEARCH(" "&amp;Assumptions!$A$41:$A$55&amp;" "," "&amp;SUBSTITUTE(SUBSTITUTE(SUBSTITUTE(SUBSTITUTE(B369,"-"," "),","," "),"/"," "),"."," ")&amp;" ")),0),0)),"Other"))</f>
        <v>Other</v>
      </c>
      <c r="D369" s="45" t="n">
        <f aca="false">IF(A369="","",BG369*(1-Assumptions!$B$18))</f>
        <v>2.25</v>
      </c>
      <c r="E369" s="46" t="n">
        <f aca="false">IF(A369="","",INDEX(Assumptions!$B$23:$B$26,MOD(VALUE(LEFT(A369,5)),4)+1))</f>
        <v>2</v>
      </c>
      <c r="F369" s="47" t="n">
        <v>1427</v>
      </c>
      <c r="G369" s="48" t="n">
        <v>67</v>
      </c>
      <c r="H369" s="48" t="n">
        <v>8</v>
      </c>
      <c r="I369" s="48" t="n">
        <v>18</v>
      </c>
      <c r="J369" s="48" t="n">
        <v>0</v>
      </c>
      <c r="K369" s="48" t="n">
        <v>11</v>
      </c>
      <c r="L369" s="48" t="n">
        <v>15</v>
      </c>
      <c r="M369" s="48" t="n">
        <v>7</v>
      </c>
      <c r="N369" s="48" t="n">
        <v>13</v>
      </c>
      <c r="O369" s="48" t="n">
        <v>9</v>
      </c>
      <c r="P369" s="48" t="n">
        <v>11</v>
      </c>
      <c r="Q369" s="48" t="n">
        <v>3</v>
      </c>
      <c r="R369" s="48" t="n">
        <v>44</v>
      </c>
      <c r="S369" s="48" t="n">
        <v>14</v>
      </c>
      <c r="T369" s="48" t="n">
        <v>11</v>
      </c>
      <c r="U369" s="48" t="n">
        <v>14</v>
      </c>
      <c r="V369" s="48" t="n">
        <v>34</v>
      </c>
      <c r="W369" s="48" t="n">
        <v>26</v>
      </c>
      <c r="X369" s="48" t="n">
        <v>49</v>
      </c>
      <c r="Y369" s="48" t="n">
        <v>25</v>
      </c>
      <c r="Z369" s="48" t="n">
        <v>9</v>
      </c>
      <c r="AA369" s="48" t="n">
        <v>16</v>
      </c>
      <c r="AB369" s="48" t="n">
        <v>8</v>
      </c>
      <c r="AC369" s="48" t="n">
        <v>31</v>
      </c>
      <c r="AD369" s="48" t="n">
        <v>37</v>
      </c>
      <c r="AE369" s="48" t="n">
        <v>26</v>
      </c>
      <c r="AF369" s="48" t="n">
        <v>1</v>
      </c>
      <c r="AG369" s="48" t="n">
        <v>19</v>
      </c>
      <c r="AH369" s="48" t="n">
        <v>13</v>
      </c>
      <c r="AI369" s="48" t="n">
        <v>79</v>
      </c>
      <c r="AJ369" s="48" t="n">
        <v>12</v>
      </c>
      <c r="AK369" s="48" t="n">
        <v>85</v>
      </c>
      <c r="AL369" s="48" t="n">
        <v>15</v>
      </c>
      <c r="AM369" s="48" t="n">
        <v>26</v>
      </c>
      <c r="AN369" s="48" t="n">
        <v>162</v>
      </c>
      <c r="AO369" s="48" t="n">
        <v>20</v>
      </c>
      <c r="AP369" s="48" t="n">
        <v>52</v>
      </c>
      <c r="AQ369" s="48" t="n">
        <v>44</v>
      </c>
      <c r="AR369" s="48" t="n">
        <v>10</v>
      </c>
      <c r="AS369" s="48" t="n">
        <v>19</v>
      </c>
      <c r="AT369" s="48" t="n">
        <v>18</v>
      </c>
      <c r="AU369" s="48" t="n">
        <v>32</v>
      </c>
      <c r="AV369" s="48" t="n">
        <v>15</v>
      </c>
      <c r="AW369" s="48" t="n">
        <v>24</v>
      </c>
      <c r="AX369" s="48" t="n">
        <v>49</v>
      </c>
      <c r="AY369" s="48" t="n">
        <v>20</v>
      </c>
      <c r="AZ369" s="48" t="n">
        <v>42</v>
      </c>
      <c r="BA369" s="48" t="n">
        <v>22</v>
      </c>
      <c r="BB369" s="48" t="n">
        <v>26</v>
      </c>
      <c r="BC369" s="48" t="n">
        <v>49</v>
      </c>
      <c r="BD369" s="48" t="n">
        <v>33</v>
      </c>
      <c r="BE369" s="48" t="n">
        <v>53</v>
      </c>
      <c r="BF369" s="48" t="n">
        <v>240</v>
      </c>
      <c r="BG369" s="49" t="n">
        <v>3.75</v>
      </c>
    </row>
    <row r="370" customFormat="false" ht="15" hidden="false" customHeight="false" outlineLevel="0" collapsed="false">
      <c r="A370" s="43" t="s">
        <v>976</v>
      </c>
      <c r="B370" s="43" t="s">
        <v>977</v>
      </c>
      <c r="C370" s="44" t="str">
        <f aca="false">IF(A370="","",IFERROR(INDEX(Assumptions!$B$41:$B$55,MATCH(TRUE(),INDEX(ISNUMBER(SEARCH(" "&amp;Assumptions!$A$41:$A$55&amp;" "," "&amp;SUBSTITUTE(SUBSTITUTE(SUBSTITUTE(SUBSTITUTE(B370,"-"," "),","," "),"/"," "),"."," ")&amp;" ")),0),0)),"Other"))</f>
        <v>Lighting</v>
      </c>
      <c r="D370" s="45" t="n">
        <f aca="false">IF(A370="","",BG370*(1-Assumptions!$B$18))</f>
        <v>4.05</v>
      </c>
      <c r="E370" s="46" t="n">
        <f aca="false">IF(A370="","",INDEX(Assumptions!$B$23:$B$26,MOD(VALUE(LEFT(A370,5)),4)+1))</f>
        <v>8</v>
      </c>
      <c r="F370" s="47" t="n">
        <v>847</v>
      </c>
      <c r="G370" s="48" t="n">
        <v>29</v>
      </c>
      <c r="H370" s="48" t="n">
        <v>16</v>
      </c>
      <c r="I370" s="48" t="n">
        <v>9</v>
      </c>
      <c r="J370" s="48" t="n">
        <v>0</v>
      </c>
      <c r="K370" s="48" t="n">
        <v>18</v>
      </c>
      <c r="L370" s="48" t="n">
        <v>12</v>
      </c>
      <c r="M370" s="48" t="n">
        <v>14</v>
      </c>
      <c r="N370" s="48" t="n">
        <v>13</v>
      </c>
      <c r="O370" s="48" t="n">
        <v>3</v>
      </c>
      <c r="P370" s="48" t="n">
        <v>8</v>
      </c>
      <c r="Q370" s="48" t="n">
        <v>13</v>
      </c>
      <c r="R370" s="48" t="n">
        <v>8</v>
      </c>
      <c r="S370" s="48" t="n">
        <v>3</v>
      </c>
      <c r="T370" s="48" t="n">
        <v>6</v>
      </c>
      <c r="U370" s="48" t="n">
        <v>85</v>
      </c>
      <c r="V370" s="48" t="n">
        <v>9</v>
      </c>
      <c r="W370" s="48" t="n">
        <v>10</v>
      </c>
      <c r="X370" s="48" t="n">
        <v>13</v>
      </c>
      <c r="Y370" s="48" t="n">
        <v>32</v>
      </c>
      <c r="Z370" s="48" t="n">
        <v>8</v>
      </c>
      <c r="AA370" s="48" t="n">
        <v>3</v>
      </c>
      <c r="AB370" s="48" t="n">
        <v>31</v>
      </c>
      <c r="AC370" s="48" t="n">
        <v>77</v>
      </c>
      <c r="AD370" s="48" t="n">
        <v>7</v>
      </c>
      <c r="AE370" s="48" t="n">
        <v>10</v>
      </c>
      <c r="AF370" s="48" t="n">
        <v>13</v>
      </c>
      <c r="AG370" s="48" t="n">
        <v>0</v>
      </c>
      <c r="AH370" s="48" t="n">
        <v>9</v>
      </c>
      <c r="AI370" s="48" t="n">
        <v>18</v>
      </c>
      <c r="AJ370" s="48" t="n">
        <v>3</v>
      </c>
      <c r="AK370" s="48" t="n">
        <v>1</v>
      </c>
      <c r="AL370" s="48" t="n">
        <v>17</v>
      </c>
      <c r="AM370" s="48" t="n">
        <v>22</v>
      </c>
      <c r="AN370" s="48" t="n">
        <v>4</v>
      </c>
      <c r="AO370" s="48" t="n">
        <v>0</v>
      </c>
      <c r="AP370" s="48" t="n">
        <v>7</v>
      </c>
      <c r="AQ370" s="48" t="n">
        <v>8</v>
      </c>
      <c r="AR370" s="48" t="n">
        <v>3</v>
      </c>
      <c r="AS370" s="48" t="n">
        <v>6</v>
      </c>
      <c r="AT370" s="48" t="n">
        <v>34</v>
      </c>
      <c r="AU370" s="48" t="n">
        <v>25</v>
      </c>
      <c r="AV370" s="48" t="n">
        <v>35</v>
      </c>
      <c r="AW370" s="48" t="n">
        <v>11</v>
      </c>
      <c r="AX370" s="48" t="n">
        <v>4</v>
      </c>
      <c r="AY370" s="48" t="n">
        <v>30</v>
      </c>
      <c r="AZ370" s="48" t="n">
        <v>18</v>
      </c>
      <c r="BA370" s="48" t="n">
        <v>15</v>
      </c>
      <c r="BB370" s="48" t="n">
        <v>5</v>
      </c>
      <c r="BC370" s="48" t="n">
        <v>24</v>
      </c>
      <c r="BD370" s="48" t="n">
        <v>50</v>
      </c>
      <c r="BE370" s="48" t="n">
        <v>48</v>
      </c>
      <c r="BF370" s="48" t="n">
        <v>34</v>
      </c>
      <c r="BG370" s="49" t="n">
        <v>6.75</v>
      </c>
    </row>
    <row r="371" customFormat="false" ht="15" hidden="false" customHeight="false" outlineLevel="0" collapsed="false">
      <c r="A371" s="43" t="s">
        <v>978</v>
      </c>
      <c r="B371" s="43" t="s">
        <v>979</v>
      </c>
      <c r="C371" s="44" t="str">
        <f aca="false">IF(A371="","",IFERROR(INDEX(Assumptions!$B$41:$B$55,MATCH(TRUE(),INDEX(ISNUMBER(SEARCH(" "&amp;Assumptions!$A$41:$A$55&amp;" "," "&amp;SUBSTITUTE(SUBSTITUTE(SUBSTITUTE(SUBSTITUTE(B371,"-"," "),","," "),"/"," "),"."," ")&amp;" ")),0),0)),"Other"))</f>
        <v>Other</v>
      </c>
      <c r="D371" s="45" t="n">
        <f aca="false">IF(A371="","",BG371*(1-Assumptions!$B$18))</f>
        <v>3.57</v>
      </c>
      <c r="E371" s="46" t="n">
        <f aca="false">IF(A371="","",INDEX(Assumptions!$B$23:$B$26,MOD(VALUE(LEFT(A371,5)),4)+1))</f>
        <v>2</v>
      </c>
      <c r="F371" s="47" t="n">
        <v>97</v>
      </c>
      <c r="G371" s="48" t="n">
        <v>13</v>
      </c>
      <c r="H371" s="48" t="n">
        <v>2</v>
      </c>
      <c r="I371" s="48" t="n">
        <v>0</v>
      </c>
      <c r="J371" s="48" t="n">
        <v>0</v>
      </c>
      <c r="K371" s="48" t="n">
        <v>0</v>
      </c>
      <c r="L371" s="48" t="n">
        <v>0</v>
      </c>
      <c r="M371" s="48" t="n">
        <v>0</v>
      </c>
      <c r="N371" s="48" t="n">
        <v>0</v>
      </c>
      <c r="O371" s="48" t="n">
        <v>0</v>
      </c>
      <c r="P371" s="48" t="n">
        <v>0</v>
      </c>
      <c r="Q371" s="48" t="n">
        <v>0</v>
      </c>
      <c r="R371" s="48" t="n">
        <v>0</v>
      </c>
      <c r="S371" s="48" t="n">
        <v>1</v>
      </c>
      <c r="T371" s="48" t="n">
        <v>0</v>
      </c>
      <c r="U371" s="48" t="n">
        <v>0</v>
      </c>
      <c r="V371" s="48" t="n">
        <v>0</v>
      </c>
      <c r="W371" s="48" t="n">
        <v>0</v>
      </c>
      <c r="X371" s="48" t="n">
        <v>0</v>
      </c>
      <c r="Y371" s="48" t="n">
        <v>0</v>
      </c>
      <c r="Z371" s="48" t="n">
        <v>0</v>
      </c>
      <c r="AA371" s="48" t="n">
        <v>0</v>
      </c>
      <c r="AB371" s="48" t="n">
        <v>0</v>
      </c>
      <c r="AC371" s="48" t="n">
        <v>0</v>
      </c>
      <c r="AD371" s="48" t="n">
        <v>0</v>
      </c>
      <c r="AE371" s="48" t="n">
        <v>3</v>
      </c>
      <c r="AF371" s="48" t="n">
        <v>0</v>
      </c>
      <c r="AG371" s="48" t="n">
        <v>0</v>
      </c>
      <c r="AH371" s="48" t="n">
        <v>0</v>
      </c>
      <c r="AI371" s="48" t="n">
        <v>6</v>
      </c>
      <c r="AJ371" s="48" t="n">
        <v>4</v>
      </c>
      <c r="AK371" s="48" t="n">
        <v>1</v>
      </c>
      <c r="AL371" s="48" t="n">
        <v>11</v>
      </c>
      <c r="AM371" s="48" t="n">
        <v>17</v>
      </c>
      <c r="AN371" s="48" t="n">
        <v>4</v>
      </c>
      <c r="AO371" s="48" t="n">
        <v>0</v>
      </c>
      <c r="AP371" s="48" t="n">
        <v>0</v>
      </c>
      <c r="AQ371" s="48" t="n">
        <v>4</v>
      </c>
      <c r="AR371" s="48" t="n">
        <v>30</v>
      </c>
      <c r="AS371" s="48" t="n">
        <v>11</v>
      </c>
      <c r="AT371" s="48" t="n">
        <v>54</v>
      </c>
      <c r="AU371" s="48" t="n">
        <v>27</v>
      </c>
      <c r="AV371" s="48" t="n">
        <v>91</v>
      </c>
      <c r="AW371" s="48" t="n">
        <v>28</v>
      </c>
      <c r="AX371" s="48" t="n">
        <v>79</v>
      </c>
      <c r="AY371" s="48" t="n">
        <v>42</v>
      </c>
      <c r="AZ371" s="48" t="n">
        <v>74</v>
      </c>
      <c r="BA371" s="48" t="n">
        <v>112</v>
      </c>
      <c r="BB371" s="48" t="n">
        <v>139</v>
      </c>
      <c r="BC371" s="48" t="n">
        <v>91</v>
      </c>
      <c r="BD371" s="48" t="n">
        <v>172</v>
      </c>
      <c r="BE371" s="48" t="n">
        <v>131</v>
      </c>
      <c r="BF371" s="48" t="n">
        <v>111</v>
      </c>
      <c r="BG371" s="49" t="n">
        <v>5.95</v>
      </c>
    </row>
    <row r="372" customFormat="false" ht="15" hidden="false" customHeight="false" outlineLevel="0" collapsed="false">
      <c r="A372" s="43" t="s">
        <v>980</v>
      </c>
      <c r="B372" s="43" t="s">
        <v>981</v>
      </c>
      <c r="C372" s="44" t="str">
        <f aca="false">IF(A372="","",IFERROR(INDEX(Assumptions!$B$41:$B$55,MATCH(TRUE(),INDEX(ISNUMBER(SEARCH(" "&amp;Assumptions!$A$41:$A$55&amp;" "," "&amp;SUBSTITUTE(SUBSTITUTE(SUBSTITUTE(SUBSTITUTE(B372,"-"," "),","," "),"/"," "),"."," ")&amp;" ")),0),0)),"Other"))</f>
        <v>Other</v>
      </c>
      <c r="D372" s="45" t="n">
        <f aca="false">IF(A372="","",BG372*(1-Assumptions!$B$18))</f>
        <v>2.25</v>
      </c>
      <c r="E372" s="46" t="n">
        <f aca="false">IF(A372="","",INDEX(Assumptions!$B$23:$B$26,MOD(VALUE(LEFT(A372,5)),4)+1))</f>
        <v>2</v>
      </c>
      <c r="F372" s="47" t="n">
        <v>128</v>
      </c>
      <c r="G372" s="48" t="n">
        <v>79</v>
      </c>
      <c r="H372" s="48" t="n">
        <v>26</v>
      </c>
      <c r="I372" s="48" t="n">
        <v>15</v>
      </c>
      <c r="J372" s="48" t="n">
        <v>0</v>
      </c>
      <c r="K372" s="48" t="n">
        <v>2</v>
      </c>
      <c r="L372" s="48" t="n">
        <v>4</v>
      </c>
      <c r="M372" s="48" t="n">
        <v>1</v>
      </c>
      <c r="N372" s="48" t="n">
        <v>13</v>
      </c>
      <c r="O372" s="48" t="n">
        <v>4</v>
      </c>
      <c r="P372" s="48" t="n">
        <v>24</v>
      </c>
      <c r="Q372" s="48" t="n">
        <v>4</v>
      </c>
      <c r="R372" s="48" t="n">
        <v>9</v>
      </c>
      <c r="S372" s="48" t="n">
        <v>15</v>
      </c>
      <c r="T372" s="48" t="n">
        <v>17</v>
      </c>
      <c r="U372" s="48" t="n">
        <v>50</v>
      </c>
      <c r="V372" s="48" t="n">
        <v>21</v>
      </c>
      <c r="W372" s="48" t="n">
        <v>8</v>
      </c>
      <c r="X372" s="48" t="n">
        <v>34</v>
      </c>
      <c r="Y372" s="48" t="n">
        <v>26</v>
      </c>
      <c r="Z372" s="48" t="n">
        <v>10</v>
      </c>
      <c r="AA372" s="48" t="n">
        <v>7</v>
      </c>
      <c r="AB372" s="48" t="n">
        <v>18</v>
      </c>
      <c r="AC372" s="48" t="n">
        <v>19</v>
      </c>
      <c r="AD372" s="48" t="n">
        <v>173</v>
      </c>
      <c r="AE372" s="48" t="n">
        <v>21</v>
      </c>
      <c r="AF372" s="48" t="n">
        <v>9</v>
      </c>
      <c r="AG372" s="48" t="n">
        <v>19</v>
      </c>
      <c r="AH372" s="48" t="n">
        <v>10</v>
      </c>
      <c r="AI372" s="48" t="n">
        <v>3</v>
      </c>
      <c r="AJ372" s="48" t="n">
        <v>12</v>
      </c>
      <c r="AK372" s="48" t="n">
        <v>13</v>
      </c>
      <c r="AL372" s="48" t="n">
        <v>19</v>
      </c>
      <c r="AM372" s="48" t="n">
        <v>60</v>
      </c>
      <c r="AN372" s="48" t="n">
        <v>19</v>
      </c>
      <c r="AO372" s="48" t="n">
        <v>6</v>
      </c>
      <c r="AP372" s="48" t="n">
        <v>10</v>
      </c>
      <c r="AQ372" s="48" t="n">
        <v>18</v>
      </c>
      <c r="AR372" s="48" t="n">
        <v>23</v>
      </c>
      <c r="AS372" s="48" t="n">
        <v>148</v>
      </c>
      <c r="AT372" s="48" t="n">
        <v>59</v>
      </c>
      <c r="AU372" s="48" t="n">
        <v>53</v>
      </c>
      <c r="AV372" s="48" t="n">
        <v>14</v>
      </c>
      <c r="AW372" s="48" t="n">
        <v>88</v>
      </c>
      <c r="AX372" s="48" t="n">
        <v>49</v>
      </c>
      <c r="AY372" s="48" t="n">
        <v>46</v>
      </c>
      <c r="AZ372" s="48" t="n">
        <v>42</v>
      </c>
      <c r="BA372" s="48" t="n">
        <v>31</v>
      </c>
      <c r="BB372" s="48" t="n">
        <v>35</v>
      </c>
      <c r="BC372" s="48" t="n">
        <v>136</v>
      </c>
      <c r="BD372" s="48" t="n">
        <v>49</v>
      </c>
      <c r="BE372" s="48" t="n">
        <v>57</v>
      </c>
      <c r="BF372" s="48" t="n">
        <v>39</v>
      </c>
      <c r="BG372" s="49" t="n">
        <v>3.75</v>
      </c>
    </row>
    <row r="373" customFormat="false" ht="15" hidden="false" customHeight="false" outlineLevel="0" collapsed="false">
      <c r="A373" s="43" t="s">
        <v>982</v>
      </c>
      <c r="B373" s="43" t="s">
        <v>983</v>
      </c>
      <c r="C373" s="44" t="str">
        <f aca="false">IF(A373="","",IFERROR(INDEX(Assumptions!$B$41:$B$55,MATCH(TRUE(),INDEX(ISNUMBER(SEARCH(" "&amp;Assumptions!$A$41:$A$55&amp;" "," "&amp;SUBSTITUTE(SUBSTITUTE(SUBSTITUTE(SUBSTITUTE(B373,"-"," "),","," "),"/"," "),"."," ")&amp;" ")),0),0)),"Other"))</f>
        <v>Other</v>
      </c>
      <c r="D373" s="45" t="n">
        <f aca="false">IF(A373="","",BG373*(1-Assumptions!$B$18))</f>
        <v>0.51</v>
      </c>
      <c r="E373" s="46" t="n">
        <f aca="false">IF(A373="","",INDEX(Assumptions!$B$23:$B$26,MOD(VALUE(LEFT(A373,5)),4)+1))</f>
        <v>6</v>
      </c>
      <c r="F373" s="47" t="n">
        <v>952</v>
      </c>
      <c r="G373" s="48" t="n">
        <v>73</v>
      </c>
      <c r="H373" s="48" t="n">
        <v>26</v>
      </c>
      <c r="I373" s="48" t="n">
        <v>24</v>
      </c>
      <c r="J373" s="48" t="n">
        <v>0</v>
      </c>
      <c r="K373" s="48" t="n">
        <v>150</v>
      </c>
      <c r="L373" s="48" t="n">
        <v>121</v>
      </c>
      <c r="M373" s="48" t="n">
        <v>217</v>
      </c>
      <c r="N373" s="48" t="n">
        <v>113</v>
      </c>
      <c r="O373" s="48" t="n">
        <v>97</v>
      </c>
      <c r="P373" s="48" t="n">
        <v>85</v>
      </c>
      <c r="Q373" s="48" t="n">
        <v>368</v>
      </c>
      <c r="R373" s="48" t="n">
        <v>180</v>
      </c>
      <c r="S373" s="48" t="n">
        <v>280</v>
      </c>
      <c r="T373" s="48" t="n">
        <v>128</v>
      </c>
      <c r="U373" s="48" t="n">
        <v>296</v>
      </c>
      <c r="V373" s="48" t="n">
        <v>247</v>
      </c>
      <c r="W373" s="48" t="n">
        <v>311</v>
      </c>
      <c r="X373" s="48" t="n">
        <v>162</v>
      </c>
      <c r="Y373" s="48" t="n">
        <v>27</v>
      </c>
      <c r="Z373" s="48" t="n">
        <v>117</v>
      </c>
      <c r="AA373" s="48" t="n">
        <v>40</v>
      </c>
      <c r="AB373" s="48" t="n">
        <v>201</v>
      </c>
      <c r="AC373" s="48" t="n">
        <v>215</v>
      </c>
      <c r="AD373" s="48" t="n">
        <v>288</v>
      </c>
      <c r="AE373" s="48" t="n">
        <v>314</v>
      </c>
      <c r="AF373" s="48" t="n">
        <v>66</v>
      </c>
      <c r="AG373" s="48" t="n">
        <v>208</v>
      </c>
      <c r="AH373" s="48" t="n">
        <v>199</v>
      </c>
      <c r="AI373" s="48" t="n">
        <v>330</v>
      </c>
      <c r="AJ373" s="48" t="n">
        <v>242</v>
      </c>
      <c r="AK373" s="48" t="n">
        <v>311</v>
      </c>
      <c r="AL373" s="48" t="n">
        <v>203</v>
      </c>
      <c r="AM373" s="48" t="n">
        <v>87</v>
      </c>
      <c r="AN373" s="48" t="n">
        <v>121</v>
      </c>
      <c r="AO373" s="48" t="n">
        <v>349</v>
      </c>
      <c r="AP373" s="48" t="n">
        <v>56</v>
      </c>
      <c r="AQ373" s="48" t="n">
        <v>20</v>
      </c>
      <c r="AR373" s="48" t="n">
        <v>138</v>
      </c>
      <c r="AS373" s="48" t="n">
        <v>139</v>
      </c>
      <c r="AT373" s="48" t="n">
        <v>299</v>
      </c>
      <c r="AU373" s="48" t="n">
        <v>46</v>
      </c>
      <c r="AV373" s="48" t="n">
        <v>225</v>
      </c>
      <c r="AW373" s="48" t="n">
        <v>295</v>
      </c>
      <c r="AX373" s="48" t="n">
        <v>97</v>
      </c>
      <c r="AY373" s="48" t="n">
        <v>55</v>
      </c>
      <c r="AZ373" s="48" t="n">
        <v>144</v>
      </c>
      <c r="BA373" s="48" t="n">
        <v>161</v>
      </c>
      <c r="BB373" s="48" t="n">
        <v>81</v>
      </c>
      <c r="BC373" s="48" t="n">
        <v>104</v>
      </c>
      <c r="BD373" s="48" t="n">
        <v>32</v>
      </c>
      <c r="BE373" s="48" t="n">
        <v>103</v>
      </c>
      <c r="BF373" s="48" t="n">
        <v>56</v>
      </c>
      <c r="BG373" s="49" t="n">
        <v>0.85</v>
      </c>
    </row>
    <row r="374" customFormat="false" ht="15" hidden="false" customHeight="false" outlineLevel="0" collapsed="false">
      <c r="A374" s="43" t="s">
        <v>984</v>
      </c>
      <c r="B374" s="43" t="s">
        <v>985</v>
      </c>
      <c r="C374" s="44" t="str">
        <f aca="false">IF(A374="","",IFERROR(INDEX(Assumptions!$B$41:$B$55,MATCH(TRUE(),INDEX(ISNUMBER(SEARCH(" "&amp;Assumptions!$A$41:$A$55&amp;" "," "&amp;SUBSTITUTE(SUBSTITUTE(SUBSTITUTE(SUBSTITUTE(B374,"-"," "),","," "),"/"," "),"."," ")&amp;" ")),0),0)),"Other"))</f>
        <v>Other</v>
      </c>
      <c r="D374" s="45" t="n">
        <f aca="false">IF(A374="","",BG374*(1-Assumptions!$B$18))</f>
        <v>0.87</v>
      </c>
      <c r="E374" s="46" t="n">
        <f aca="false">IF(A374="","",INDEX(Assumptions!$B$23:$B$26,MOD(VALUE(LEFT(A374,5)),4)+1))</f>
        <v>2</v>
      </c>
      <c r="F374" s="47" t="n">
        <v>327</v>
      </c>
      <c r="G374" s="48" t="n">
        <v>140</v>
      </c>
      <c r="H374" s="48" t="n">
        <v>87</v>
      </c>
      <c r="I374" s="48" t="n">
        <v>16</v>
      </c>
      <c r="J374" s="48" t="n">
        <v>0</v>
      </c>
      <c r="K374" s="48" t="n">
        <v>43</v>
      </c>
      <c r="L374" s="48" t="n">
        <v>139</v>
      </c>
      <c r="M374" s="48" t="n">
        <v>112</v>
      </c>
      <c r="N374" s="48" t="n">
        <v>104</v>
      </c>
      <c r="O374" s="48" t="n">
        <v>87</v>
      </c>
      <c r="P374" s="48" t="n">
        <v>135</v>
      </c>
      <c r="Q374" s="48" t="n">
        <v>40</v>
      </c>
      <c r="R374" s="48" t="n">
        <v>94</v>
      </c>
      <c r="S374" s="48" t="n">
        <v>70</v>
      </c>
      <c r="T374" s="48" t="n">
        <v>85</v>
      </c>
      <c r="U374" s="48" t="n">
        <v>188</v>
      </c>
      <c r="V374" s="48" t="n">
        <v>76</v>
      </c>
      <c r="W374" s="48" t="n">
        <v>246</v>
      </c>
      <c r="X374" s="48" t="n">
        <v>45</v>
      </c>
      <c r="Y374" s="48" t="n">
        <v>186</v>
      </c>
      <c r="Z374" s="48" t="n">
        <v>88</v>
      </c>
      <c r="AA374" s="48" t="n">
        <v>151</v>
      </c>
      <c r="AB374" s="48" t="n">
        <v>93</v>
      </c>
      <c r="AC374" s="48" t="n">
        <v>14</v>
      </c>
      <c r="AD374" s="48" t="n">
        <v>79</v>
      </c>
      <c r="AE374" s="48" t="n">
        <v>58</v>
      </c>
      <c r="AF374" s="48" t="n">
        <v>150</v>
      </c>
      <c r="AG374" s="48" t="n">
        <v>49</v>
      </c>
      <c r="AH374" s="48" t="n">
        <v>44</v>
      </c>
      <c r="AI374" s="48" t="n">
        <v>57</v>
      </c>
      <c r="AJ374" s="48" t="n">
        <v>21</v>
      </c>
      <c r="AK374" s="48" t="n">
        <v>28</v>
      </c>
      <c r="AL374" s="48" t="n">
        <v>24</v>
      </c>
      <c r="AM374" s="48" t="n">
        <v>99</v>
      </c>
      <c r="AN374" s="48" t="n">
        <v>63</v>
      </c>
      <c r="AO374" s="48" t="n">
        <v>60</v>
      </c>
      <c r="AP374" s="48" t="n">
        <v>49</v>
      </c>
      <c r="AQ374" s="48" t="n">
        <v>43</v>
      </c>
      <c r="AR374" s="48" t="n">
        <v>116</v>
      </c>
      <c r="AS374" s="48" t="n">
        <v>36</v>
      </c>
      <c r="AT374" s="48" t="n">
        <v>15</v>
      </c>
      <c r="AU374" s="48" t="n">
        <v>35</v>
      </c>
      <c r="AV374" s="48" t="n">
        <v>80</v>
      </c>
      <c r="AW374" s="48" t="n">
        <v>42</v>
      </c>
      <c r="AX374" s="48" t="n">
        <v>79</v>
      </c>
      <c r="AY374" s="48" t="n">
        <v>7</v>
      </c>
      <c r="AZ374" s="48" t="n">
        <v>108</v>
      </c>
      <c r="BA374" s="48" t="n">
        <v>104</v>
      </c>
      <c r="BB374" s="48" t="n">
        <v>33</v>
      </c>
      <c r="BC374" s="48" t="n">
        <v>71</v>
      </c>
      <c r="BD374" s="48" t="n">
        <v>65</v>
      </c>
      <c r="BE374" s="48" t="n">
        <v>359</v>
      </c>
      <c r="BF374" s="48" t="n">
        <v>35</v>
      </c>
      <c r="BG374" s="49" t="n">
        <v>1.45</v>
      </c>
    </row>
    <row r="375" customFormat="false" ht="15" hidden="false" customHeight="false" outlineLevel="0" collapsed="false">
      <c r="A375" s="43" t="s">
        <v>986</v>
      </c>
      <c r="B375" s="43" t="s">
        <v>987</v>
      </c>
      <c r="C375" s="44" t="str">
        <f aca="false">IF(A375="","",IFERROR(INDEX(Assumptions!$B$41:$B$55,MATCH(TRUE(),INDEX(ISNUMBER(SEARCH(" "&amp;Assumptions!$A$41:$A$55&amp;" "," "&amp;SUBSTITUTE(SUBSTITUTE(SUBSTITUTE(SUBSTITUTE(B375,"-"," "),","," "),"/"," "),"."," ")&amp;" ")),0),0)),"Other"))</f>
        <v>Lighting</v>
      </c>
      <c r="D375" s="45" t="n">
        <f aca="false">IF(A375="","",BG375*(1-Assumptions!$B$18))</f>
        <v>0.57</v>
      </c>
      <c r="E375" s="46" t="n">
        <f aca="false">IF(A375="","",INDEX(Assumptions!$B$23:$B$26,MOD(VALUE(LEFT(A375,5)),4)+1))</f>
        <v>6</v>
      </c>
      <c r="F375" s="47" t="n">
        <v>815</v>
      </c>
      <c r="G375" s="48" t="n">
        <v>78</v>
      </c>
      <c r="H375" s="48" t="n">
        <v>175</v>
      </c>
      <c r="I375" s="48" t="n">
        <v>4</v>
      </c>
      <c r="J375" s="48" t="n">
        <v>0</v>
      </c>
      <c r="K375" s="48" t="n">
        <v>83</v>
      </c>
      <c r="L375" s="48" t="n">
        <v>122</v>
      </c>
      <c r="M375" s="48" t="n">
        <v>65</v>
      </c>
      <c r="N375" s="48" t="n">
        <v>62</v>
      </c>
      <c r="O375" s="48" t="n">
        <v>49</v>
      </c>
      <c r="P375" s="48" t="n">
        <v>32</v>
      </c>
      <c r="Q375" s="48" t="n">
        <v>53</v>
      </c>
      <c r="R375" s="48" t="n">
        <v>211</v>
      </c>
      <c r="S375" s="48" t="n">
        <v>70</v>
      </c>
      <c r="T375" s="48" t="n">
        <v>308</v>
      </c>
      <c r="U375" s="48" t="n">
        <v>116</v>
      </c>
      <c r="V375" s="48" t="n">
        <v>150</v>
      </c>
      <c r="W375" s="48" t="n">
        <v>89</v>
      </c>
      <c r="X375" s="48" t="n">
        <v>143</v>
      </c>
      <c r="Y375" s="48" t="n">
        <v>235</v>
      </c>
      <c r="Z375" s="48" t="n">
        <v>121</v>
      </c>
      <c r="AA375" s="48" t="n">
        <v>272</v>
      </c>
      <c r="AB375" s="48" t="n">
        <v>134</v>
      </c>
      <c r="AC375" s="48" t="n">
        <v>411</v>
      </c>
      <c r="AD375" s="48" t="n">
        <v>163</v>
      </c>
      <c r="AE375" s="48" t="n">
        <v>81</v>
      </c>
      <c r="AF375" s="48" t="n">
        <v>85</v>
      </c>
      <c r="AG375" s="48" t="n">
        <v>187</v>
      </c>
      <c r="AH375" s="48" t="n">
        <v>102</v>
      </c>
      <c r="AI375" s="48" t="n">
        <v>146</v>
      </c>
      <c r="AJ375" s="48" t="n">
        <v>228</v>
      </c>
      <c r="AK375" s="48" t="n">
        <v>58</v>
      </c>
      <c r="AL375" s="48" t="n">
        <v>125</v>
      </c>
      <c r="AM375" s="48" t="n">
        <v>23</v>
      </c>
      <c r="AN375" s="48" t="n">
        <v>84</v>
      </c>
      <c r="AO375" s="48" t="n">
        <v>144</v>
      </c>
      <c r="AP375" s="48" t="n">
        <v>86</v>
      </c>
      <c r="AQ375" s="48" t="n">
        <v>109</v>
      </c>
      <c r="AR375" s="48" t="n">
        <v>80</v>
      </c>
      <c r="AS375" s="48" t="n">
        <v>106</v>
      </c>
      <c r="AT375" s="48" t="n">
        <v>97</v>
      </c>
      <c r="AU375" s="48" t="n">
        <v>77</v>
      </c>
      <c r="AV375" s="48" t="n">
        <v>102</v>
      </c>
      <c r="AW375" s="48" t="n">
        <v>29</v>
      </c>
      <c r="AX375" s="48" t="n">
        <v>51</v>
      </c>
      <c r="AY375" s="48" t="n">
        <v>293</v>
      </c>
      <c r="AZ375" s="48" t="n">
        <v>94</v>
      </c>
      <c r="BA375" s="48" t="n">
        <v>28</v>
      </c>
      <c r="BB375" s="48" t="n">
        <v>147</v>
      </c>
      <c r="BC375" s="48" t="n">
        <v>81</v>
      </c>
      <c r="BD375" s="48" t="n">
        <v>25</v>
      </c>
      <c r="BE375" s="48" t="n">
        <v>55</v>
      </c>
      <c r="BF375" s="48" t="n">
        <v>185</v>
      </c>
      <c r="BG375" s="49" t="n">
        <v>0.95</v>
      </c>
    </row>
    <row r="376" customFormat="false" ht="15" hidden="false" customHeight="false" outlineLevel="0" collapsed="false">
      <c r="A376" s="43" t="s">
        <v>988</v>
      </c>
      <c r="B376" s="43" t="s">
        <v>989</v>
      </c>
      <c r="C376" s="44" t="str">
        <f aca="false">IF(A376="","",IFERROR(INDEX(Assumptions!$B$41:$B$55,MATCH(TRUE(),INDEX(ISNUMBER(SEARCH(" "&amp;Assumptions!$A$41:$A$55&amp;" "," "&amp;SUBSTITUTE(SUBSTITUTE(SUBSTITUTE(SUBSTITUTE(B376,"-"," "),","," "),"/"," "),"."," ")&amp;" ")),0),0)),"Other"))</f>
        <v>Other</v>
      </c>
      <c r="D376" s="45" t="n">
        <f aca="false">IF(A376="","",BG376*(1-Assumptions!$B$18))</f>
        <v>0.87</v>
      </c>
      <c r="E376" s="46" t="n">
        <f aca="false">IF(A376="","",INDEX(Assumptions!$B$23:$B$26,MOD(VALUE(LEFT(A376,5)),4)+1))</f>
        <v>2</v>
      </c>
      <c r="F376" s="47" t="n">
        <v>3631</v>
      </c>
      <c r="G376" s="48" t="n">
        <v>102</v>
      </c>
      <c r="H376" s="48" t="n">
        <v>76</v>
      </c>
      <c r="I376" s="48" t="n">
        <v>15</v>
      </c>
      <c r="J376" s="48" t="n">
        <v>0</v>
      </c>
      <c r="K376" s="48" t="n">
        <v>190</v>
      </c>
      <c r="L376" s="48" t="n">
        <v>6</v>
      </c>
      <c r="M376" s="48" t="n">
        <v>15</v>
      </c>
      <c r="N376" s="48" t="n">
        <v>108</v>
      </c>
      <c r="O376" s="48" t="n">
        <v>89</v>
      </c>
      <c r="P376" s="48" t="n">
        <v>20</v>
      </c>
      <c r="Q376" s="48" t="n">
        <v>52</v>
      </c>
      <c r="R376" s="48" t="n">
        <v>26</v>
      </c>
      <c r="S376" s="48" t="n">
        <v>536</v>
      </c>
      <c r="T376" s="48" t="n">
        <v>34</v>
      </c>
      <c r="U376" s="48" t="n">
        <v>82</v>
      </c>
      <c r="V376" s="48" t="n">
        <v>18</v>
      </c>
      <c r="W376" s="48" t="n">
        <v>232</v>
      </c>
      <c r="X376" s="48" t="n">
        <v>38</v>
      </c>
      <c r="Y376" s="48" t="n">
        <v>24</v>
      </c>
      <c r="Z376" s="48" t="n">
        <v>19</v>
      </c>
      <c r="AA376" s="48" t="n">
        <v>186</v>
      </c>
      <c r="AB376" s="48" t="n">
        <v>45</v>
      </c>
      <c r="AC376" s="48" t="n">
        <v>81</v>
      </c>
      <c r="AD376" s="48" t="n">
        <v>369</v>
      </c>
      <c r="AE376" s="48" t="n">
        <v>50</v>
      </c>
      <c r="AF376" s="48" t="n">
        <v>6</v>
      </c>
      <c r="AG376" s="48" t="n">
        <v>81</v>
      </c>
      <c r="AH376" s="48" t="n">
        <v>108</v>
      </c>
      <c r="AI376" s="48" t="n">
        <v>80</v>
      </c>
      <c r="AJ376" s="48" t="n">
        <v>60</v>
      </c>
      <c r="AK376" s="48" t="n">
        <v>41</v>
      </c>
      <c r="AL376" s="48" t="n">
        <v>76</v>
      </c>
      <c r="AM376" s="48" t="n">
        <v>67</v>
      </c>
      <c r="AN376" s="48" t="n">
        <v>76</v>
      </c>
      <c r="AO376" s="48" t="n">
        <v>92</v>
      </c>
      <c r="AP376" s="48" t="n">
        <v>27</v>
      </c>
      <c r="AQ376" s="48" t="n">
        <v>75</v>
      </c>
      <c r="AR376" s="48" t="n">
        <v>24</v>
      </c>
      <c r="AS376" s="48" t="n">
        <v>13</v>
      </c>
      <c r="AT376" s="48" t="n">
        <v>28</v>
      </c>
      <c r="AU376" s="48" t="n">
        <v>44</v>
      </c>
      <c r="AV376" s="48" t="n">
        <v>63</v>
      </c>
      <c r="AW376" s="48" t="n">
        <v>114</v>
      </c>
      <c r="AX376" s="48" t="n">
        <v>161</v>
      </c>
      <c r="AY376" s="48" t="n">
        <v>94</v>
      </c>
      <c r="AZ376" s="48" t="n">
        <v>108</v>
      </c>
      <c r="BA376" s="48" t="n">
        <v>97</v>
      </c>
      <c r="BB376" s="48" t="n">
        <v>99</v>
      </c>
      <c r="BC376" s="48" t="n">
        <v>194</v>
      </c>
      <c r="BD376" s="48" t="n">
        <v>177</v>
      </c>
      <c r="BE376" s="48" t="n">
        <v>148</v>
      </c>
      <c r="BF376" s="48" t="n">
        <v>154</v>
      </c>
      <c r="BG376" s="49" t="n">
        <v>1.45</v>
      </c>
    </row>
    <row r="377" customFormat="false" ht="15" hidden="false" customHeight="false" outlineLevel="0" collapsed="false">
      <c r="A377" s="43" t="s">
        <v>990</v>
      </c>
      <c r="B377" s="43" t="s">
        <v>991</v>
      </c>
      <c r="C377" s="44" t="str">
        <f aca="false">IF(A377="","",IFERROR(INDEX(Assumptions!$B$41:$B$55,MATCH(TRUE(),INDEX(ISNUMBER(SEARCH(" "&amp;Assumptions!$A$41:$A$55&amp;" "," "&amp;SUBSTITUTE(SUBSTITUTE(SUBSTITUTE(SUBSTITUTE(B377,"-"," "),","," "),"/"," "),"."," ")&amp;" ")),0),0)),"Other"))</f>
        <v>Kitchen</v>
      </c>
      <c r="D377" s="45" t="n">
        <f aca="false">IF(A377="","",BG377*(1-Assumptions!$B$18))</f>
        <v>1.734</v>
      </c>
      <c r="E377" s="46" t="n">
        <f aca="false">IF(A377="","",INDEX(Assumptions!$B$23:$B$26,MOD(VALUE(LEFT(A377,5)),4)+1))</f>
        <v>8</v>
      </c>
      <c r="F377" s="47" t="n">
        <v>1600</v>
      </c>
      <c r="G377" s="48" t="n">
        <v>0</v>
      </c>
      <c r="H377" s="48" t="n">
        <v>0</v>
      </c>
      <c r="I377" s="48" t="n">
        <v>0</v>
      </c>
      <c r="J377" s="48" t="n">
        <v>0</v>
      </c>
      <c r="K377" s="48" t="n">
        <v>0</v>
      </c>
      <c r="L377" s="48" t="n">
        <v>0</v>
      </c>
      <c r="M377" s="48" t="n">
        <v>0</v>
      </c>
      <c r="N377" s="48" t="n">
        <v>0</v>
      </c>
      <c r="O377" s="48" t="n">
        <v>0</v>
      </c>
      <c r="P377" s="48" t="n">
        <v>0</v>
      </c>
      <c r="Q377" s="48" t="n">
        <v>0</v>
      </c>
      <c r="R377" s="48" t="n">
        <v>0</v>
      </c>
      <c r="S377" s="48" t="n">
        <v>0</v>
      </c>
      <c r="T377" s="48" t="n">
        <v>0</v>
      </c>
      <c r="U377" s="48" t="n">
        <v>0</v>
      </c>
      <c r="V377" s="48" t="n">
        <v>0</v>
      </c>
      <c r="W377" s="48" t="n">
        <v>0</v>
      </c>
      <c r="X377" s="48" t="n">
        <v>0</v>
      </c>
      <c r="Y377" s="48" t="n">
        <v>0</v>
      </c>
      <c r="Z377" s="48" t="n">
        <v>0</v>
      </c>
      <c r="AA377" s="48" t="n">
        <v>0</v>
      </c>
      <c r="AB377" s="48" t="n">
        <v>0</v>
      </c>
      <c r="AC377" s="48" t="n">
        <v>0</v>
      </c>
      <c r="AD377" s="48" t="n">
        <v>0</v>
      </c>
      <c r="AE377" s="48" t="n">
        <v>0</v>
      </c>
      <c r="AF377" s="48" t="n">
        <v>0</v>
      </c>
      <c r="AG377" s="48" t="n">
        <v>1</v>
      </c>
      <c r="AH377" s="48" t="n">
        <v>6</v>
      </c>
      <c r="AI377" s="48" t="n">
        <v>0</v>
      </c>
      <c r="AJ377" s="48" t="n">
        <v>0</v>
      </c>
      <c r="AK377" s="48" t="n">
        <v>15</v>
      </c>
      <c r="AL377" s="48" t="n">
        <v>150</v>
      </c>
      <c r="AM377" s="48" t="n">
        <v>42</v>
      </c>
      <c r="AN377" s="48" t="n">
        <v>60</v>
      </c>
      <c r="AO377" s="48" t="n">
        <v>12</v>
      </c>
      <c r="AP377" s="48" t="n">
        <v>49</v>
      </c>
      <c r="AQ377" s="48" t="n">
        <v>3</v>
      </c>
      <c r="AR377" s="48" t="n">
        <v>41</v>
      </c>
      <c r="AS377" s="48" t="n">
        <v>24</v>
      </c>
      <c r="AT377" s="48" t="n">
        <v>73</v>
      </c>
      <c r="AU377" s="48" t="n">
        <v>63</v>
      </c>
      <c r="AV377" s="48" t="n">
        <v>139</v>
      </c>
      <c r="AW377" s="48" t="n">
        <v>74</v>
      </c>
      <c r="AX377" s="48" t="n">
        <v>187</v>
      </c>
      <c r="AY377" s="48" t="n">
        <v>161</v>
      </c>
      <c r="AZ377" s="48" t="n">
        <v>83</v>
      </c>
      <c r="BA377" s="48" t="n">
        <v>178</v>
      </c>
      <c r="BB377" s="48" t="n">
        <v>349</v>
      </c>
      <c r="BC377" s="48" t="n">
        <v>148</v>
      </c>
      <c r="BD377" s="48" t="n">
        <v>114</v>
      </c>
      <c r="BE377" s="48" t="n">
        <v>41</v>
      </c>
      <c r="BF377" s="48" t="n">
        <v>120</v>
      </c>
      <c r="BG377" s="49" t="n">
        <v>2.89</v>
      </c>
    </row>
    <row r="378" customFormat="false" ht="15" hidden="false" customHeight="false" outlineLevel="0" collapsed="false">
      <c r="A378" s="43" t="s">
        <v>992</v>
      </c>
      <c r="B378" s="43" t="s">
        <v>993</v>
      </c>
      <c r="C378" s="44" t="str">
        <f aca="false">IF(A378="","",IFERROR(INDEX(Assumptions!$B$41:$B$55,MATCH(TRUE(),INDEX(ISNUMBER(SEARCH(" "&amp;Assumptions!$A$41:$A$55&amp;" "," "&amp;SUBSTITUTE(SUBSTITUTE(SUBSTITUTE(SUBSTITUTE(B378,"-"," "),","," "),"/"," "),"."," ")&amp;" ")),0),0)),"Other"))</f>
        <v>Lighting</v>
      </c>
      <c r="D378" s="45" t="n">
        <f aca="false">IF(A378="","",BG378*(1-Assumptions!$B$18))</f>
        <v>0.39</v>
      </c>
      <c r="E378" s="46" t="n">
        <f aca="false">IF(A378="","",INDEX(Assumptions!$B$23:$B$26,MOD(VALUE(LEFT(A378,5)),4)+1))</f>
        <v>6</v>
      </c>
      <c r="F378" s="47" t="n">
        <v>381</v>
      </c>
      <c r="G378" s="48" t="n">
        <v>436</v>
      </c>
      <c r="H378" s="48" t="n">
        <v>274</v>
      </c>
      <c r="I378" s="48" t="n">
        <v>2</v>
      </c>
      <c r="J378" s="48" t="n">
        <v>0</v>
      </c>
      <c r="K378" s="48" t="n">
        <v>121</v>
      </c>
      <c r="L378" s="48" t="n">
        <v>61</v>
      </c>
      <c r="M378" s="48" t="n">
        <v>42</v>
      </c>
      <c r="N378" s="48" t="n">
        <v>218</v>
      </c>
      <c r="O378" s="48" t="n">
        <v>221</v>
      </c>
      <c r="P378" s="48" t="n">
        <v>470</v>
      </c>
      <c r="Q378" s="48" t="n">
        <v>385</v>
      </c>
      <c r="R378" s="48" t="n">
        <v>353</v>
      </c>
      <c r="S378" s="48" t="n">
        <v>301</v>
      </c>
      <c r="T378" s="48" t="n">
        <v>14</v>
      </c>
      <c r="U378" s="48" t="n">
        <v>36</v>
      </c>
      <c r="V378" s="48" t="n">
        <v>42</v>
      </c>
      <c r="W378" s="48" t="n">
        <v>24</v>
      </c>
      <c r="X378" s="48" t="n">
        <v>237</v>
      </c>
      <c r="Y378" s="48" t="n">
        <v>216</v>
      </c>
      <c r="Z378" s="48" t="n">
        <v>40</v>
      </c>
      <c r="AA378" s="48" t="n">
        <v>50</v>
      </c>
      <c r="AB378" s="48" t="n">
        <v>235</v>
      </c>
      <c r="AC378" s="48" t="n">
        <v>145</v>
      </c>
      <c r="AD378" s="48" t="n">
        <v>156</v>
      </c>
      <c r="AE378" s="48" t="n">
        <v>217</v>
      </c>
      <c r="AF378" s="48" t="n">
        <v>148</v>
      </c>
      <c r="AG378" s="48" t="n">
        <v>300</v>
      </c>
      <c r="AH378" s="48" t="n">
        <v>161</v>
      </c>
      <c r="AI378" s="48" t="n">
        <v>230</v>
      </c>
      <c r="AJ378" s="48" t="n">
        <v>80</v>
      </c>
      <c r="AK378" s="48" t="n">
        <v>132</v>
      </c>
      <c r="AL378" s="48" t="n">
        <v>168</v>
      </c>
      <c r="AM378" s="48" t="n">
        <v>48</v>
      </c>
      <c r="AN378" s="48" t="n">
        <v>182</v>
      </c>
      <c r="AO378" s="48" t="n">
        <v>191</v>
      </c>
      <c r="AP378" s="48" t="n">
        <v>46</v>
      </c>
      <c r="AQ378" s="48" t="n">
        <v>85</v>
      </c>
      <c r="AR378" s="48" t="n">
        <v>87</v>
      </c>
      <c r="AS378" s="48" t="n">
        <v>328</v>
      </c>
      <c r="AT378" s="48" t="n">
        <v>520</v>
      </c>
      <c r="AU378" s="48" t="n">
        <v>239</v>
      </c>
      <c r="AV378" s="48" t="n">
        <v>352</v>
      </c>
      <c r="AW378" s="48" t="n">
        <v>540</v>
      </c>
      <c r="AX378" s="48" t="n">
        <v>48</v>
      </c>
      <c r="AY378" s="48" t="n">
        <v>192</v>
      </c>
      <c r="AZ378" s="48" t="n">
        <v>80</v>
      </c>
      <c r="BA378" s="48" t="n">
        <v>65</v>
      </c>
      <c r="BB378" s="48" t="n">
        <v>284</v>
      </c>
      <c r="BC378" s="48" t="n">
        <v>128</v>
      </c>
      <c r="BD378" s="48" t="n">
        <v>280</v>
      </c>
      <c r="BE378" s="48" t="n">
        <v>339</v>
      </c>
      <c r="BF378" s="48" t="n">
        <v>344</v>
      </c>
      <c r="BG378" s="49" t="n">
        <v>0.65</v>
      </c>
    </row>
    <row r="379" customFormat="false" ht="15" hidden="false" customHeight="false" outlineLevel="0" collapsed="false">
      <c r="A379" s="43" t="s">
        <v>994</v>
      </c>
      <c r="B379" s="43" t="s">
        <v>995</v>
      </c>
      <c r="C379" s="44" t="str">
        <f aca="false">IF(A379="","",IFERROR(INDEX(Assumptions!$B$41:$B$55,MATCH(TRUE(),INDEX(ISNUMBER(SEARCH(" "&amp;Assumptions!$A$41:$A$55&amp;" "," "&amp;SUBSTITUTE(SUBSTITUTE(SUBSTITUTE(SUBSTITUTE(B379,"-"," "),","," "),"/"," "),"."," ")&amp;" ")),0),0)),"Other"))</f>
        <v>Other</v>
      </c>
      <c r="D379" s="45" t="n">
        <f aca="false">IF(A379="","",BG379*(1-Assumptions!$B$18))</f>
        <v>2.97</v>
      </c>
      <c r="E379" s="46" t="n">
        <f aca="false">IF(A379="","",INDEX(Assumptions!$B$23:$B$26,MOD(VALUE(LEFT(A379,5)),4)+1))</f>
        <v>4</v>
      </c>
      <c r="F379" s="47" t="n">
        <v>1212</v>
      </c>
      <c r="G379" s="48" t="n">
        <v>43</v>
      </c>
      <c r="H379" s="48" t="n">
        <v>10</v>
      </c>
      <c r="I379" s="48" t="n">
        <v>17</v>
      </c>
      <c r="J379" s="48" t="n">
        <v>0</v>
      </c>
      <c r="K379" s="48" t="n">
        <v>13</v>
      </c>
      <c r="L379" s="48" t="n">
        <v>29</v>
      </c>
      <c r="M379" s="48" t="n">
        <v>36</v>
      </c>
      <c r="N379" s="48" t="n">
        <v>11</v>
      </c>
      <c r="O379" s="48" t="n">
        <v>30</v>
      </c>
      <c r="P379" s="48" t="n">
        <v>48</v>
      </c>
      <c r="Q379" s="48" t="n">
        <v>24</v>
      </c>
      <c r="R379" s="48" t="n">
        <v>22</v>
      </c>
      <c r="S379" s="48" t="n">
        <v>20</v>
      </c>
      <c r="T379" s="48" t="n">
        <v>41</v>
      </c>
      <c r="U379" s="48" t="n">
        <v>23</v>
      </c>
      <c r="V379" s="48" t="n">
        <v>34</v>
      </c>
      <c r="W379" s="48" t="n">
        <v>24</v>
      </c>
      <c r="X379" s="48" t="n">
        <v>29</v>
      </c>
      <c r="Y379" s="48" t="n">
        <v>12</v>
      </c>
      <c r="Z379" s="48" t="n">
        <v>17</v>
      </c>
      <c r="AA379" s="48" t="n">
        <v>15</v>
      </c>
      <c r="AB379" s="48" t="n">
        <v>22</v>
      </c>
      <c r="AC379" s="48" t="n">
        <v>34</v>
      </c>
      <c r="AD379" s="48" t="n">
        <v>39</v>
      </c>
      <c r="AE379" s="48" t="n">
        <v>35</v>
      </c>
      <c r="AF379" s="48" t="n">
        <v>18</v>
      </c>
      <c r="AG379" s="48" t="n">
        <v>21</v>
      </c>
      <c r="AH379" s="48" t="n">
        <v>25</v>
      </c>
      <c r="AI379" s="48" t="n">
        <v>8</v>
      </c>
      <c r="AJ379" s="48" t="n">
        <v>13</v>
      </c>
      <c r="AK379" s="48" t="n">
        <v>21</v>
      </c>
      <c r="AL379" s="48" t="n">
        <v>10</v>
      </c>
      <c r="AM379" s="48" t="n">
        <v>24</v>
      </c>
      <c r="AN379" s="48" t="n">
        <v>200</v>
      </c>
      <c r="AO379" s="48" t="n">
        <v>64</v>
      </c>
      <c r="AP379" s="48" t="n">
        <v>15</v>
      </c>
      <c r="AQ379" s="48" t="n">
        <v>17</v>
      </c>
      <c r="AR379" s="48" t="n">
        <v>25</v>
      </c>
      <c r="AS379" s="48" t="n">
        <v>22</v>
      </c>
      <c r="AT379" s="48" t="n">
        <v>9</v>
      </c>
      <c r="AU379" s="48" t="n">
        <v>11</v>
      </c>
      <c r="AV379" s="48" t="n">
        <v>8</v>
      </c>
      <c r="AW379" s="48" t="n">
        <v>19</v>
      </c>
      <c r="AX379" s="48" t="n">
        <v>3</v>
      </c>
      <c r="AY379" s="48" t="n">
        <v>42</v>
      </c>
      <c r="AZ379" s="48" t="n">
        <v>12</v>
      </c>
      <c r="BA379" s="48" t="n">
        <v>12</v>
      </c>
      <c r="BB379" s="48" t="n">
        <v>9</v>
      </c>
      <c r="BC379" s="48" t="n">
        <v>25</v>
      </c>
      <c r="BD379" s="48" t="n">
        <v>12</v>
      </c>
      <c r="BE379" s="48" t="n">
        <v>11</v>
      </c>
      <c r="BF379" s="48" t="n">
        <v>29</v>
      </c>
      <c r="BG379" s="49" t="n">
        <v>4.95</v>
      </c>
    </row>
    <row r="380" customFormat="false" ht="15" hidden="false" customHeight="false" outlineLevel="0" collapsed="false">
      <c r="A380" s="43" t="s">
        <v>996</v>
      </c>
      <c r="B380" s="43" t="s">
        <v>997</v>
      </c>
      <c r="C380" s="44" t="str">
        <f aca="false">IF(A380="","",IFERROR(INDEX(Assumptions!$B$41:$B$55,MATCH(TRUE(),INDEX(ISNUMBER(SEARCH(" "&amp;Assumptions!$A$41:$A$55&amp;" "," "&amp;SUBSTITUTE(SUBSTITUTE(SUBSTITUTE(SUBSTITUTE(B380,"-"," "),","," "),"/"," "),"."," ")&amp;" ")),0),0)),"Other"))</f>
        <v>Other</v>
      </c>
      <c r="D380" s="45" t="n">
        <f aca="false">IF(A380="","",BG380*(1-Assumptions!$B$18))</f>
        <v>2.25</v>
      </c>
      <c r="E380" s="46" t="n">
        <f aca="false">IF(A380="","",INDEX(Assumptions!$B$23:$B$26,MOD(VALUE(LEFT(A380,5)),4)+1))</f>
        <v>4</v>
      </c>
      <c r="F380" s="47" t="n">
        <v>129</v>
      </c>
      <c r="G380" s="48" t="n">
        <v>33</v>
      </c>
      <c r="H380" s="48" t="n">
        <v>80</v>
      </c>
      <c r="I380" s="48" t="n">
        <v>24</v>
      </c>
      <c r="J380" s="48" t="n">
        <v>0</v>
      </c>
      <c r="K380" s="48" t="n">
        <v>62</v>
      </c>
      <c r="L380" s="48" t="n">
        <v>78</v>
      </c>
      <c r="M380" s="48" t="n">
        <v>22</v>
      </c>
      <c r="N380" s="48" t="n">
        <v>4</v>
      </c>
      <c r="O380" s="48" t="n">
        <v>34</v>
      </c>
      <c r="P380" s="48" t="n">
        <v>7</v>
      </c>
      <c r="Q380" s="48" t="n">
        <v>4</v>
      </c>
      <c r="R380" s="48" t="n">
        <v>5</v>
      </c>
      <c r="S380" s="48" t="n">
        <v>26</v>
      </c>
      <c r="T380" s="48" t="n">
        <v>48</v>
      </c>
      <c r="U380" s="48" t="n">
        <v>0</v>
      </c>
      <c r="V380" s="48" t="n">
        <v>3</v>
      </c>
      <c r="W380" s="48" t="n">
        <v>15</v>
      </c>
      <c r="X380" s="48" t="n">
        <v>6</v>
      </c>
      <c r="Y380" s="48" t="n">
        <v>2</v>
      </c>
      <c r="Z380" s="48" t="n">
        <v>52</v>
      </c>
      <c r="AA380" s="48" t="n">
        <v>48</v>
      </c>
      <c r="AB380" s="48" t="n">
        <v>24</v>
      </c>
      <c r="AC380" s="48" t="n">
        <v>56</v>
      </c>
      <c r="AD380" s="48" t="n">
        <v>19</v>
      </c>
      <c r="AE380" s="48" t="n">
        <v>6</v>
      </c>
      <c r="AF380" s="48" t="n">
        <v>0</v>
      </c>
      <c r="AG380" s="48" t="n">
        <v>11</v>
      </c>
      <c r="AH380" s="48" t="n">
        <v>216</v>
      </c>
      <c r="AI380" s="48" t="n">
        <v>62</v>
      </c>
      <c r="AJ380" s="48" t="n">
        <v>0</v>
      </c>
      <c r="AK380" s="48" t="n">
        <v>5</v>
      </c>
      <c r="AL380" s="48" t="n">
        <v>3</v>
      </c>
      <c r="AM380" s="48" t="n">
        <v>24</v>
      </c>
      <c r="AN380" s="48" t="n">
        <v>17</v>
      </c>
      <c r="AO380" s="48" t="n">
        <v>0</v>
      </c>
      <c r="AP380" s="48" t="n">
        <v>5</v>
      </c>
      <c r="AQ380" s="48" t="n">
        <v>96</v>
      </c>
      <c r="AR380" s="48" t="n">
        <v>7</v>
      </c>
      <c r="AS380" s="48" t="n">
        <v>0</v>
      </c>
      <c r="AT380" s="48" t="n">
        <v>13</v>
      </c>
      <c r="AU380" s="48" t="n">
        <v>8</v>
      </c>
      <c r="AV380" s="48" t="n">
        <v>29</v>
      </c>
      <c r="AW380" s="48" t="n">
        <v>24</v>
      </c>
      <c r="AX380" s="48" t="n">
        <v>51</v>
      </c>
      <c r="AY380" s="48" t="n">
        <v>29</v>
      </c>
      <c r="AZ380" s="48" t="n">
        <v>54</v>
      </c>
      <c r="BA380" s="48" t="n">
        <v>23</v>
      </c>
      <c r="BB380" s="48" t="n">
        <v>7</v>
      </c>
      <c r="BC380" s="48" t="n">
        <v>178</v>
      </c>
      <c r="BD380" s="48" t="n">
        <v>67</v>
      </c>
      <c r="BE380" s="48" t="n">
        <v>17</v>
      </c>
      <c r="BF380" s="48" t="n">
        <v>68</v>
      </c>
      <c r="BG380" s="49" t="n">
        <v>3.75</v>
      </c>
    </row>
    <row r="381" customFormat="false" ht="15" hidden="false" customHeight="false" outlineLevel="0" collapsed="false">
      <c r="A381" s="43" t="s">
        <v>998</v>
      </c>
      <c r="B381" s="43" t="s">
        <v>999</v>
      </c>
      <c r="C381" s="44" t="str">
        <f aca="false">IF(A381="","",IFERROR(INDEX(Assumptions!$B$41:$B$55,MATCH(TRUE(),INDEX(ISNUMBER(SEARCH(" "&amp;Assumptions!$A$41:$A$55&amp;" "," "&amp;SUBSTITUTE(SUBSTITUTE(SUBSTITUTE(SUBSTITUTE(B381,"-"," "),","," "),"/"," "),"."," ")&amp;" ")),0),0)),"Other"))</f>
        <v>Other</v>
      </c>
      <c r="D381" s="45" t="n">
        <f aca="false">IF(A381="","",BG381*(1-Assumptions!$B$18))</f>
        <v>4.95</v>
      </c>
      <c r="E381" s="46" t="n">
        <f aca="false">IF(A381="","",INDEX(Assumptions!$B$23:$B$26,MOD(VALUE(LEFT(A381,5)),4)+1))</f>
        <v>6</v>
      </c>
      <c r="F381" s="47" t="n">
        <v>41</v>
      </c>
      <c r="G381" s="48" t="n">
        <v>0</v>
      </c>
      <c r="H381" s="48" t="n">
        <v>0</v>
      </c>
      <c r="I381" s="48" t="n">
        <v>0</v>
      </c>
      <c r="J381" s="48" t="n">
        <v>0</v>
      </c>
      <c r="K381" s="48" t="n">
        <v>0</v>
      </c>
      <c r="L381" s="48" t="n">
        <v>0</v>
      </c>
      <c r="M381" s="48" t="n">
        <v>0</v>
      </c>
      <c r="N381" s="48" t="n">
        <v>0</v>
      </c>
      <c r="O381" s="48" t="n">
        <v>0</v>
      </c>
      <c r="P381" s="48" t="n">
        <v>0</v>
      </c>
      <c r="Q381" s="48" t="n">
        <v>0</v>
      </c>
      <c r="R381" s="48" t="n">
        <v>0</v>
      </c>
      <c r="S381" s="48" t="n">
        <v>0</v>
      </c>
      <c r="T381" s="48" t="n">
        <v>0</v>
      </c>
      <c r="U381" s="48" t="n">
        <v>0</v>
      </c>
      <c r="V381" s="48" t="n">
        <v>0</v>
      </c>
      <c r="W381" s="48" t="n">
        <v>0</v>
      </c>
      <c r="X381" s="48" t="n">
        <v>0</v>
      </c>
      <c r="Y381" s="48" t="n">
        <v>0</v>
      </c>
      <c r="Z381" s="48" t="n">
        <v>10</v>
      </c>
      <c r="AA381" s="48" t="n">
        <v>2</v>
      </c>
      <c r="AB381" s="48" t="n">
        <v>10</v>
      </c>
      <c r="AC381" s="48" t="n">
        <v>4</v>
      </c>
      <c r="AD381" s="48" t="n">
        <v>210</v>
      </c>
      <c r="AE381" s="48" t="n">
        <v>5</v>
      </c>
      <c r="AF381" s="48" t="n">
        <v>6</v>
      </c>
      <c r="AG381" s="48" t="n">
        <v>5</v>
      </c>
      <c r="AH381" s="48" t="n">
        <v>408</v>
      </c>
      <c r="AI381" s="48" t="n">
        <v>0</v>
      </c>
      <c r="AJ381" s="48" t="n">
        <v>0</v>
      </c>
      <c r="AK381" s="48" t="n">
        <v>2</v>
      </c>
      <c r="AL381" s="48" t="n">
        <v>2</v>
      </c>
      <c r="AM381" s="48" t="n">
        <v>134</v>
      </c>
      <c r="AN381" s="48" t="n">
        <v>260</v>
      </c>
      <c r="AO381" s="48" t="n">
        <v>2</v>
      </c>
      <c r="AP381" s="48" t="n">
        <v>0</v>
      </c>
      <c r="AQ381" s="48" t="n">
        <v>3</v>
      </c>
      <c r="AR381" s="48" t="n">
        <v>0</v>
      </c>
      <c r="AS381" s="48" t="n">
        <v>0</v>
      </c>
      <c r="AT381" s="48" t="n">
        <v>1</v>
      </c>
      <c r="AU381" s="48" t="n">
        <v>1</v>
      </c>
      <c r="AV381" s="48" t="n">
        <v>0</v>
      </c>
      <c r="AW381" s="48" t="n">
        <v>0</v>
      </c>
      <c r="AX381" s="48" t="n">
        <v>0</v>
      </c>
      <c r="AY381" s="48" t="n">
        <v>0</v>
      </c>
      <c r="AZ381" s="48" t="n">
        <v>0</v>
      </c>
      <c r="BA381" s="48" t="n">
        <v>0</v>
      </c>
      <c r="BB381" s="48" t="n">
        <v>0</v>
      </c>
      <c r="BC381" s="48" t="n">
        <v>0</v>
      </c>
      <c r="BD381" s="48" t="n">
        <v>0</v>
      </c>
      <c r="BE381" s="48" t="n">
        <v>0</v>
      </c>
      <c r="BF381" s="48" t="n">
        <v>0</v>
      </c>
      <c r="BG381" s="49" t="n">
        <v>8.25</v>
      </c>
    </row>
    <row r="382" customFormat="false" ht="15" hidden="false" customHeight="false" outlineLevel="0" collapsed="false">
      <c r="A382" s="43" t="s">
        <v>1000</v>
      </c>
      <c r="B382" s="43" t="s">
        <v>1001</v>
      </c>
      <c r="C382" s="44" t="str">
        <f aca="false">IF(A382="","",IFERROR(INDEX(Assumptions!$B$41:$B$55,MATCH(TRUE(),INDEX(ISNUMBER(SEARCH(" "&amp;Assumptions!$A$41:$A$55&amp;" "," "&amp;SUBSTITUTE(SUBSTITUTE(SUBSTITUTE(SUBSTITUTE(B382,"-"," "),","," "),"/"," "),"."," ")&amp;" ")),0),0)),"Other"))</f>
        <v>Other</v>
      </c>
      <c r="D382" s="45" t="n">
        <f aca="false">IF(A382="","",BG382*(1-Assumptions!$B$18))</f>
        <v>2.25</v>
      </c>
      <c r="E382" s="46" t="n">
        <f aca="false">IF(A382="","",INDEX(Assumptions!$B$23:$B$26,MOD(VALUE(LEFT(A382,5)),4)+1))</f>
        <v>2</v>
      </c>
      <c r="F382" s="47" t="n">
        <v>393</v>
      </c>
      <c r="G382" s="48" t="n">
        <v>28</v>
      </c>
      <c r="H382" s="48" t="n">
        <v>41</v>
      </c>
      <c r="I382" s="48" t="n">
        <v>5</v>
      </c>
      <c r="J382" s="48" t="n">
        <v>0</v>
      </c>
      <c r="K382" s="48" t="n">
        <v>27</v>
      </c>
      <c r="L382" s="48" t="n">
        <v>21</v>
      </c>
      <c r="M382" s="48" t="n">
        <v>41</v>
      </c>
      <c r="N382" s="48" t="n">
        <v>7</v>
      </c>
      <c r="O382" s="48" t="n">
        <v>19</v>
      </c>
      <c r="P382" s="48" t="n">
        <v>11</v>
      </c>
      <c r="Q382" s="48" t="n">
        <v>11</v>
      </c>
      <c r="R382" s="48" t="n">
        <v>9</v>
      </c>
      <c r="S382" s="48" t="n">
        <v>6</v>
      </c>
      <c r="T382" s="48" t="n">
        <v>11</v>
      </c>
      <c r="U382" s="48" t="n">
        <v>9</v>
      </c>
      <c r="V382" s="48" t="n">
        <v>7</v>
      </c>
      <c r="W382" s="48" t="n">
        <v>34</v>
      </c>
      <c r="X382" s="48" t="n">
        <v>1</v>
      </c>
      <c r="Y382" s="48" t="n">
        <v>0</v>
      </c>
      <c r="Z382" s="48" t="n">
        <v>14</v>
      </c>
      <c r="AA382" s="48" t="n">
        <v>9</v>
      </c>
      <c r="AB382" s="48" t="n">
        <v>17</v>
      </c>
      <c r="AC382" s="48" t="n">
        <v>22</v>
      </c>
      <c r="AD382" s="48" t="n">
        <v>3</v>
      </c>
      <c r="AE382" s="48" t="n">
        <v>9</v>
      </c>
      <c r="AF382" s="48" t="n">
        <v>6</v>
      </c>
      <c r="AG382" s="48" t="n">
        <v>10</v>
      </c>
      <c r="AH382" s="48" t="n">
        <v>5</v>
      </c>
      <c r="AI382" s="48" t="n">
        <v>11</v>
      </c>
      <c r="AJ382" s="48" t="n">
        <v>5</v>
      </c>
      <c r="AK382" s="48" t="n">
        <v>6</v>
      </c>
      <c r="AL382" s="48" t="n">
        <v>12</v>
      </c>
      <c r="AM382" s="48" t="n">
        <v>14</v>
      </c>
      <c r="AN382" s="48" t="n">
        <v>16</v>
      </c>
      <c r="AO382" s="48" t="n">
        <v>30</v>
      </c>
      <c r="AP382" s="48" t="n">
        <v>5</v>
      </c>
      <c r="AQ382" s="48" t="n">
        <v>5</v>
      </c>
      <c r="AR382" s="48" t="n">
        <v>22</v>
      </c>
      <c r="AS382" s="48" t="n">
        <v>25</v>
      </c>
      <c r="AT382" s="48" t="n">
        <v>15</v>
      </c>
      <c r="AU382" s="48" t="n">
        <v>17</v>
      </c>
      <c r="AV382" s="48" t="n">
        <v>764</v>
      </c>
      <c r="AW382" s="48" t="n">
        <v>11</v>
      </c>
      <c r="AX382" s="48" t="n">
        <v>9</v>
      </c>
      <c r="AY382" s="48" t="n">
        <v>38</v>
      </c>
      <c r="AZ382" s="48" t="n">
        <v>9</v>
      </c>
      <c r="BA382" s="48" t="n">
        <v>14</v>
      </c>
      <c r="BB382" s="48" t="n">
        <v>52</v>
      </c>
      <c r="BC382" s="48" t="n">
        <v>10</v>
      </c>
      <c r="BD382" s="48" t="n">
        <v>22</v>
      </c>
      <c r="BE382" s="48" t="n">
        <v>52</v>
      </c>
      <c r="BF382" s="48" t="n">
        <v>25</v>
      </c>
      <c r="BG382" s="49" t="n">
        <v>3.75</v>
      </c>
    </row>
    <row r="383" customFormat="false" ht="15" hidden="false" customHeight="false" outlineLevel="0" collapsed="false">
      <c r="A383" s="43" t="s">
        <v>1002</v>
      </c>
      <c r="B383" s="43" t="s">
        <v>1003</v>
      </c>
      <c r="C383" s="44" t="str">
        <f aca="false">IF(A383="","",IFERROR(INDEX(Assumptions!$B$41:$B$55,MATCH(TRUE(),INDEX(ISNUMBER(SEARCH(" "&amp;Assumptions!$A$41:$A$55&amp;" "," "&amp;SUBSTITUTE(SUBSTITUTE(SUBSTITUTE(SUBSTITUTE(B383,"-"," "),","," "),"/"," "),"."," ")&amp;" ")),0),0)),"Other"))</f>
        <v>Lighting</v>
      </c>
      <c r="D383" s="45" t="n">
        <f aca="false">IF(A383="","",BG383*(1-Assumptions!$B$18))</f>
        <v>1.734</v>
      </c>
      <c r="E383" s="46" t="n">
        <f aca="false">IF(A383="","",INDEX(Assumptions!$B$23:$B$26,MOD(VALUE(LEFT(A383,5)),4)+1))</f>
        <v>4</v>
      </c>
      <c r="F383" s="47" t="n">
        <v>1413</v>
      </c>
      <c r="G383" s="48" t="n">
        <v>0</v>
      </c>
      <c r="H383" s="48" t="n">
        <v>0</v>
      </c>
      <c r="I383" s="48" t="n">
        <v>0</v>
      </c>
      <c r="J383" s="48" t="n">
        <v>0</v>
      </c>
      <c r="K383" s="48" t="n">
        <v>0</v>
      </c>
      <c r="L383" s="48" t="n">
        <v>0</v>
      </c>
      <c r="M383" s="48" t="n">
        <v>0</v>
      </c>
      <c r="N383" s="48" t="n">
        <v>0</v>
      </c>
      <c r="O383" s="48" t="n">
        <v>0</v>
      </c>
      <c r="P383" s="48" t="n">
        <v>0</v>
      </c>
      <c r="Q383" s="48" t="n">
        <v>0</v>
      </c>
      <c r="R383" s="48" t="n">
        <v>0</v>
      </c>
      <c r="S383" s="48" t="n">
        <v>0</v>
      </c>
      <c r="T383" s="48" t="n">
        <v>0</v>
      </c>
      <c r="U383" s="48" t="n">
        <v>0</v>
      </c>
      <c r="V383" s="48" t="n">
        <v>0</v>
      </c>
      <c r="W383" s="48" t="n">
        <v>0</v>
      </c>
      <c r="X383" s="48" t="n">
        <v>0</v>
      </c>
      <c r="Y383" s="48" t="n">
        <v>0</v>
      </c>
      <c r="Z383" s="48" t="n">
        <v>0</v>
      </c>
      <c r="AA383" s="48" t="n">
        <v>0</v>
      </c>
      <c r="AB383" s="48" t="n">
        <v>0</v>
      </c>
      <c r="AC383" s="48" t="n">
        <v>169</v>
      </c>
      <c r="AD383" s="48" t="n">
        <v>83</v>
      </c>
      <c r="AE383" s="48" t="n">
        <v>45</v>
      </c>
      <c r="AF383" s="48" t="n">
        <v>50</v>
      </c>
      <c r="AG383" s="48" t="n">
        <v>42</v>
      </c>
      <c r="AH383" s="48" t="n">
        <v>57</v>
      </c>
      <c r="AI383" s="48" t="n">
        <v>8</v>
      </c>
      <c r="AJ383" s="48" t="n">
        <v>5</v>
      </c>
      <c r="AK383" s="48" t="n">
        <v>26</v>
      </c>
      <c r="AL383" s="48" t="n">
        <v>96</v>
      </c>
      <c r="AM383" s="48" t="n">
        <v>80</v>
      </c>
      <c r="AN383" s="48" t="n">
        <v>129</v>
      </c>
      <c r="AO383" s="48" t="n">
        <v>30</v>
      </c>
      <c r="AP383" s="48" t="n">
        <v>22</v>
      </c>
      <c r="AQ383" s="48" t="n">
        <v>2</v>
      </c>
      <c r="AR383" s="48" t="n">
        <v>0</v>
      </c>
      <c r="AS383" s="48" t="n">
        <v>22</v>
      </c>
      <c r="AT383" s="48" t="n">
        <v>20</v>
      </c>
      <c r="AU383" s="48" t="n">
        <v>85</v>
      </c>
      <c r="AV383" s="48" t="n">
        <v>80</v>
      </c>
      <c r="AW383" s="48" t="n">
        <v>41</v>
      </c>
      <c r="AX383" s="48" t="n">
        <v>152</v>
      </c>
      <c r="AY383" s="48" t="n">
        <v>47</v>
      </c>
      <c r="AZ383" s="48" t="n">
        <v>82</v>
      </c>
      <c r="BA383" s="48" t="n">
        <v>96</v>
      </c>
      <c r="BB383" s="48" t="n">
        <v>183</v>
      </c>
      <c r="BC383" s="48" t="n">
        <v>109</v>
      </c>
      <c r="BD383" s="48" t="n">
        <v>154</v>
      </c>
      <c r="BE383" s="48" t="n">
        <v>195</v>
      </c>
      <c r="BF383" s="48" t="n">
        <v>117</v>
      </c>
      <c r="BG383" s="49" t="n">
        <v>2.89</v>
      </c>
    </row>
    <row r="384" customFormat="false" ht="15" hidden="false" customHeight="false" outlineLevel="0" collapsed="false">
      <c r="A384" s="43" t="s">
        <v>1004</v>
      </c>
      <c r="B384" s="43" t="s">
        <v>1005</v>
      </c>
      <c r="C384" s="44" t="str">
        <f aca="false">IF(A384="","",IFERROR(INDEX(Assumptions!$B$41:$B$55,MATCH(TRUE(),INDEX(ISNUMBER(SEARCH(" "&amp;Assumptions!$A$41:$A$55&amp;" "," "&amp;SUBSTITUTE(SUBSTITUTE(SUBSTITUTE(SUBSTITUTE(B384,"-"," "),","," "),"/"," "),"."," ")&amp;" ")),0),0)),"Other"))</f>
        <v>Kitchen</v>
      </c>
      <c r="D384" s="45" t="n">
        <f aca="false">IF(A384="","",BG384*(1-Assumptions!$B$18))</f>
        <v>0.75</v>
      </c>
      <c r="E384" s="46" t="n">
        <f aca="false">IF(A384="","",INDEX(Assumptions!$B$23:$B$26,MOD(VALUE(LEFT(A384,5)),4)+1))</f>
        <v>8</v>
      </c>
      <c r="F384" s="47" t="n">
        <v>2731</v>
      </c>
      <c r="G384" s="48" t="n">
        <v>76</v>
      </c>
      <c r="H384" s="48" t="n">
        <v>99</v>
      </c>
      <c r="I384" s="48" t="n">
        <v>43</v>
      </c>
      <c r="J384" s="48" t="n">
        <v>0</v>
      </c>
      <c r="K384" s="48" t="n">
        <v>28</v>
      </c>
      <c r="L384" s="48" t="n">
        <v>30</v>
      </c>
      <c r="M384" s="48" t="n">
        <v>35</v>
      </c>
      <c r="N384" s="48" t="n">
        <v>0</v>
      </c>
      <c r="O384" s="48" t="n">
        <v>34</v>
      </c>
      <c r="P384" s="48" t="n">
        <v>37</v>
      </c>
      <c r="Q384" s="48" t="n">
        <v>172</v>
      </c>
      <c r="R384" s="48" t="n">
        <v>39</v>
      </c>
      <c r="S384" s="48" t="n">
        <v>31</v>
      </c>
      <c r="T384" s="48" t="n">
        <v>20</v>
      </c>
      <c r="U384" s="48" t="n">
        <v>61</v>
      </c>
      <c r="V384" s="48" t="n">
        <v>44</v>
      </c>
      <c r="W384" s="48" t="n">
        <v>13</v>
      </c>
      <c r="X384" s="48" t="n">
        <v>90</v>
      </c>
      <c r="Y384" s="48" t="n">
        <v>187</v>
      </c>
      <c r="Z384" s="48" t="n">
        <v>23</v>
      </c>
      <c r="AA384" s="48" t="n">
        <v>39</v>
      </c>
      <c r="AB384" s="48" t="n">
        <v>34</v>
      </c>
      <c r="AC384" s="48" t="n">
        <v>46</v>
      </c>
      <c r="AD384" s="48" t="n">
        <v>213</v>
      </c>
      <c r="AE384" s="48" t="n">
        <v>30</v>
      </c>
      <c r="AF384" s="48" t="n">
        <v>81</v>
      </c>
      <c r="AG384" s="48" t="n">
        <v>48</v>
      </c>
      <c r="AH384" s="48" t="n">
        <v>20</v>
      </c>
      <c r="AI384" s="48" t="n">
        <v>57</v>
      </c>
      <c r="AJ384" s="48" t="n">
        <v>669</v>
      </c>
      <c r="AK384" s="48" t="n">
        <v>32</v>
      </c>
      <c r="AL384" s="48" t="n">
        <v>25</v>
      </c>
      <c r="AM384" s="48" t="n">
        <v>157</v>
      </c>
      <c r="AN384" s="48" t="n">
        <v>37</v>
      </c>
      <c r="AO384" s="48" t="n">
        <v>66</v>
      </c>
      <c r="AP384" s="48" t="n">
        <v>22</v>
      </c>
      <c r="AQ384" s="48" t="n">
        <v>836</v>
      </c>
      <c r="AR384" s="48" t="n">
        <v>46</v>
      </c>
      <c r="AS384" s="48" t="n">
        <v>57</v>
      </c>
      <c r="AT384" s="48" t="n">
        <v>566</v>
      </c>
      <c r="AU384" s="48" t="n">
        <v>15</v>
      </c>
      <c r="AV384" s="48" t="n">
        <v>32</v>
      </c>
      <c r="AW384" s="48" t="n">
        <v>64</v>
      </c>
      <c r="AX384" s="48" t="n">
        <v>57</v>
      </c>
      <c r="AY384" s="48" t="n">
        <v>65</v>
      </c>
      <c r="AZ384" s="48" t="n">
        <v>53</v>
      </c>
      <c r="BA384" s="48" t="n">
        <v>39</v>
      </c>
      <c r="BB384" s="48" t="n">
        <v>472</v>
      </c>
      <c r="BC384" s="48" t="n">
        <v>62</v>
      </c>
      <c r="BD384" s="48" t="n">
        <v>85</v>
      </c>
      <c r="BE384" s="48" t="n">
        <v>65</v>
      </c>
      <c r="BF384" s="48" t="n">
        <v>108</v>
      </c>
      <c r="BG384" s="49" t="n">
        <v>1.25</v>
      </c>
    </row>
    <row r="385" customFormat="false" ht="15" hidden="false" customHeight="false" outlineLevel="0" collapsed="false">
      <c r="A385" s="43" t="s">
        <v>1006</v>
      </c>
      <c r="B385" s="43" t="s">
        <v>1007</v>
      </c>
      <c r="C385" s="44" t="str">
        <f aca="false">IF(A385="","",IFERROR(INDEX(Assumptions!$B$41:$B$55,MATCH(TRUE(),INDEX(ISNUMBER(SEARCH(" "&amp;Assumptions!$A$41:$A$55&amp;" "," "&amp;SUBSTITUTE(SUBSTITUTE(SUBSTITUTE(SUBSTITUTE(B385,"-"," "),","," "),"/"," "),"."," ")&amp;" ")),0),0)),"Other"))</f>
        <v>Kitchen</v>
      </c>
      <c r="D385" s="45" t="n">
        <f aca="false">IF(A385="","",BG385*(1-Assumptions!$B$18))</f>
        <v>1.17</v>
      </c>
      <c r="E385" s="46" t="n">
        <f aca="false">IF(A385="","",INDEX(Assumptions!$B$23:$B$26,MOD(VALUE(LEFT(A385,5)),4)+1))</f>
        <v>8</v>
      </c>
      <c r="F385" s="47" t="n">
        <v>367</v>
      </c>
      <c r="G385" s="48" t="n">
        <v>91</v>
      </c>
      <c r="H385" s="48" t="n">
        <v>70</v>
      </c>
      <c r="I385" s="48" t="n">
        <v>5</v>
      </c>
      <c r="J385" s="48" t="n">
        <v>0</v>
      </c>
      <c r="K385" s="48" t="n">
        <v>175</v>
      </c>
      <c r="L385" s="48" t="n">
        <v>0</v>
      </c>
      <c r="M385" s="48" t="n">
        <v>0</v>
      </c>
      <c r="N385" s="48" t="n">
        <v>0</v>
      </c>
      <c r="O385" s="48" t="n">
        <v>14</v>
      </c>
      <c r="P385" s="48" t="n">
        <v>6</v>
      </c>
      <c r="Q385" s="48" t="n">
        <v>71</v>
      </c>
      <c r="R385" s="48" t="n">
        <v>113</v>
      </c>
      <c r="S385" s="48" t="n">
        <v>37</v>
      </c>
      <c r="T385" s="48" t="n">
        <v>62</v>
      </c>
      <c r="U385" s="48" t="n">
        <v>78</v>
      </c>
      <c r="V385" s="48" t="n">
        <v>27</v>
      </c>
      <c r="W385" s="48" t="n">
        <v>45</v>
      </c>
      <c r="X385" s="48" t="n">
        <v>10</v>
      </c>
      <c r="Y385" s="48" t="n">
        <v>52</v>
      </c>
      <c r="Z385" s="48" t="n">
        <v>189</v>
      </c>
      <c r="AA385" s="48" t="n">
        <v>26</v>
      </c>
      <c r="AB385" s="48" t="n">
        <v>48</v>
      </c>
      <c r="AC385" s="48" t="n">
        <v>158</v>
      </c>
      <c r="AD385" s="48" t="n">
        <v>76</v>
      </c>
      <c r="AE385" s="48" t="n">
        <v>46</v>
      </c>
      <c r="AF385" s="48" t="n">
        <v>9</v>
      </c>
      <c r="AG385" s="48" t="n">
        <v>17</v>
      </c>
      <c r="AH385" s="48" t="n">
        <v>27</v>
      </c>
      <c r="AI385" s="48" t="n">
        <v>29</v>
      </c>
      <c r="AJ385" s="48" t="n">
        <v>47</v>
      </c>
      <c r="AK385" s="48" t="n">
        <v>67</v>
      </c>
      <c r="AL385" s="48" t="n">
        <v>58</v>
      </c>
      <c r="AM385" s="48" t="n">
        <v>27</v>
      </c>
      <c r="AN385" s="48" t="n">
        <v>11</v>
      </c>
      <c r="AO385" s="48" t="n">
        <v>51</v>
      </c>
      <c r="AP385" s="48" t="n">
        <v>94</v>
      </c>
      <c r="AQ385" s="48" t="n">
        <v>41</v>
      </c>
      <c r="AR385" s="48" t="n">
        <v>45</v>
      </c>
      <c r="AS385" s="48" t="n">
        <v>14</v>
      </c>
      <c r="AT385" s="48" t="n">
        <v>3</v>
      </c>
      <c r="AU385" s="48" t="n">
        <v>92</v>
      </c>
      <c r="AV385" s="48" t="n">
        <v>63</v>
      </c>
      <c r="AW385" s="48" t="n">
        <v>62</v>
      </c>
      <c r="AX385" s="48" t="n">
        <v>159</v>
      </c>
      <c r="AY385" s="48" t="n">
        <v>54</v>
      </c>
      <c r="AZ385" s="48" t="n">
        <v>36</v>
      </c>
      <c r="BA385" s="48" t="n">
        <v>41</v>
      </c>
      <c r="BB385" s="48" t="n">
        <v>73</v>
      </c>
      <c r="BC385" s="48" t="n">
        <v>188</v>
      </c>
      <c r="BD385" s="48" t="n">
        <v>195</v>
      </c>
      <c r="BE385" s="48" t="n">
        <v>177</v>
      </c>
      <c r="BF385" s="48" t="n">
        <v>102</v>
      </c>
      <c r="BG385" s="49" t="n">
        <v>1.95</v>
      </c>
    </row>
    <row r="386" customFormat="false" ht="15" hidden="false" customHeight="false" outlineLevel="0" collapsed="false">
      <c r="A386" s="43" t="s">
        <v>1008</v>
      </c>
      <c r="B386" s="43" t="s">
        <v>1009</v>
      </c>
      <c r="C386" s="44" t="str">
        <f aca="false">IF(A386="","",IFERROR(INDEX(Assumptions!$B$41:$B$55,MATCH(TRUE(),INDEX(ISNUMBER(SEARCH(" "&amp;Assumptions!$A$41:$A$55&amp;" "," "&amp;SUBSTITUTE(SUBSTITUTE(SUBSTITUTE(SUBSTITUTE(B386,"-"," "),","," "),"/"," "),"."," ")&amp;" ")),0),0)),"Other"))</f>
        <v>Kitchen</v>
      </c>
      <c r="D386" s="45" t="n">
        <f aca="false">IF(A386="","",BG386*(1-Assumptions!$B$18))</f>
        <v>0.33</v>
      </c>
      <c r="E386" s="46" t="n">
        <f aca="false">IF(A386="","",INDEX(Assumptions!$B$23:$B$26,MOD(VALUE(LEFT(A386,5)),4)+1))</f>
        <v>2</v>
      </c>
      <c r="F386" s="47" t="n">
        <v>2503</v>
      </c>
      <c r="G386" s="48" t="n">
        <v>147</v>
      </c>
      <c r="H386" s="48" t="n">
        <v>431</v>
      </c>
      <c r="I386" s="48" t="n">
        <v>723</v>
      </c>
      <c r="J386" s="48" t="n">
        <v>0</v>
      </c>
      <c r="K386" s="48" t="n">
        <v>237</v>
      </c>
      <c r="L386" s="48" t="n">
        <v>266</v>
      </c>
      <c r="M386" s="48" t="n">
        <v>408</v>
      </c>
      <c r="N386" s="48" t="n">
        <v>400</v>
      </c>
      <c r="O386" s="48" t="n">
        <v>374</v>
      </c>
      <c r="P386" s="48" t="n">
        <v>172</v>
      </c>
      <c r="Q386" s="48" t="n">
        <v>102</v>
      </c>
      <c r="R386" s="48" t="n">
        <v>345</v>
      </c>
      <c r="S386" s="48" t="n">
        <v>147</v>
      </c>
      <c r="T386" s="48" t="n">
        <v>369</v>
      </c>
      <c r="U386" s="48" t="n">
        <v>616</v>
      </c>
      <c r="V386" s="48" t="n">
        <v>63</v>
      </c>
      <c r="W386" s="48" t="n">
        <v>369</v>
      </c>
      <c r="X386" s="48" t="n">
        <v>128</v>
      </c>
      <c r="Y386" s="48" t="n">
        <v>79</v>
      </c>
      <c r="Z386" s="48" t="n">
        <v>562</v>
      </c>
      <c r="AA386" s="48" t="n">
        <v>43</v>
      </c>
      <c r="AB386" s="48" t="n">
        <v>207</v>
      </c>
      <c r="AC386" s="48" t="n">
        <v>231</v>
      </c>
      <c r="AD386" s="48" t="n">
        <v>88</v>
      </c>
      <c r="AE386" s="48" t="n">
        <v>87</v>
      </c>
      <c r="AF386" s="48" t="n">
        <v>28</v>
      </c>
      <c r="AG386" s="48" t="n">
        <v>114</v>
      </c>
      <c r="AH386" s="48" t="n">
        <v>193</v>
      </c>
      <c r="AI386" s="48" t="n">
        <v>90</v>
      </c>
      <c r="AJ386" s="48" t="n">
        <v>120</v>
      </c>
      <c r="AK386" s="48" t="n">
        <v>1537</v>
      </c>
      <c r="AL386" s="48" t="n">
        <v>55</v>
      </c>
      <c r="AM386" s="48" t="n">
        <v>205</v>
      </c>
      <c r="AN386" s="48" t="n">
        <v>108</v>
      </c>
      <c r="AO386" s="48" t="n">
        <v>273</v>
      </c>
      <c r="AP386" s="48" t="n">
        <v>107</v>
      </c>
      <c r="AQ386" s="48" t="n">
        <v>89</v>
      </c>
      <c r="AR386" s="48" t="n">
        <v>126</v>
      </c>
      <c r="AS386" s="48" t="n">
        <v>192</v>
      </c>
      <c r="AT386" s="48" t="n">
        <v>207</v>
      </c>
      <c r="AU386" s="48" t="n">
        <v>655</v>
      </c>
      <c r="AV386" s="48" t="n">
        <v>360</v>
      </c>
      <c r="AW386" s="48" t="n">
        <v>135</v>
      </c>
      <c r="AX386" s="48" t="n">
        <v>209</v>
      </c>
      <c r="AY386" s="48" t="n">
        <v>105</v>
      </c>
      <c r="AZ386" s="48" t="n">
        <v>228</v>
      </c>
      <c r="BA386" s="48" t="n">
        <v>275</v>
      </c>
      <c r="BB386" s="48" t="n">
        <v>90</v>
      </c>
      <c r="BC386" s="48" t="n">
        <v>135</v>
      </c>
      <c r="BD386" s="48" t="n">
        <v>472</v>
      </c>
      <c r="BE386" s="48" t="n">
        <v>106</v>
      </c>
      <c r="BF386" s="48" t="n">
        <v>209</v>
      </c>
      <c r="BG386" s="49" t="n">
        <v>0.55</v>
      </c>
    </row>
    <row r="387" customFormat="false" ht="15" hidden="false" customHeight="false" outlineLevel="0" collapsed="false">
      <c r="A387" s="43" t="s">
        <v>1010</v>
      </c>
      <c r="B387" s="43" t="s">
        <v>1011</v>
      </c>
      <c r="C387" s="44" t="str">
        <f aca="false">IF(A387="","",IFERROR(INDEX(Assumptions!$B$41:$B$55,MATCH(TRUE(),INDEX(ISNUMBER(SEARCH(" "&amp;Assumptions!$A$41:$A$55&amp;" "," "&amp;SUBSTITUTE(SUBSTITUTE(SUBSTITUTE(SUBSTITUTE(B387,"-"," "),","," "),"/"," "),"."," ")&amp;" ")),0),0)),"Other"))</f>
        <v>Other</v>
      </c>
      <c r="D387" s="45" t="n">
        <f aca="false">IF(A387="","",BG387*(1-Assumptions!$B$18))</f>
        <v>0.87</v>
      </c>
      <c r="E387" s="46" t="n">
        <f aca="false">IF(A387="","",INDEX(Assumptions!$B$23:$B$26,MOD(VALUE(LEFT(A387,5)),4)+1))</f>
        <v>8</v>
      </c>
      <c r="F387" s="47" t="n">
        <v>3890</v>
      </c>
      <c r="G387" s="48" t="n">
        <v>0</v>
      </c>
      <c r="H387" s="48" t="n">
        <v>0</v>
      </c>
      <c r="I387" s="48" t="n">
        <v>0</v>
      </c>
      <c r="J387" s="48" t="n">
        <v>0</v>
      </c>
      <c r="K387" s="48" t="n">
        <v>0</v>
      </c>
      <c r="L387" s="48" t="n">
        <v>0</v>
      </c>
      <c r="M387" s="48" t="n">
        <v>0</v>
      </c>
      <c r="N387" s="48" t="n">
        <v>0</v>
      </c>
      <c r="O387" s="48" t="n">
        <v>0</v>
      </c>
      <c r="P387" s="48" t="n">
        <v>0</v>
      </c>
      <c r="Q387" s="48" t="n">
        <v>0</v>
      </c>
      <c r="R387" s="48" t="n">
        <v>0</v>
      </c>
      <c r="S387" s="48" t="n">
        <v>77</v>
      </c>
      <c r="T387" s="48" t="n">
        <v>263</v>
      </c>
      <c r="U387" s="48" t="n">
        <v>178</v>
      </c>
      <c r="V387" s="48" t="n">
        <v>108</v>
      </c>
      <c r="W387" s="48" t="n">
        <v>262</v>
      </c>
      <c r="X387" s="48" t="n">
        <v>128</v>
      </c>
      <c r="Y387" s="48" t="n">
        <v>67</v>
      </c>
      <c r="Z387" s="48" t="n">
        <v>65</v>
      </c>
      <c r="AA387" s="48" t="n">
        <v>25</v>
      </c>
      <c r="AB387" s="48" t="n">
        <v>45</v>
      </c>
      <c r="AC387" s="48" t="n">
        <v>45</v>
      </c>
      <c r="AD387" s="48" t="n">
        <v>173</v>
      </c>
      <c r="AE387" s="48" t="n">
        <v>51</v>
      </c>
      <c r="AF387" s="48" t="n">
        <v>42</v>
      </c>
      <c r="AG387" s="48" t="n">
        <v>56</v>
      </c>
      <c r="AH387" s="48" t="n">
        <v>224</v>
      </c>
      <c r="AI387" s="48" t="n">
        <v>14</v>
      </c>
      <c r="AJ387" s="48" t="n">
        <v>27</v>
      </c>
      <c r="AK387" s="48" t="n">
        <v>30</v>
      </c>
      <c r="AL387" s="48" t="n">
        <v>47</v>
      </c>
      <c r="AM387" s="48" t="n">
        <v>41</v>
      </c>
      <c r="AN387" s="48" t="n">
        <v>92</v>
      </c>
      <c r="AO387" s="48" t="n">
        <v>145</v>
      </c>
      <c r="AP387" s="48" t="n">
        <v>64</v>
      </c>
      <c r="AQ387" s="48" t="n">
        <v>270</v>
      </c>
      <c r="AR387" s="48" t="n">
        <v>25</v>
      </c>
      <c r="AS387" s="48" t="n">
        <v>34</v>
      </c>
      <c r="AT387" s="48" t="n">
        <v>39</v>
      </c>
      <c r="AU387" s="48" t="n">
        <v>40</v>
      </c>
      <c r="AV387" s="48" t="n">
        <v>727</v>
      </c>
      <c r="AW387" s="48" t="n">
        <v>59</v>
      </c>
      <c r="AX387" s="48" t="n">
        <v>47</v>
      </c>
      <c r="AY387" s="48" t="n">
        <v>15</v>
      </c>
      <c r="AZ387" s="48" t="n">
        <v>74</v>
      </c>
      <c r="BA387" s="48" t="n">
        <v>52</v>
      </c>
      <c r="BB387" s="48" t="n">
        <v>69</v>
      </c>
      <c r="BC387" s="48" t="n">
        <v>51</v>
      </c>
      <c r="BD387" s="48" t="n">
        <v>88</v>
      </c>
      <c r="BE387" s="48" t="n">
        <v>74</v>
      </c>
      <c r="BF387" s="48" t="n">
        <v>113</v>
      </c>
      <c r="BG387" s="49" t="n">
        <v>1.45</v>
      </c>
    </row>
    <row r="388" customFormat="false" ht="15" hidden="false" customHeight="false" outlineLevel="0" collapsed="false">
      <c r="A388" s="43" t="s">
        <v>1012</v>
      </c>
      <c r="B388" s="43" t="s">
        <v>1013</v>
      </c>
      <c r="C388" s="44" t="str">
        <f aca="false">IF(A388="","",IFERROR(INDEX(Assumptions!$B$41:$B$55,MATCH(TRUE(),INDEX(ISNUMBER(SEARCH(" "&amp;Assumptions!$A$41:$A$55&amp;" "," "&amp;SUBSTITUTE(SUBSTITUTE(SUBSTITUTE(SUBSTITUTE(B388,"-"," "),","," "),"/"," "),"."," ")&amp;" ")),0),0)),"Other"))</f>
        <v>Other</v>
      </c>
      <c r="D388" s="45" t="n">
        <f aca="false">IF(A388="","",BG388*(1-Assumptions!$B$18))</f>
        <v>1.77</v>
      </c>
      <c r="E388" s="46" t="n">
        <f aca="false">IF(A388="","",INDEX(Assumptions!$B$23:$B$26,MOD(VALUE(LEFT(A388,5)),4)+1))</f>
        <v>2</v>
      </c>
      <c r="F388" s="47" t="n">
        <v>166</v>
      </c>
      <c r="G388" s="48" t="n">
        <v>34</v>
      </c>
      <c r="H388" s="48" t="n">
        <v>13</v>
      </c>
      <c r="I388" s="48" t="n">
        <v>20</v>
      </c>
      <c r="J388" s="48" t="n">
        <v>0</v>
      </c>
      <c r="K388" s="48" t="n">
        <v>10</v>
      </c>
      <c r="L388" s="48" t="n">
        <v>15</v>
      </c>
      <c r="M388" s="48" t="n">
        <v>51</v>
      </c>
      <c r="N388" s="48" t="n">
        <v>27</v>
      </c>
      <c r="O388" s="48" t="n">
        <v>27</v>
      </c>
      <c r="P388" s="48" t="n">
        <v>31</v>
      </c>
      <c r="Q388" s="48" t="n">
        <v>36</v>
      </c>
      <c r="R388" s="48" t="n">
        <v>22</v>
      </c>
      <c r="S388" s="48" t="n">
        <v>41</v>
      </c>
      <c r="T388" s="48" t="n">
        <v>55</v>
      </c>
      <c r="U388" s="48" t="n">
        <v>49</v>
      </c>
      <c r="V388" s="48" t="n">
        <v>24</v>
      </c>
      <c r="W388" s="48" t="n">
        <v>28</v>
      </c>
      <c r="X388" s="48" t="n">
        <v>92</v>
      </c>
      <c r="Y388" s="48" t="n">
        <v>37</v>
      </c>
      <c r="Z388" s="48" t="n">
        <v>26</v>
      </c>
      <c r="AA388" s="48" t="n">
        <v>1</v>
      </c>
      <c r="AB388" s="48" t="n">
        <v>214</v>
      </c>
      <c r="AC388" s="48" t="n">
        <v>32</v>
      </c>
      <c r="AD388" s="48" t="n">
        <v>74</v>
      </c>
      <c r="AE388" s="48" t="n">
        <v>22</v>
      </c>
      <c r="AF388" s="48" t="n">
        <v>23</v>
      </c>
      <c r="AG388" s="48" t="n">
        <v>62</v>
      </c>
      <c r="AH388" s="48" t="n">
        <v>13</v>
      </c>
      <c r="AI388" s="48" t="n">
        <v>46</v>
      </c>
      <c r="AJ388" s="48" t="n">
        <v>19</v>
      </c>
      <c r="AK388" s="48" t="n">
        <v>25</v>
      </c>
      <c r="AL388" s="48" t="n">
        <v>79</v>
      </c>
      <c r="AM388" s="48" t="n">
        <v>18</v>
      </c>
      <c r="AN388" s="48" t="n">
        <v>20</v>
      </c>
      <c r="AO388" s="48" t="n">
        <v>213</v>
      </c>
      <c r="AP388" s="48" t="n">
        <v>178</v>
      </c>
      <c r="AQ388" s="48" t="n">
        <v>10</v>
      </c>
      <c r="AR388" s="48" t="n">
        <v>30</v>
      </c>
      <c r="AS388" s="48" t="n">
        <v>23</v>
      </c>
      <c r="AT388" s="48" t="n">
        <v>21</v>
      </c>
      <c r="AU388" s="48" t="n">
        <v>23</v>
      </c>
      <c r="AV388" s="48" t="n">
        <v>28</v>
      </c>
      <c r="AW388" s="48" t="n">
        <v>4</v>
      </c>
      <c r="AX388" s="48" t="n">
        <v>166</v>
      </c>
      <c r="AY388" s="48" t="n">
        <v>13</v>
      </c>
      <c r="AZ388" s="48" t="n">
        <v>36</v>
      </c>
      <c r="BA388" s="48" t="n">
        <v>27</v>
      </c>
      <c r="BB388" s="48" t="n">
        <v>21</v>
      </c>
      <c r="BC388" s="48" t="n">
        <v>32</v>
      </c>
      <c r="BD388" s="48" t="n">
        <v>9</v>
      </c>
      <c r="BE388" s="48" t="n">
        <v>23</v>
      </c>
      <c r="BF388" s="48" t="n">
        <v>17</v>
      </c>
      <c r="BG388" s="49" t="n">
        <v>2.95</v>
      </c>
    </row>
    <row r="389" customFormat="false" ht="15" hidden="false" customHeight="false" outlineLevel="0" collapsed="false">
      <c r="A389" s="43" t="s">
        <v>1014</v>
      </c>
      <c r="B389" s="43" t="s">
        <v>1015</v>
      </c>
      <c r="C389" s="44" t="str">
        <f aca="false">IF(A389="","",IFERROR(INDEX(Assumptions!$B$41:$B$55,MATCH(TRUE(),INDEX(ISNUMBER(SEARCH(" "&amp;Assumptions!$A$41:$A$55&amp;" "," "&amp;SUBSTITUTE(SUBSTITUTE(SUBSTITUTE(SUBSTITUTE(B389,"-"," "),","," "),"/"," "),"."," ")&amp;" ")),0),0)),"Other"))</f>
        <v>Other</v>
      </c>
      <c r="D389" s="45" t="n">
        <f aca="false">IF(A389="","",BG389*(1-Assumptions!$B$18))</f>
        <v>4.77</v>
      </c>
      <c r="E389" s="46" t="n">
        <f aca="false">IF(A389="","",INDEX(Assumptions!$B$23:$B$26,MOD(VALUE(LEFT(A389,5)),4)+1))</f>
        <v>4</v>
      </c>
      <c r="F389" s="47" t="n">
        <v>185</v>
      </c>
      <c r="G389" s="48" t="n">
        <v>23</v>
      </c>
      <c r="H389" s="48" t="n">
        <v>25</v>
      </c>
      <c r="I389" s="48" t="n">
        <v>14</v>
      </c>
      <c r="J389" s="48" t="n">
        <v>0</v>
      </c>
      <c r="K389" s="48" t="n">
        <v>7</v>
      </c>
      <c r="L389" s="48" t="n">
        <v>8</v>
      </c>
      <c r="M389" s="48" t="n">
        <v>5</v>
      </c>
      <c r="N389" s="48" t="n">
        <v>38</v>
      </c>
      <c r="O389" s="48" t="n">
        <v>8</v>
      </c>
      <c r="P389" s="48" t="n">
        <v>9</v>
      </c>
      <c r="Q389" s="48" t="n">
        <v>5</v>
      </c>
      <c r="R389" s="48" t="n">
        <v>3</v>
      </c>
      <c r="S389" s="48" t="n">
        <v>11</v>
      </c>
      <c r="T389" s="48" t="n">
        <v>3</v>
      </c>
      <c r="U389" s="48" t="n">
        <v>9</v>
      </c>
      <c r="V389" s="48" t="n">
        <v>8</v>
      </c>
      <c r="W389" s="48" t="n">
        <v>10</v>
      </c>
      <c r="X389" s="48" t="n">
        <v>2</v>
      </c>
      <c r="Y389" s="48" t="n">
        <v>39</v>
      </c>
      <c r="Z389" s="48" t="n">
        <v>5</v>
      </c>
      <c r="AA389" s="48" t="n">
        <v>4</v>
      </c>
      <c r="AB389" s="48" t="n">
        <v>2</v>
      </c>
      <c r="AC389" s="48" t="n">
        <v>11</v>
      </c>
      <c r="AD389" s="48" t="n">
        <v>2</v>
      </c>
      <c r="AE389" s="48" t="n">
        <v>3</v>
      </c>
      <c r="AF389" s="48" t="n">
        <v>0</v>
      </c>
      <c r="AG389" s="48" t="n">
        <v>3</v>
      </c>
      <c r="AH389" s="48" t="n">
        <v>4</v>
      </c>
      <c r="AI389" s="48" t="n">
        <v>14</v>
      </c>
      <c r="AJ389" s="48" t="n">
        <v>1</v>
      </c>
      <c r="AK389" s="48" t="n">
        <v>6</v>
      </c>
      <c r="AL389" s="48" t="n">
        <v>7</v>
      </c>
      <c r="AM389" s="48" t="n">
        <v>96</v>
      </c>
      <c r="AN389" s="48" t="n">
        <v>5</v>
      </c>
      <c r="AO389" s="48" t="n">
        <v>8</v>
      </c>
      <c r="AP389" s="48" t="n">
        <v>8</v>
      </c>
      <c r="AQ389" s="48" t="n">
        <v>5</v>
      </c>
      <c r="AR389" s="48" t="n">
        <v>1</v>
      </c>
      <c r="AS389" s="48" t="n">
        <v>0</v>
      </c>
      <c r="AT389" s="48" t="n">
        <v>2</v>
      </c>
      <c r="AU389" s="48" t="n">
        <v>9</v>
      </c>
      <c r="AV389" s="48" t="n">
        <v>25</v>
      </c>
      <c r="AW389" s="48" t="n">
        <v>5</v>
      </c>
      <c r="AX389" s="48" t="n">
        <v>14</v>
      </c>
      <c r="AY389" s="48" t="n">
        <v>20</v>
      </c>
      <c r="AZ389" s="48" t="n">
        <v>5</v>
      </c>
      <c r="BA389" s="48" t="n">
        <v>12</v>
      </c>
      <c r="BB389" s="48" t="n">
        <v>21</v>
      </c>
      <c r="BC389" s="48" t="n">
        <v>19</v>
      </c>
      <c r="BD389" s="48" t="n">
        <v>16</v>
      </c>
      <c r="BE389" s="48" t="n">
        <v>38</v>
      </c>
      <c r="BF389" s="48" t="n">
        <v>42</v>
      </c>
      <c r="BG389" s="49" t="n">
        <v>7.95</v>
      </c>
    </row>
    <row r="390" customFormat="false" ht="15" hidden="false" customHeight="false" outlineLevel="0" collapsed="false">
      <c r="A390" s="43" t="s">
        <v>1016</v>
      </c>
      <c r="B390" s="43" t="s">
        <v>1017</v>
      </c>
      <c r="C390" s="44" t="str">
        <f aca="false">IF(A390="","",IFERROR(INDEX(Assumptions!$B$41:$B$55,MATCH(TRUE(),INDEX(ISNUMBER(SEARCH(" "&amp;Assumptions!$A$41:$A$55&amp;" "," "&amp;SUBSTITUTE(SUBSTITUTE(SUBSTITUTE(SUBSTITUTE(B390,"-"," "),","," "),"/"," "),"."," ")&amp;" ")),0),0)),"Other"))</f>
        <v>Other</v>
      </c>
      <c r="D390" s="45" t="n">
        <f aca="false">IF(A390="","",BG390*(1-Assumptions!$B$18))</f>
        <v>2.25</v>
      </c>
      <c r="E390" s="46" t="n">
        <f aca="false">IF(A390="","",INDEX(Assumptions!$B$23:$B$26,MOD(VALUE(LEFT(A390,5)),4)+1))</f>
        <v>4</v>
      </c>
      <c r="F390" s="47" t="n">
        <v>949</v>
      </c>
      <c r="G390" s="48" t="n">
        <v>89</v>
      </c>
      <c r="H390" s="48" t="n">
        <v>100</v>
      </c>
      <c r="I390" s="48" t="n">
        <v>29</v>
      </c>
      <c r="J390" s="48" t="n">
        <v>0</v>
      </c>
      <c r="K390" s="48" t="n">
        <v>2</v>
      </c>
      <c r="L390" s="48" t="n">
        <v>1</v>
      </c>
      <c r="M390" s="48" t="n">
        <v>5</v>
      </c>
      <c r="N390" s="48" t="n">
        <v>20</v>
      </c>
      <c r="O390" s="48" t="n">
        <v>4</v>
      </c>
      <c r="P390" s="48" t="n">
        <v>2</v>
      </c>
      <c r="Q390" s="48" t="n">
        <v>77</v>
      </c>
      <c r="R390" s="48" t="n">
        <v>5</v>
      </c>
      <c r="S390" s="48" t="n">
        <v>1</v>
      </c>
      <c r="T390" s="48" t="n">
        <v>10</v>
      </c>
      <c r="U390" s="48" t="n">
        <v>5</v>
      </c>
      <c r="V390" s="48" t="n">
        <v>9</v>
      </c>
      <c r="W390" s="48" t="n">
        <v>7</v>
      </c>
      <c r="X390" s="48" t="n">
        <v>2</v>
      </c>
      <c r="Y390" s="48" t="n">
        <v>25</v>
      </c>
      <c r="Z390" s="48" t="n">
        <v>1</v>
      </c>
      <c r="AA390" s="48" t="n">
        <v>33</v>
      </c>
      <c r="AB390" s="48" t="n">
        <v>11</v>
      </c>
      <c r="AC390" s="48" t="n">
        <v>24</v>
      </c>
      <c r="AD390" s="48" t="n">
        <v>162</v>
      </c>
      <c r="AE390" s="48" t="n">
        <v>121</v>
      </c>
      <c r="AF390" s="48" t="n">
        <v>17</v>
      </c>
      <c r="AG390" s="48" t="n">
        <v>7</v>
      </c>
      <c r="AH390" s="48" t="n">
        <v>3</v>
      </c>
      <c r="AI390" s="48" t="n">
        <v>39</v>
      </c>
      <c r="AJ390" s="48" t="n">
        <v>1</v>
      </c>
      <c r="AK390" s="48" t="n">
        <v>5</v>
      </c>
      <c r="AL390" s="48" t="n">
        <v>4</v>
      </c>
      <c r="AM390" s="48" t="n">
        <v>42</v>
      </c>
      <c r="AN390" s="48" t="n">
        <v>5</v>
      </c>
      <c r="AO390" s="48" t="n">
        <v>23</v>
      </c>
      <c r="AP390" s="48" t="n">
        <v>8</v>
      </c>
      <c r="AQ390" s="48" t="n">
        <v>0</v>
      </c>
      <c r="AR390" s="48" t="n">
        <v>1</v>
      </c>
      <c r="AS390" s="48" t="n">
        <v>14</v>
      </c>
      <c r="AT390" s="48" t="n">
        <v>2</v>
      </c>
      <c r="AU390" s="48" t="n">
        <v>28</v>
      </c>
      <c r="AV390" s="48" t="n">
        <v>11</v>
      </c>
      <c r="AW390" s="48" t="n">
        <v>81</v>
      </c>
      <c r="AX390" s="48" t="n">
        <v>38</v>
      </c>
      <c r="AY390" s="48" t="n">
        <v>27</v>
      </c>
      <c r="AZ390" s="48" t="n">
        <v>54</v>
      </c>
      <c r="BA390" s="48" t="n">
        <v>30</v>
      </c>
      <c r="BB390" s="48" t="n">
        <v>55</v>
      </c>
      <c r="BC390" s="48" t="n">
        <v>36</v>
      </c>
      <c r="BD390" s="48" t="n">
        <v>40</v>
      </c>
      <c r="BE390" s="48" t="n">
        <v>88</v>
      </c>
      <c r="BF390" s="48" t="n">
        <v>92</v>
      </c>
      <c r="BG390" s="49" t="n">
        <v>3.75</v>
      </c>
    </row>
    <row r="391" customFormat="false" ht="15" hidden="false" customHeight="false" outlineLevel="0" collapsed="false">
      <c r="A391" s="43" t="s">
        <v>1018</v>
      </c>
      <c r="B391" s="43" t="s">
        <v>1019</v>
      </c>
      <c r="C391" s="44" t="str">
        <f aca="false">IF(A391="","",IFERROR(INDEX(Assumptions!$B$41:$B$55,MATCH(TRUE(),INDEX(ISNUMBER(SEARCH(" "&amp;Assumptions!$A$41:$A$55&amp;" "," "&amp;SUBSTITUTE(SUBSTITUTE(SUBSTITUTE(SUBSTITUTE(B391,"-"," "),","," "),"/"," "),"."," ")&amp;" ")),0),0)),"Other"))</f>
        <v>Other</v>
      </c>
      <c r="D391" s="45" t="n">
        <f aca="false">IF(A391="","",BG391*(1-Assumptions!$B$18))</f>
        <v>0.75</v>
      </c>
      <c r="E391" s="46" t="n">
        <f aca="false">IF(A391="","",INDEX(Assumptions!$B$23:$B$26,MOD(VALUE(LEFT(A391,5)),4)+1))</f>
        <v>2</v>
      </c>
      <c r="F391" s="47" t="n">
        <v>664</v>
      </c>
      <c r="G391" s="48" t="n">
        <v>56</v>
      </c>
      <c r="H391" s="48" t="n">
        <v>18</v>
      </c>
      <c r="I391" s="48" t="n">
        <v>10</v>
      </c>
      <c r="J391" s="48" t="n">
        <v>0</v>
      </c>
      <c r="K391" s="48" t="n">
        <v>193</v>
      </c>
      <c r="L391" s="48" t="n">
        <v>362</v>
      </c>
      <c r="M391" s="48" t="n">
        <v>54</v>
      </c>
      <c r="N391" s="48" t="n">
        <v>139</v>
      </c>
      <c r="O391" s="48" t="n">
        <v>106</v>
      </c>
      <c r="P391" s="48" t="n">
        <v>136</v>
      </c>
      <c r="Q391" s="48" t="n">
        <v>134</v>
      </c>
      <c r="R391" s="48" t="n">
        <v>77</v>
      </c>
      <c r="S391" s="48" t="n">
        <v>289</v>
      </c>
      <c r="T391" s="48" t="n">
        <v>137</v>
      </c>
      <c r="U391" s="48" t="n">
        <v>123</v>
      </c>
      <c r="V391" s="48" t="n">
        <v>55</v>
      </c>
      <c r="W391" s="48" t="n">
        <v>124</v>
      </c>
      <c r="X391" s="48" t="n">
        <v>90</v>
      </c>
      <c r="Y391" s="48" t="n">
        <v>87</v>
      </c>
      <c r="Z391" s="48" t="n">
        <v>78</v>
      </c>
      <c r="AA391" s="48" t="n">
        <v>40</v>
      </c>
      <c r="AB391" s="48" t="n">
        <v>25</v>
      </c>
      <c r="AC391" s="48" t="n">
        <v>157</v>
      </c>
      <c r="AD391" s="48" t="n">
        <v>72</v>
      </c>
      <c r="AE391" s="48" t="n">
        <v>27</v>
      </c>
      <c r="AF391" s="48" t="n">
        <v>141</v>
      </c>
      <c r="AG391" s="48" t="n">
        <v>141</v>
      </c>
      <c r="AH391" s="48" t="n">
        <v>99</v>
      </c>
      <c r="AI391" s="48" t="n">
        <v>67</v>
      </c>
      <c r="AJ391" s="48" t="n">
        <v>86</v>
      </c>
      <c r="AK391" s="48" t="n">
        <v>189</v>
      </c>
      <c r="AL391" s="48" t="n">
        <v>57</v>
      </c>
      <c r="AM391" s="48" t="n">
        <v>120</v>
      </c>
      <c r="AN391" s="48" t="n">
        <v>14</v>
      </c>
      <c r="AO391" s="48" t="n">
        <v>105</v>
      </c>
      <c r="AP391" s="48" t="n">
        <v>113</v>
      </c>
      <c r="AQ391" s="48" t="n">
        <v>60</v>
      </c>
      <c r="AR391" s="48" t="n">
        <v>181</v>
      </c>
      <c r="AS391" s="48" t="n">
        <v>41</v>
      </c>
      <c r="AT391" s="48" t="n">
        <v>25</v>
      </c>
      <c r="AU391" s="48" t="n">
        <v>15</v>
      </c>
      <c r="AV391" s="48" t="n">
        <v>113</v>
      </c>
      <c r="AW391" s="48" t="n">
        <v>43</v>
      </c>
      <c r="AX391" s="48" t="n">
        <v>32</v>
      </c>
      <c r="AY391" s="48" t="n">
        <v>34</v>
      </c>
      <c r="AZ391" s="48" t="n">
        <v>77</v>
      </c>
      <c r="BA391" s="48" t="n">
        <v>76</v>
      </c>
      <c r="BB391" s="48" t="n">
        <v>106</v>
      </c>
      <c r="BC391" s="48" t="n">
        <v>136</v>
      </c>
      <c r="BD391" s="48" t="n">
        <v>133</v>
      </c>
      <c r="BE391" s="48" t="n">
        <v>71</v>
      </c>
      <c r="BF391" s="48" t="n">
        <v>68</v>
      </c>
      <c r="BG391" s="49" t="n">
        <v>1.25</v>
      </c>
    </row>
    <row r="392" customFormat="false" ht="15" hidden="false" customHeight="false" outlineLevel="0" collapsed="false">
      <c r="A392" s="43" t="s">
        <v>1020</v>
      </c>
      <c r="B392" s="43" t="s">
        <v>1021</v>
      </c>
      <c r="C392" s="44" t="str">
        <f aca="false">IF(A392="","",IFERROR(INDEX(Assumptions!$B$41:$B$55,MATCH(TRUE(),INDEX(ISNUMBER(SEARCH(" "&amp;Assumptions!$A$41:$A$55&amp;" "," "&amp;SUBSTITUTE(SUBSTITUTE(SUBSTITUTE(SUBSTITUTE(B392,"-"," "),","," "),"/"," "),"."," ")&amp;" ")),0),0)),"Other"))</f>
        <v>Other</v>
      </c>
      <c r="D392" s="45" t="n">
        <f aca="false">IF(A392="","",BG392*(1-Assumptions!$B$18))</f>
        <v>0.99</v>
      </c>
      <c r="E392" s="46" t="n">
        <f aca="false">IF(A392="","",INDEX(Assumptions!$B$23:$B$26,MOD(VALUE(LEFT(A392,5)),4)+1))</f>
        <v>8</v>
      </c>
      <c r="F392" s="47" t="n">
        <v>1438</v>
      </c>
      <c r="G392" s="48" t="n">
        <v>0</v>
      </c>
      <c r="H392" s="48" t="n">
        <v>0</v>
      </c>
      <c r="I392" s="48" t="n">
        <v>0</v>
      </c>
      <c r="J392" s="48" t="n">
        <v>0</v>
      </c>
      <c r="K392" s="48" t="n">
        <v>0</v>
      </c>
      <c r="L392" s="48" t="n">
        <v>0</v>
      </c>
      <c r="M392" s="48" t="n">
        <v>0</v>
      </c>
      <c r="N392" s="48" t="n">
        <v>0</v>
      </c>
      <c r="O392" s="48" t="n">
        <v>0</v>
      </c>
      <c r="P392" s="48" t="n">
        <v>0</v>
      </c>
      <c r="Q392" s="48" t="n">
        <v>0</v>
      </c>
      <c r="R392" s="48" t="n">
        <v>0</v>
      </c>
      <c r="S392" s="48" t="n">
        <v>0</v>
      </c>
      <c r="T392" s="48" t="n">
        <v>0</v>
      </c>
      <c r="U392" s="48" t="n">
        <v>0</v>
      </c>
      <c r="V392" s="48" t="n">
        <v>0</v>
      </c>
      <c r="W392" s="48" t="n">
        <v>0</v>
      </c>
      <c r="X392" s="48" t="n">
        <v>0</v>
      </c>
      <c r="Y392" s="48" t="n">
        <v>0</v>
      </c>
      <c r="Z392" s="48" t="n">
        <v>0</v>
      </c>
      <c r="AA392" s="48" t="n">
        <v>0</v>
      </c>
      <c r="AB392" s="48" t="n">
        <v>0</v>
      </c>
      <c r="AC392" s="48" t="n">
        <v>0</v>
      </c>
      <c r="AD392" s="48" t="n">
        <v>0</v>
      </c>
      <c r="AE392" s="48" t="n">
        <v>0</v>
      </c>
      <c r="AF392" s="48" t="n">
        <v>0</v>
      </c>
      <c r="AG392" s="48" t="n">
        <v>0</v>
      </c>
      <c r="AH392" s="48" t="n">
        <v>0</v>
      </c>
      <c r="AI392" s="48" t="n">
        <v>0</v>
      </c>
      <c r="AJ392" s="48" t="n">
        <v>0</v>
      </c>
      <c r="AK392" s="48" t="n">
        <v>0</v>
      </c>
      <c r="AL392" s="48" t="n">
        <v>0</v>
      </c>
      <c r="AM392" s="48" t="n">
        <v>0</v>
      </c>
      <c r="AN392" s="48" t="n">
        <v>0</v>
      </c>
      <c r="AO392" s="48" t="n">
        <v>0</v>
      </c>
      <c r="AP392" s="48" t="n">
        <v>0</v>
      </c>
      <c r="AQ392" s="48" t="n">
        <v>0</v>
      </c>
      <c r="AR392" s="48" t="n">
        <v>0</v>
      </c>
      <c r="AS392" s="48" t="n">
        <v>0</v>
      </c>
      <c r="AT392" s="48" t="n">
        <v>0</v>
      </c>
      <c r="AU392" s="48" t="n">
        <v>0</v>
      </c>
      <c r="AV392" s="48" t="n">
        <v>0</v>
      </c>
      <c r="AW392" s="48" t="n">
        <v>0</v>
      </c>
      <c r="AX392" s="48" t="n">
        <v>0</v>
      </c>
      <c r="AY392" s="48" t="n">
        <v>0</v>
      </c>
      <c r="AZ392" s="48" t="n">
        <v>13</v>
      </c>
      <c r="BA392" s="48" t="n">
        <v>325</v>
      </c>
      <c r="BB392" s="48" t="n">
        <v>320</v>
      </c>
      <c r="BC392" s="48" t="n">
        <v>710</v>
      </c>
      <c r="BD392" s="48" t="n">
        <v>863</v>
      </c>
      <c r="BE392" s="48" t="n">
        <v>232</v>
      </c>
      <c r="BF392" s="48" t="n">
        <v>307</v>
      </c>
      <c r="BG392" s="49" t="n">
        <v>1.65</v>
      </c>
    </row>
    <row r="393" customFormat="false" ht="15" hidden="false" customHeight="false" outlineLevel="0" collapsed="false">
      <c r="A393" s="43" t="s">
        <v>1022</v>
      </c>
      <c r="B393" s="43" t="s">
        <v>1023</v>
      </c>
      <c r="C393" s="44" t="str">
        <f aca="false">IF(A393="","",IFERROR(INDEX(Assumptions!$B$41:$B$55,MATCH(TRUE(),INDEX(ISNUMBER(SEARCH(" "&amp;Assumptions!$A$41:$A$55&amp;" "," "&amp;SUBSTITUTE(SUBSTITUTE(SUBSTITUTE(SUBSTITUTE(B393,"-"," "),","," "),"/"," "),"."," ")&amp;" ")),0),0)),"Other"))</f>
        <v>Other</v>
      </c>
      <c r="D393" s="45" t="n">
        <f aca="false">IF(A393="","",BG393*(1-Assumptions!$B$18))</f>
        <v>2.25</v>
      </c>
      <c r="E393" s="46" t="n">
        <f aca="false">IF(A393="","",INDEX(Assumptions!$B$23:$B$26,MOD(VALUE(LEFT(A393,5)),4)+1))</f>
        <v>4</v>
      </c>
      <c r="F393" s="47" t="n">
        <v>398</v>
      </c>
      <c r="G393" s="48" t="n">
        <v>0</v>
      </c>
      <c r="H393" s="48" t="n">
        <v>0</v>
      </c>
      <c r="I393" s="48" t="n">
        <v>0</v>
      </c>
      <c r="J393" s="48" t="n">
        <v>0</v>
      </c>
      <c r="K393" s="48" t="n">
        <v>0</v>
      </c>
      <c r="L393" s="48" t="n">
        <v>0</v>
      </c>
      <c r="M393" s="48" t="n">
        <v>0</v>
      </c>
      <c r="N393" s="48" t="n">
        <v>0</v>
      </c>
      <c r="O393" s="48" t="n">
        <v>0</v>
      </c>
      <c r="P393" s="48" t="n">
        <v>0</v>
      </c>
      <c r="Q393" s="48" t="n">
        <v>0</v>
      </c>
      <c r="R393" s="48" t="n">
        <v>0</v>
      </c>
      <c r="S393" s="48" t="n">
        <v>0</v>
      </c>
      <c r="T393" s="48" t="n">
        <v>0</v>
      </c>
      <c r="U393" s="48" t="n">
        <v>0</v>
      </c>
      <c r="V393" s="48" t="n">
        <v>0</v>
      </c>
      <c r="W393" s="48" t="n">
        <v>0</v>
      </c>
      <c r="X393" s="48" t="n">
        <v>0</v>
      </c>
      <c r="Y393" s="48" t="n">
        <v>0</v>
      </c>
      <c r="Z393" s="48" t="n">
        <v>0</v>
      </c>
      <c r="AA393" s="48" t="n">
        <v>0</v>
      </c>
      <c r="AB393" s="48" t="n">
        <v>0</v>
      </c>
      <c r="AC393" s="48" t="n">
        <v>0</v>
      </c>
      <c r="AD393" s="48" t="n">
        <v>0</v>
      </c>
      <c r="AE393" s="48" t="n">
        <v>0</v>
      </c>
      <c r="AF393" s="48" t="n">
        <v>0</v>
      </c>
      <c r="AG393" s="48" t="n">
        <v>0</v>
      </c>
      <c r="AH393" s="48" t="n">
        <v>240</v>
      </c>
      <c r="AI393" s="48" t="n">
        <v>106</v>
      </c>
      <c r="AJ393" s="48" t="n">
        <v>48</v>
      </c>
      <c r="AK393" s="48" t="n">
        <v>31</v>
      </c>
      <c r="AL393" s="48" t="n">
        <v>14</v>
      </c>
      <c r="AM393" s="48" t="n">
        <v>20</v>
      </c>
      <c r="AN393" s="48" t="n">
        <v>124</v>
      </c>
      <c r="AO393" s="48" t="n">
        <v>52</v>
      </c>
      <c r="AP393" s="48" t="n">
        <v>9</v>
      </c>
      <c r="AQ393" s="48" t="n">
        <v>41</v>
      </c>
      <c r="AR393" s="48" t="n">
        <v>19</v>
      </c>
      <c r="AS393" s="48" t="n">
        <v>4</v>
      </c>
      <c r="AT393" s="48" t="n">
        <v>115</v>
      </c>
      <c r="AU393" s="48" t="n">
        <v>30</v>
      </c>
      <c r="AV393" s="48" t="n">
        <v>64</v>
      </c>
      <c r="AW393" s="48" t="n">
        <v>81</v>
      </c>
      <c r="AX393" s="48" t="n">
        <v>104</v>
      </c>
      <c r="AY393" s="48" t="n">
        <v>39</v>
      </c>
      <c r="AZ393" s="48" t="n">
        <v>62</v>
      </c>
      <c r="BA393" s="48" t="n">
        <v>45</v>
      </c>
      <c r="BB393" s="48" t="n">
        <v>94</v>
      </c>
      <c r="BC393" s="48" t="n">
        <v>181</v>
      </c>
      <c r="BD393" s="48" t="n">
        <v>36</v>
      </c>
      <c r="BE393" s="48" t="n">
        <v>113</v>
      </c>
      <c r="BF393" s="48" t="n">
        <v>54</v>
      </c>
      <c r="BG393" s="49" t="n">
        <v>3.75</v>
      </c>
    </row>
    <row r="394" customFormat="false" ht="15" hidden="false" customHeight="false" outlineLevel="0" collapsed="false">
      <c r="A394" s="43" t="s">
        <v>1024</v>
      </c>
      <c r="B394" s="43" t="s">
        <v>1025</v>
      </c>
      <c r="C394" s="44" t="str">
        <f aca="false">IF(A394="","",IFERROR(INDEX(Assumptions!$B$41:$B$55,MATCH(TRUE(),INDEX(ISNUMBER(SEARCH(" "&amp;Assumptions!$A$41:$A$55&amp;" "," "&amp;SUBSTITUTE(SUBSTITUTE(SUBSTITUTE(SUBSTITUTE(B394,"-"," "),","," "),"/"," "),"."," ")&amp;" ")),0),0)),"Other"))</f>
        <v>Other</v>
      </c>
      <c r="D394" s="45" t="n">
        <f aca="false">IF(A394="","",BG394*(1-Assumptions!$B$18))</f>
        <v>51</v>
      </c>
      <c r="E394" s="46" t="n">
        <f aca="false">IF(A394="","",INDEX(Assumptions!$B$23:$B$26,MOD(VALUE(LEFT(A394,5)),4)+1))</f>
        <v>6</v>
      </c>
      <c r="F394" s="47" t="n">
        <v>2</v>
      </c>
      <c r="G394" s="48" t="n">
        <v>2</v>
      </c>
      <c r="H394" s="48" t="n">
        <v>0</v>
      </c>
      <c r="I394" s="48" t="n">
        <v>0</v>
      </c>
      <c r="J394" s="48" t="n">
        <v>0</v>
      </c>
      <c r="K394" s="48" t="n">
        <v>0</v>
      </c>
      <c r="L394" s="48" t="n">
        <v>0</v>
      </c>
      <c r="M394" s="48" t="n">
        <v>0</v>
      </c>
      <c r="N394" s="48" t="n">
        <v>0</v>
      </c>
      <c r="O394" s="48" t="n">
        <v>0</v>
      </c>
      <c r="P394" s="48" t="n">
        <v>0</v>
      </c>
      <c r="Q394" s="48" t="n">
        <v>0</v>
      </c>
      <c r="R394" s="48" t="n">
        <v>0</v>
      </c>
      <c r="S394" s="48" t="n">
        <v>1</v>
      </c>
      <c r="T394" s="48" t="n">
        <v>2</v>
      </c>
      <c r="U394" s="48" t="n">
        <v>0</v>
      </c>
      <c r="V394" s="48" t="n">
        <v>0</v>
      </c>
      <c r="W394" s="48" t="n">
        <v>0</v>
      </c>
      <c r="X394" s="48" t="n">
        <v>0</v>
      </c>
      <c r="Y394" s="48" t="n">
        <v>2</v>
      </c>
      <c r="Z394" s="48" t="n">
        <v>1</v>
      </c>
      <c r="AA394" s="48" t="n">
        <v>0</v>
      </c>
      <c r="AB394" s="48" t="n">
        <v>0</v>
      </c>
      <c r="AC394" s="48" t="n">
        <v>2</v>
      </c>
      <c r="AD394" s="48" t="n">
        <v>1</v>
      </c>
      <c r="AE394" s="48" t="n">
        <v>0</v>
      </c>
      <c r="AF394" s="48" t="n">
        <v>0</v>
      </c>
      <c r="AG394" s="48" t="n">
        <v>1</v>
      </c>
      <c r="AH394" s="48" t="n">
        <v>0</v>
      </c>
      <c r="AI394" s="48" t="n">
        <v>0</v>
      </c>
      <c r="AJ394" s="48" t="n">
        <v>0</v>
      </c>
      <c r="AK394" s="48" t="n">
        <v>2</v>
      </c>
      <c r="AL394" s="48" t="n">
        <v>3</v>
      </c>
      <c r="AM394" s="48" t="n">
        <v>2</v>
      </c>
      <c r="AN394" s="48" t="n">
        <v>0</v>
      </c>
      <c r="AO394" s="48" t="n">
        <v>2</v>
      </c>
      <c r="AP394" s="48" t="n">
        <v>2</v>
      </c>
      <c r="AQ394" s="48" t="n">
        <v>0</v>
      </c>
      <c r="AR394" s="48" t="n">
        <v>3</v>
      </c>
      <c r="AS394" s="48" t="n">
        <v>0</v>
      </c>
      <c r="AT394" s="48" t="n">
        <v>1</v>
      </c>
      <c r="AU394" s="48" t="n">
        <v>7</v>
      </c>
      <c r="AV394" s="48" t="n">
        <v>3</v>
      </c>
      <c r="AW394" s="48" t="n">
        <v>1</v>
      </c>
      <c r="AX394" s="48" t="n">
        <v>1</v>
      </c>
      <c r="AY394" s="48" t="n">
        <v>3</v>
      </c>
      <c r="AZ394" s="48" t="n">
        <v>0</v>
      </c>
      <c r="BA394" s="48" t="n">
        <v>0</v>
      </c>
      <c r="BB394" s="48" t="n">
        <v>1</v>
      </c>
      <c r="BC394" s="48" t="n">
        <v>4</v>
      </c>
      <c r="BD394" s="48" t="n">
        <v>4</v>
      </c>
      <c r="BE394" s="48" t="n">
        <v>7</v>
      </c>
      <c r="BF394" s="48" t="n">
        <v>0</v>
      </c>
      <c r="BG394" s="49" t="n">
        <v>85</v>
      </c>
    </row>
    <row r="395" customFormat="false" ht="15" hidden="false" customHeight="false" outlineLevel="0" collapsed="false">
      <c r="A395" s="43" t="s">
        <v>1026</v>
      </c>
      <c r="B395" s="43" t="s">
        <v>1027</v>
      </c>
      <c r="C395" s="44" t="str">
        <f aca="false">IF(A395="","",IFERROR(INDEX(Assumptions!$B$41:$B$55,MATCH(TRUE(),INDEX(ISNUMBER(SEARCH(" "&amp;Assumptions!$A$41:$A$55&amp;" "," "&amp;SUBSTITUTE(SUBSTITUTE(SUBSTITUTE(SUBSTITUTE(B395,"-"," "),","," "),"/"," "),"."," ")&amp;" ")),0),0)),"Other"))</f>
        <v>Other</v>
      </c>
      <c r="D395" s="45" t="n">
        <f aca="false">IF(A395="","",BG395*(1-Assumptions!$B$18))</f>
        <v>0.252</v>
      </c>
      <c r="E395" s="46" t="n">
        <f aca="false">IF(A395="","",INDEX(Assumptions!$B$23:$B$26,MOD(VALUE(LEFT(A395,5)),4)+1))</f>
        <v>8</v>
      </c>
      <c r="F395" s="47" t="n">
        <v>4283</v>
      </c>
      <c r="G395" s="48" t="n">
        <v>103</v>
      </c>
      <c r="H395" s="48" t="n">
        <v>222</v>
      </c>
      <c r="I395" s="48" t="n">
        <v>1</v>
      </c>
      <c r="J395" s="48" t="n">
        <v>0</v>
      </c>
      <c r="K395" s="48" t="n">
        <v>171</v>
      </c>
      <c r="L395" s="48" t="n">
        <v>184</v>
      </c>
      <c r="M395" s="48" t="n">
        <v>218</v>
      </c>
      <c r="N395" s="48" t="n">
        <v>24</v>
      </c>
      <c r="O395" s="48" t="n">
        <v>776</v>
      </c>
      <c r="P395" s="48" t="n">
        <v>63</v>
      </c>
      <c r="Q395" s="48" t="n">
        <v>168</v>
      </c>
      <c r="R395" s="48" t="n">
        <v>292</v>
      </c>
      <c r="S395" s="48" t="n">
        <v>39</v>
      </c>
      <c r="T395" s="48" t="n">
        <v>230</v>
      </c>
      <c r="U395" s="48" t="n">
        <v>154</v>
      </c>
      <c r="V395" s="48" t="n">
        <v>112</v>
      </c>
      <c r="W395" s="48" t="n">
        <v>898</v>
      </c>
      <c r="X395" s="48" t="n">
        <v>468</v>
      </c>
      <c r="Y395" s="48" t="n">
        <v>489</v>
      </c>
      <c r="Z395" s="48" t="n">
        <v>105</v>
      </c>
      <c r="AA395" s="48" t="n">
        <v>394</v>
      </c>
      <c r="AB395" s="48" t="n">
        <v>575</v>
      </c>
      <c r="AC395" s="48" t="n">
        <v>610</v>
      </c>
      <c r="AD395" s="48" t="n">
        <v>320</v>
      </c>
      <c r="AE395" s="48" t="n">
        <v>680</v>
      </c>
      <c r="AF395" s="48" t="n">
        <v>173</v>
      </c>
      <c r="AG395" s="48" t="n">
        <v>585</v>
      </c>
      <c r="AH395" s="48" t="n">
        <v>462</v>
      </c>
      <c r="AI395" s="48" t="n">
        <v>174</v>
      </c>
      <c r="AJ395" s="48" t="n">
        <v>61</v>
      </c>
      <c r="AK395" s="48" t="n">
        <v>54</v>
      </c>
      <c r="AL395" s="48" t="n">
        <v>666</v>
      </c>
      <c r="AM395" s="48" t="n">
        <v>527</v>
      </c>
      <c r="AN395" s="48" t="n">
        <v>699</v>
      </c>
      <c r="AO395" s="48" t="n">
        <v>936</v>
      </c>
      <c r="AP395" s="48" t="n">
        <v>60</v>
      </c>
      <c r="AQ395" s="48" t="n">
        <v>507</v>
      </c>
      <c r="AR395" s="48" t="n">
        <v>96</v>
      </c>
      <c r="AS395" s="48" t="n">
        <v>106</v>
      </c>
      <c r="AT395" s="48" t="n">
        <v>649</v>
      </c>
      <c r="AU395" s="48" t="n">
        <v>209</v>
      </c>
      <c r="AV395" s="48" t="n">
        <v>140</v>
      </c>
      <c r="AW395" s="48" t="n">
        <v>110</v>
      </c>
      <c r="AX395" s="48" t="n">
        <v>54</v>
      </c>
      <c r="AY395" s="48" t="n">
        <v>77</v>
      </c>
      <c r="AZ395" s="48" t="n">
        <v>194</v>
      </c>
      <c r="BA395" s="48" t="n">
        <v>173</v>
      </c>
      <c r="BB395" s="48" t="n">
        <v>155</v>
      </c>
      <c r="BC395" s="48" t="n">
        <v>60</v>
      </c>
      <c r="BD395" s="48" t="n">
        <v>124</v>
      </c>
      <c r="BE395" s="48" t="n">
        <v>262</v>
      </c>
      <c r="BF395" s="48" t="n">
        <v>239</v>
      </c>
      <c r="BG395" s="49" t="n">
        <v>0.42</v>
      </c>
    </row>
    <row r="396" customFormat="false" ht="15" hidden="false" customHeight="false" outlineLevel="0" collapsed="false">
      <c r="A396" s="43" t="s">
        <v>1028</v>
      </c>
      <c r="B396" s="43" t="s">
        <v>1029</v>
      </c>
      <c r="C396" s="44" t="str">
        <f aca="false">IF(A396="","",IFERROR(INDEX(Assumptions!$B$41:$B$55,MATCH(TRUE(),INDEX(ISNUMBER(SEARCH(" "&amp;Assumptions!$A$41:$A$55&amp;" "," "&amp;SUBSTITUTE(SUBSTITUTE(SUBSTITUTE(SUBSTITUTE(B396,"-"," "),","," "),"/"," "),"."," ")&amp;" ")),0),0)),"Other"))</f>
        <v>Other</v>
      </c>
      <c r="D396" s="45" t="n">
        <f aca="false">IF(A396="","",BG396*(1-Assumptions!$B$18))</f>
        <v>2.97</v>
      </c>
      <c r="E396" s="46" t="n">
        <f aca="false">IF(A396="","",INDEX(Assumptions!$B$23:$B$26,MOD(VALUE(LEFT(A396,5)),4)+1))</f>
        <v>2</v>
      </c>
      <c r="F396" s="47" t="n">
        <v>334</v>
      </c>
      <c r="G396" s="48" t="n">
        <v>22</v>
      </c>
      <c r="H396" s="48" t="n">
        <v>33</v>
      </c>
      <c r="I396" s="48" t="n">
        <v>8</v>
      </c>
      <c r="J396" s="48" t="n">
        <v>0</v>
      </c>
      <c r="K396" s="48" t="n">
        <v>14</v>
      </c>
      <c r="L396" s="48" t="n">
        <v>24</v>
      </c>
      <c r="M396" s="48" t="n">
        <v>4</v>
      </c>
      <c r="N396" s="48" t="n">
        <v>9</v>
      </c>
      <c r="O396" s="48" t="n">
        <v>14</v>
      </c>
      <c r="P396" s="48" t="n">
        <v>41</v>
      </c>
      <c r="Q396" s="48" t="n">
        <v>12</v>
      </c>
      <c r="R396" s="48" t="n">
        <v>10</v>
      </c>
      <c r="S396" s="48" t="n">
        <v>13</v>
      </c>
      <c r="T396" s="48" t="n">
        <v>13</v>
      </c>
      <c r="U396" s="48" t="n">
        <v>36</v>
      </c>
      <c r="V396" s="48" t="n">
        <v>31</v>
      </c>
      <c r="W396" s="48" t="n">
        <v>40</v>
      </c>
      <c r="X396" s="48" t="n">
        <v>52</v>
      </c>
      <c r="Y396" s="48" t="n">
        <v>11</v>
      </c>
      <c r="Z396" s="48" t="n">
        <v>16</v>
      </c>
      <c r="AA396" s="48" t="n">
        <v>0</v>
      </c>
      <c r="AB396" s="48" t="n">
        <v>0</v>
      </c>
      <c r="AC396" s="48" t="n">
        <v>7</v>
      </c>
      <c r="AD396" s="48" t="n">
        <v>84</v>
      </c>
      <c r="AE396" s="48" t="n">
        <v>26</v>
      </c>
      <c r="AF396" s="48" t="n">
        <v>74</v>
      </c>
      <c r="AG396" s="48" t="n">
        <v>53</v>
      </c>
      <c r="AH396" s="48" t="n">
        <v>27</v>
      </c>
      <c r="AI396" s="48" t="n">
        <v>11</v>
      </c>
      <c r="AJ396" s="48" t="n">
        <v>32</v>
      </c>
      <c r="AK396" s="48" t="n">
        <v>21</v>
      </c>
      <c r="AL396" s="48" t="n">
        <v>12</v>
      </c>
      <c r="AM396" s="48" t="n">
        <v>48</v>
      </c>
      <c r="AN396" s="48" t="n">
        <v>6</v>
      </c>
      <c r="AO396" s="48" t="n">
        <v>27</v>
      </c>
      <c r="AP396" s="48" t="n">
        <v>6</v>
      </c>
      <c r="AQ396" s="48" t="n">
        <v>11</v>
      </c>
      <c r="AR396" s="48" t="n">
        <v>45</v>
      </c>
      <c r="AS396" s="48" t="n">
        <v>59</v>
      </c>
      <c r="AT396" s="48" t="n">
        <v>43</v>
      </c>
      <c r="AU396" s="48" t="n">
        <v>13</v>
      </c>
      <c r="AV396" s="48" t="n">
        <v>22</v>
      </c>
      <c r="AW396" s="48" t="n">
        <v>21</v>
      </c>
      <c r="AX396" s="48" t="n">
        <v>1</v>
      </c>
      <c r="AY396" s="48" t="n">
        <v>13</v>
      </c>
      <c r="AZ396" s="48" t="n">
        <v>19</v>
      </c>
      <c r="BA396" s="48" t="n">
        <v>14</v>
      </c>
      <c r="BB396" s="48" t="n">
        <v>3</v>
      </c>
      <c r="BC396" s="48" t="n">
        <v>7</v>
      </c>
      <c r="BD396" s="48" t="n">
        <v>55</v>
      </c>
      <c r="BE396" s="48" t="n">
        <v>55</v>
      </c>
      <c r="BF396" s="48" t="n">
        <v>24</v>
      </c>
      <c r="BG396" s="49" t="n">
        <v>4.95</v>
      </c>
    </row>
    <row r="397" customFormat="false" ht="15" hidden="false" customHeight="false" outlineLevel="0" collapsed="false">
      <c r="A397" s="43" t="s">
        <v>1030</v>
      </c>
      <c r="B397" s="43" t="s">
        <v>1031</v>
      </c>
      <c r="C397" s="44" t="str">
        <f aca="false">IF(A397="","",IFERROR(INDEX(Assumptions!$B$41:$B$55,MATCH(TRUE(),INDEX(ISNUMBER(SEARCH(" "&amp;Assumptions!$A$41:$A$55&amp;" "," "&amp;SUBSTITUTE(SUBSTITUTE(SUBSTITUTE(SUBSTITUTE(B397,"-"," "),","," "),"/"," "),"."," ")&amp;" ")),0),0)),"Other"))</f>
        <v>Bags</v>
      </c>
      <c r="D397" s="45" t="n">
        <f aca="false">IF(A397="","",BG397*(1-Assumptions!$B$18))</f>
        <v>0.75</v>
      </c>
      <c r="E397" s="46" t="n">
        <f aca="false">IF(A397="","",INDEX(Assumptions!$B$23:$B$26,MOD(VALUE(LEFT(A397,5)),4)+1))</f>
        <v>6</v>
      </c>
      <c r="F397" s="47" t="n">
        <v>1375</v>
      </c>
      <c r="G397" s="48" t="n">
        <v>133</v>
      </c>
      <c r="H397" s="48" t="n">
        <v>76</v>
      </c>
      <c r="I397" s="48" t="n">
        <v>31</v>
      </c>
      <c r="J397" s="48" t="n">
        <v>0</v>
      </c>
      <c r="K397" s="48" t="n">
        <v>60</v>
      </c>
      <c r="L397" s="48" t="n">
        <v>148</v>
      </c>
      <c r="M397" s="48" t="n">
        <v>178</v>
      </c>
      <c r="N397" s="48" t="n">
        <v>74</v>
      </c>
      <c r="O397" s="48" t="n">
        <v>101</v>
      </c>
      <c r="P397" s="48" t="n">
        <v>164</v>
      </c>
      <c r="Q397" s="48" t="n">
        <v>60</v>
      </c>
      <c r="R397" s="48" t="n">
        <v>41</v>
      </c>
      <c r="S397" s="48" t="n">
        <v>25</v>
      </c>
      <c r="T397" s="48" t="n">
        <v>38</v>
      </c>
      <c r="U397" s="48" t="n">
        <v>21</v>
      </c>
      <c r="V397" s="48" t="n">
        <v>255</v>
      </c>
      <c r="W397" s="48" t="n">
        <v>57</v>
      </c>
      <c r="X397" s="48" t="n">
        <v>37</v>
      </c>
      <c r="Y397" s="48" t="n">
        <v>81</v>
      </c>
      <c r="Z397" s="48" t="n">
        <v>55</v>
      </c>
      <c r="AA397" s="48" t="n">
        <v>31</v>
      </c>
      <c r="AB397" s="48" t="n">
        <v>100</v>
      </c>
      <c r="AC397" s="48" t="n">
        <v>92</v>
      </c>
      <c r="AD397" s="48" t="n">
        <v>91</v>
      </c>
      <c r="AE397" s="48" t="n">
        <v>152</v>
      </c>
      <c r="AF397" s="48" t="n">
        <v>40</v>
      </c>
      <c r="AG397" s="48" t="n">
        <v>166</v>
      </c>
      <c r="AH397" s="48" t="n">
        <v>205</v>
      </c>
      <c r="AI397" s="48" t="n">
        <v>161</v>
      </c>
      <c r="AJ397" s="48" t="n">
        <v>86</v>
      </c>
      <c r="AK397" s="48" t="n">
        <v>45</v>
      </c>
      <c r="AL397" s="48" t="n">
        <v>27</v>
      </c>
      <c r="AM397" s="48" t="n">
        <v>86</v>
      </c>
      <c r="AN397" s="48" t="n">
        <v>27</v>
      </c>
      <c r="AO397" s="48" t="n">
        <v>99</v>
      </c>
      <c r="AP397" s="48" t="n">
        <v>66</v>
      </c>
      <c r="AQ397" s="48" t="n">
        <v>147</v>
      </c>
      <c r="AR397" s="48" t="n">
        <v>61</v>
      </c>
      <c r="AS397" s="48" t="n">
        <v>72</v>
      </c>
      <c r="AT397" s="48" t="n">
        <v>73</v>
      </c>
      <c r="AU397" s="48" t="n">
        <v>26</v>
      </c>
      <c r="AV397" s="48" t="n">
        <v>78</v>
      </c>
      <c r="AW397" s="48" t="n">
        <v>43</v>
      </c>
      <c r="AX397" s="48" t="n">
        <v>46</v>
      </c>
      <c r="AY397" s="48" t="n">
        <v>34</v>
      </c>
      <c r="AZ397" s="48" t="n">
        <v>149</v>
      </c>
      <c r="BA397" s="48" t="n">
        <v>60</v>
      </c>
      <c r="BB397" s="48" t="n">
        <v>165</v>
      </c>
      <c r="BC397" s="48" t="n">
        <v>125</v>
      </c>
      <c r="BD397" s="48" t="n">
        <v>103</v>
      </c>
      <c r="BE397" s="48" t="n">
        <v>68</v>
      </c>
      <c r="BF397" s="48" t="n">
        <v>111</v>
      </c>
      <c r="BG397" s="49" t="n">
        <v>1.25</v>
      </c>
    </row>
    <row r="398" customFormat="false" ht="15" hidden="false" customHeight="false" outlineLevel="0" collapsed="false">
      <c r="A398" s="43" t="s">
        <v>1032</v>
      </c>
      <c r="B398" s="43" t="s">
        <v>1033</v>
      </c>
      <c r="C398" s="44" t="str">
        <f aca="false">IF(A398="","",IFERROR(INDEX(Assumptions!$B$41:$B$55,MATCH(TRUE(),INDEX(ISNUMBER(SEARCH(" "&amp;Assumptions!$A$41:$A$55&amp;" "," "&amp;SUBSTITUTE(SUBSTITUTE(SUBSTITUTE(SUBSTITUTE(B398,"-"," "),","," "),"/"," "),"."," ")&amp;" ")),0),0)),"Other"))</f>
        <v>Kitchen</v>
      </c>
      <c r="D398" s="45" t="n">
        <f aca="false">IF(A398="","",BG398*(1-Assumptions!$B$18))</f>
        <v>1.53</v>
      </c>
      <c r="E398" s="46" t="n">
        <f aca="false">IF(A398="","",INDEX(Assumptions!$B$23:$B$26,MOD(VALUE(LEFT(A398,5)),4)+1))</f>
        <v>8</v>
      </c>
      <c r="F398" s="47" t="n">
        <v>319</v>
      </c>
      <c r="G398" s="48" t="n">
        <v>0</v>
      </c>
      <c r="H398" s="48" t="n">
        <v>10</v>
      </c>
      <c r="I398" s="48" t="n">
        <v>48</v>
      </c>
      <c r="J398" s="48" t="n">
        <v>0</v>
      </c>
      <c r="K398" s="48" t="n">
        <v>66</v>
      </c>
      <c r="L398" s="48" t="n">
        <v>37</v>
      </c>
      <c r="M398" s="48" t="n">
        <v>44</v>
      </c>
      <c r="N398" s="48" t="n">
        <v>97</v>
      </c>
      <c r="O398" s="48" t="n">
        <v>42</v>
      </c>
      <c r="P398" s="48" t="n">
        <v>39</v>
      </c>
      <c r="Q398" s="48" t="n">
        <v>48</v>
      </c>
      <c r="R398" s="48" t="n">
        <v>198</v>
      </c>
      <c r="S398" s="48" t="n">
        <v>48</v>
      </c>
      <c r="T398" s="48" t="n">
        <v>31</v>
      </c>
      <c r="U398" s="48" t="n">
        <v>81</v>
      </c>
      <c r="V398" s="48" t="n">
        <v>72</v>
      </c>
      <c r="W398" s="48" t="n">
        <v>73</v>
      </c>
      <c r="X398" s="48" t="n">
        <v>12</v>
      </c>
      <c r="Y398" s="48" t="n">
        <v>29</v>
      </c>
      <c r="Z398" s="48" t="n">
        <v>70</v>
      </c>
      <c r="AA398" s="48" t="n">
        <v>61</v>
      </c>
      <c r="AB398" s="48" t="n">
        <v>86</v>
      </c>
      <c r="AC398" s="48" t="n">
        <v>72</v>
      </c>
      <c r="AD398" s="48" t="n">
        <v>38</v>
      </c>
      <c r="AE398" s="48" t="n">
        <v>62</v>
      </c>
      <c r="AF398" s="48" t="n">
        <v>31</v>
      </c>
      <c r="AG398" s="48" t="n">
        <v>24</v>
      </c>
      <c r="AH398" s="48" t="n">
        <v>25</v>
      </c>
      <c r="AI398" s="48" t="n">
        <v>72</v>
      </c>
      <c r="AJ398" s="48" t="n">
        <v>18</v>
      </c>
      <c r="AK398" s="48" t="n">
        <v>30</v>
      </c>
      <c r="AL398" s="48" t="n">
        <v>54</v>
      </c>
      <c r="AM398" s="48" t="n">
        <v>66</v>
      </c>
      <c r="AN398" s="48" t="n">
        <v>14</v>
      </c>
      <c r="AO398" s="48" t="n">
        <v>24</v>
      </c>
      <c r="AP398" s="48" t="n">
        <v>38</v>
      </c>
      <c r="AQ398" s="48" t="n">
        <v>12</v>
      </c>
      <c r="AR398" s="48" t="n">
        <v>36</v>
      </c>
      <c r="AS398" s="48" t="n">
        <v>8</v>
      </c>
      <c r="AT398" s="48" t="n">
        <v>24</v>
      </c>
      <c r="AU398" s="48" t="n">
        <v>19</v>
      </c>
      <c r="AV398" s="48" t="n">
        <v>36</v>
      </c>
      <c r="AW398" s="48" t="n">
        <v>21</v>
      </c>
      <c r="AX398" s="48" t="n">
        <v>31</v>
      </c>
      <c r="AY398" s="48" t="n">
        <v>30</v>
      </c>
      <c r="AZ398" s="48" t="n">
        <v>96</v>
      </c>
      <c r="BA398" s="48" t="n">
        <v>36</v>
      </c>
      <c r="BB398" s="48" t="n">
        <v>444</v>
      </c>
      <c r="BC398" s="48" t="n">
        <v>47</v>
      </c>
      <c r="BD398" s="48" t="n">
        <v>78</v>
      </c>
      <c r="BE398" s="48" t="n">
        <v>35</v>
      </c>
      <c r="BF398" s="48" t="n">
        <v>49</v>
      </c>
      <c r="BG398" s="49" t="n">
        <v>2.55</v>
      </c>
    </row>
    <row r="399" customFormat="false" ht="15" hidden="false" customHeight="false" outlineLevel="0" collapsed="false">
      <c r="A399" s="43" t="s">
        <v>1034</v>
      </c>
      <c r="B399" s="43" t="s">
        <v>1035</v>
      </c>
      <c r="C399" s="44" t="str">
        <f aca="false">IF(A399="","",IFERROR(INDEX(Assumptions!$B$41:$B$55,MATCH(TRUE(),INDEX(ISNUMBER(SEARCH(" "&amp;Assumptions!$A$41:$A$55&amp;" "," "&amp;SUBSTITUTE(SUBSTITUTE(SUBSTITUTE(SUBSTITUTE(B399,"-"," "),","," "),"/"," "),"."," ")&amp;" ")),0),0)),"Other"))</f>
        <v>Other</v>
      </c>
      <c r="D399" s="45" t="n">
        <f aca="false">IF(A399="","",BG399*(1-Assumptions!$B$18))</f>
        <v>1.95</v>
      </c>
      <c r="E399" s="46" t="n">
        <f aca="false">IF(A399="","",INDEX(Assumptions!$B$23:$B$26,MOD(VALUE(LEFT(A399,5)),4)+1))</f>
        <v>8</v>
      </c>
      <c r="F399" s="47" t="n">
        <v>388</v>
      </c>
      <c r="G399" s="48" t="n">
        <v>66</v>
      </c>
      <c r="H399" s="48" t="n">
        <v>10</v>
      </c>
      <c r="I399" s="48" t="n">
        <v>6</v>
      </c>
      <c r="J399" s="48" t="n">
        <v>0</v>
      </c>
      <c r="K399" s="48" t="n">
        <v>56</v>
      </c>
      <c r="L399" s="48" t="n">
        <v>7</v>
      </c>
      <c r="M399" s="48" t="n">
        <v>101</v>
      </c>
      <c r="N399" s="48" t="n">
        <v>49</v>
      </c>
      <c r="O399" s="48" t="n">
        <v>23</v>
      </c>
      <c r="P399" s="48" t="n">
        <v>19</v>
      </c>
      <c r="Q399" s="48" t="n">
        <v>10</v>
      </c>
      <c r="R399" s="48" t="n">
        <v>159</v>
      </c>
      <c r="S399" s="48" t="n">
        <v>18</v>
      </c>
      <c r="T399" s="48" t="n">
        <v>19</v>
      </c>
      <c r="U399" s="48" t="n">
        <v>125</v>
      </c>
      <c r="V399" s="48" t="n">
        <v>18</v>
      </c>
      <c r="W399" s="48" t="n">
        <v>159</v>
      </c>
      <c r="X399" s="48" t="n">
        <v>21</v>
      </c>
      <c r="Y399" s="48" t="n">
        <v>13</v>
      </c>
      <c r="Z399" s="48" t="n">
        <v>14</v>
      </c>
      <c r="AA399" s="48" t="n">
        <v>7</v>
      </c>
      <c r="AB399" s="48" t="n">
        <v>13</v>
      </c>
      <c r="AC399" s="48" t="n">
        <v>147</v>
      </c>
      <c r="AD399" s="48" t="n">
        <v>107</v>
      </c>
      <c r="AE399" s="48" t="n">
        <v>8</v>
      </c>
      <c r="AF399" s="48" t="n">
        <v>22</v>
      </c>
      <c r="AG399" s="48" t="n">
        <v>4</v>
      </c>
      <c r="AH399" s="48" t="n">
        <v>30</v>
      </c>
      <c r="AI399" s="48" t="n">
        <v>36</v>
      </c>
      <c r="AJ399" s="48" t="n">
        <v>10</v>
      </c>
      <c r="AK399" s="48" t="n">
        <v>3</v>
      </c>
      <c r="AL399" s="48" t="n">
        <v>14</v>
      </c>
      <c r="AM399" s="48" t="n">
        <v>43</v>
      </c>
      <c r="AN399" s="48" t="n">
        <v>18</v>
      </c>
      <c r="AO399" s="48" t="n">
        <v>12</v>
      </c>
      <c r="AP399" s="48" t="n">
        <v>14</v>
      </c>
      <c r="AQ399" s="48" t="n">
        <v>2</v>
      </c>
      <c r="AR399" s="48" t="n">
        <v>130</v>
      </c>
      <c r="AS399" s="48" t="n">
        <v>20</v>
      </c>
      <c r="AT399" s="48" t="n">
        <v>60</v>
      </c>
      <c r="AU399" s="48" t="n">
        <v>20</v>
      </c>
      <c r="AV399" s="48" t="n">
        <v>1</v>
      </c>
      <c r="AW399" s="48" t="n">
        <v>131</v>
      </c>
      <c r="AX399" s="48" t="n">
        <v>32</v>
      </c>
      <c r="AY399" s="48" t="n">
        <v>10</v>
      </c>
      <c r="AZ399" s="48" t="n">
        <v>28</v>
      </c>
      <c r="BA399" s="48" t="n">
        <v>33</v>
      </c>
      <c r="BB399" s="48" t="n">
        <v>36</v>
      </c>
      <c r="BC399" s="48" t="n">
        <v>38</v>
      </c>
      <c r="BD399" s="48" t="n">
        <v>33</v>
      </c>
      <c r="BE399" s="48" t="n">
        <v>39</v>
      </c>
      <c r="BF399" s="48" t="n">
        <v>26</v>
      </c>
      <c r="BG399" s="49" t="n">
        <v>3.25</v>
      </c>
    </row>
    <row r="400" customFormat="false" ht="15" hidden="false" customHeight="false" outlineLevel="0" collapsed="false">
      <c r="A400" s="43" t="s">
        <v>1036</v>
      </c>
      <c r="B400" s="43" t="s">
        <v>1037</v>
      </c>
      <c r="C400" s="44" t="str">
        <f aca="false">IF(A400="","",IFERROR(INDEX(Assumptions!$B$41:$B$55,MATCH(TRUE(),INDEX(ISNUMBER(SEARCH(" "&amp;Assumptions!$A$41:$A$55&amp;" "," "&amp;SUBSTITUTE(SUBSTITUTE(SUBSTITUTE(SUBSTITUTE(B400,"-"," "),","," "),"/"," "),"."," ")&amp;" ")),0),0)),"Other"))</f>
        <v>Other</v>
      </c>
      <c r="D400" s="45" t="n">
        <f aca="false">IF(A400="","",BG400*(1-Assumptions!$B$18))</f>
        <v>5.97</v>
      </c>
      <c r="E400" s="46" t="n">
        <f aca="false">IF(A400="","",INDEX(Assumptions!$B$23:$B$26,MOD(VALUE(LEFT(A400,5)),4)+1))</f>
        <v>8</v>
      </c>
      <c r="F400" s="47" t="n">
        <v>151</v>
      </c>
      <c r="G400" s="48" t="n">
        <v>35</v>
      </c>
      <c r="H400" s="48" t="n">
        <v>6</v>
      </c>
      <c r="I400" s="48" t="n">
        <v>3</v>
      </c>
      <c r="J400" s="48" t="n">
        <v>0</v>
      </c>
      <c r="K400" s="48" t="n">
        <v>4</v>
      </c>
      <c r="L400" s="48" t="n">
        <v>5</v>
      </c>
      <c r="M400" s="48" t="n">
        <v>4</v>
      </c>
      <c r="N400" s="48" t="n">
        <v>20</v>
      </c>
      <c r="O400" s="48" t="n">
        <v>2</v>
      </c>
      <c r="P400" s="48" t="n">
        <v>2</v>
      </c>
      <c r="Q400" s="48" t="n">
        <v>19</v>
      </c>
      <c r="R400" s="48" t="n">
        <v>9</v>
      </c>
      <c r="S400" s="48" t="n">
        <v>24</v>
      </c>
      <c r="T400" s="48" t="n">
        <v>8</v>
      </c>
      <c r="U400" s="48" t="n">
        <v>18</v>
      </c>
      <c r="V400" s="48" t="n">
        <v>15</v>
      </c>
      <c r="W400" s="48" t="n">
        <v>17</v>
      </c>
      <c r="X400" s="48" t="n">
        <v>7</v>
      </c>
      <c r="Y400" s="48" t="n">
        <v>4</v>
      </c>
      <c r="Z400" s="48" t="n">
        <v>11</v>
      </c>
      <c r="AA400" s="48" t="n">
        <v>6</v>
      </c>
      <c r="AB400" s="48" t="n">
        <v>0</v>
      </c>
      <c r="AC400" s="48" t="n">
        <v>11</v>
      </c>
      <c r="AD400" s="48" t="n">
        <v>11</v>
      </c>
      <c r="AE400" s="48" t="n">
        <v>18</v>
      </c>
      <c r="AF400" s="48" t="n">
        <v>0</v>
      </c>
      <c r="AG400" s="48" t="n">
        <v>0</v>
      </c>
      <c r="AH400" s="48" t="n">
        <v>16</v>
      </c>
      <c r="AI400" s="48" t="n">
        <v>27</v>
      </c>
      <c r="AJ400" s="48" t="n">
        <v>1</v>
      </c>
      <c r="AK400" s="48" t="n">
        <v>8</v>
      </c>
      <c r="AL400" s="48" t="n">
        <v>10</v>
      </c>
      <c r="AM400" s="48" t="n">
        <v>5</v>
      </c>
      <c r="AN400" s="48" t="n">
        <v>4</v>
      </c>
      <c r="AO400" s="48" t="n">
        <v>25</v>
      </c>
      <c r="AP400" s="48" t="n">
        <v>85</v>
      </c>
      <c r="AQ400" s="48" t="n">
        <v>28</v>
      </c>
      <c r="AR400" s="48" t="n">
        <v>8</v>
      </c>
      <c r="AS400" s="48" t="n">
        <v>1</v>
      </c>
      <c r="AT400" s="48" t="n">
        <v>4</v>
      </c>
      <c r="AU400" s="48" t="n">
        <v>9</v>
      </c>
      <c r="AV400" s="48" t="n">
        <v>26</v>
      </c>
      <c r="AW400" s="48" t="n">
        <v>9</v>
      </c>
      <c r="AX400" s="48" t="n">
        <v>12</v>
      </c>
      <c r="AY400" s="48" t="n">
        <v>5</v>
      </c>
      <c r="AZ400" s="48" t="n">
        <v>5</v>
      </c>
      <c r="BA400" s="48" t="n">
        <v>6</v>
      </c>
      <c r="BB400" s="48" t="n">
        <v>22</v>
      </c>
      <c r="BC400" s="48" t="n">
        <v>15</v>
      </c>
      <c r="BD400" s="48" t="n">
        <v>22</v>
      </c>
      <c r="BE400" s="48" t="n">
        <v>22</v>
      </c>
      <c r="BF400" s="48" t="n">
        <v>20</v>
      </c>
      <c r="BG400" s="49" t="n">
        <v>9.95</v>
      </c>
    </row>
    <row r="401" customFormat="false" ht="15" hidden="false" customHeight="false" outlineLevel="0" collapsed="false">
      <c r="A401" s="43" t="s">
        <v>1038</v>
      </c>
      <c r="B401" s="43" t="s">
        <v>1039</v>
      </c>
      <c r="C401" s="44" t="str">
        <f aca="false">IF(A401="","",IFERROR(INDEX(Assumptions!$B$41:$B$55,MATCH(TRUE(),INDEX(ISNUMBER(SEARCH(" "&amp;Assumptions!$A$41:$A$55&amp;" "," "&amp;SUBSTITUTE(SUBSTITUTE(SUBSTITUTE(SUBSTITUTE(B401,"-"," "),","," "),"/"," "),"."," ")&amp;" ")),0),0)),"Other"))</f>
        <v>Other</v>
      </c>
      <c r="D401" s="45" t="n">
        <f aca="false">IF(A401="","",BG401*(1-Assumptions!$B$18))</f>
        <v>0.99</v>
      </c>
      <c r="E401" s="46" t="n">
        <f aca="false">IF(A401="","",INDEX(Assumptions!$B$23:$B$26,MOD(VALUE(LEFT(A401,5)),4)+1))</f>
        <v>2</v>
      </c>
      <c r="F401" s="47" t="n">
        <v>289</v>
      </c>
      <c r="G401" s="48" t="n">
        <v>0</v>
      </c>
      <c r="H401" s="48" t="n">
        <v>0</v>
      </c>
      <c r="I401" s="48" t="n">
        <v>0</v>
      </c>
      <c r="J401" s="48" t="n">
        <v>0</v>
      </c>
      <c r="K401" s="48" t="n">
        <v>0</v>
      </c>
      <c r="L401" s="48" t="n">
        <v>0</v>
      </c>
      <c r="M401" s="48" t="n">
        <v>0</v>
      </c>
      <c r="N401" s="48" t="n">
        <v>0</v>
      </c>
      <c r="O401" s="48" t="n">
        <v>0</v>
      </c>
      <c r="P401" s="48" t="n">
        <v>0</v>
      </c>
      <c r="Q401" s="48" t="n">
        <v>0</v>
      </c>
      <c r="R401" s="48" t="n">
        <v>0</v>
      </c>
      <c r="S401" s="48" t="n">
        <v>0</v>
      </c>
      <c r="T401" s="48" t="n">
        <v>0</v>
      </c>
      <c r="U401" s="48" t="n">
        <v>0</v>
      </c>
      <c r="V401" s="48" t="n">
        <v>0</v>
      </c>
      <c r="W401" s="48" t="n">
        <v>0</v>
      </c>
      <c r="X401" s="48" t="n">
        <v>0</v>
      </c>
      <c r="Y401" s="48" t="n">
        <v>0</v>
      </c>
      <c r="Z401" s="48" t="n">
        <v>0</v>
      </c>
      <c r="AA401" s="48" t="n">
        <v>0</v>
      </c>
      <c r="AB401" s="48" t="n">
        <v>0</v>
      </c>
      <c r="AC401" s="48" t="n">
        <v>329</v>
      </c>
      <c r="AD401" s="48" t="n">
        <v>668</v>
      </c>
      <c r="AE401" s="48" t="n">
        <v>277</v>
      </c>
      <c r="AF401" s="48" t="n">
        <v>84</v>
      </c>
      <c r="AG401" s="48" t="n">
        <v>65</v>
      </c>
      <c r="AH401" s="48" t="n">
        <v>216</v>
      </c>
      <c r="AI401" s="48" t="n">
        <v>63</v>
      </c>
      <c r="AJ401" s="48" t="n">
        <v>31</v>
      </c>
      <c r="AK401" s="48" t="n">
        <v>113</v>
      </c>
      <c r="AL401" s="48" t="n">
        <v>74</v>
      </c>
      <c r="AM401" s="48" t="n">
        <v>52</v>
      </c>
      <c r="AN401" s="48" t="n">
        <v>74</v>
      </c>
      <c r="AO401" s="48" t="n">
        <v>147</v>
      </c>
      <c r="AP401" s="48" t="n">
        <v>43</v>
      </c>
      <c r="AQ401" s="48" t="n">
        <v>131</v>
      </c>
      <c r="AR401" s="48" t="n">
        <v>20</v>
      </c>
      <c r="AS401" s="48" t="n">
        <v>80</v>
      </c>
      <c r="AT401" s="48" t="n">
        <v>112</v>
      </c>
      <c r="AU401" s="48" t="n">
        <v>133</v>
      </c>
      <c r="AV401" s="48" t="n">
        <v>125</v>
      </c>
      <c r="AW401" s="48" t="n">
        <v>195</v>
      </c>
      <c r="AX401" s="48" t="n">
        <v>183</v>
      </c>
      <c r="AY401" s="48" t="n">
        <v>78</v>
      </c>
      <c r="AZ401" s="48" t="n">
        <v>121</v>
      </c>
      <c r="BA401" s="48" t="n">
        <v>55</v>
      </c>
      <c r="BB401" s="48" t="n">
        <v>70</v>
      </c>
      <c r="BC401" s="48" t="n">
        <v>55</v>
      </c>
      <c r="BD401" s="48" t="n">
        <v>35</v>
      </c>
      <c r="BE401" s="48" t="n">
        <v>36</v>
      </c>
      <c r="BF401" s="48" t="n">
        <v>92</v>
      </c>
      <c r="BG401" s="49" t="n">
        <v>1.65</v>
      </c>
    </row>
    <row r="402" customFormat="false" ht="15" hidden="false" customHeight="false" outlineLevel="0" collapsed="false">
      <c r="A402" s="43" t="s">
        <v>1040</v>
      </c>
      <c r="B402" s="43" t="s">
        <v>1041</v>
      </c>
      <c r="C402" s="44" t="str">
        <f aca="false">IF(A402="","",IFERROR(INDEX(Assumptions!$B$41:$B$55,MATCH(TRUE(),INDEX(ISNUMBER(SEARCH(" "&amp;Assumptions!$A$41:$A$55&amp;" "," "&amp;SUBSTITUTE(SUBSTITUTE(SUBSTITUTE(SUBSTITUTE(B402,"-"," "),","," "),"/"," "),"."," ")&amp;" ")),0),0)),"Other"))</f>
        <v>Other</v>
      </c>
      <c r="D402" s="45" t="n">
        <f aca="false">IF(A402="","",BG402*(1-Assumptions!$B$18))</f>
        <v>0.99</v>
      </c>
      <c r="E402" s="46" t="n">
        <f aca="false">IF(A402="","",INDEX(Assumptions!$B$23:$B$26,MOD(VALUE(LEFT(A402,5)),4)+1))</f>
        <v>2</v>
      </c>
      <c r="F402" s="47" t="n">
        <v>253</v>
      </c>
      <c r="G402" s="48" t="n">
        <v>0</v>
      </c>
      <c r="H402" s="48" t="n">
        <v>0</v>
      </c>
      <c r="I402" s="48" t="n">
        <v>0</v>
      </c>
      <c r="J402" s="48" t="n">
        <v>0</v>
      </c>
      <c r="K402" s="48" t="n">
        <v>0</v>
      </c>
      <c r="L402" s="48" t="n">
        <v>0</v>
      </c>
      <c r="M402" s="48" t="n">
        <v>0</v>
      </c>
      <c r="N402" s="48" t="n">
        <v>0</v>
      </c>
      <c r="O402" s="48" t="n">
        <v>0</v>
      </c>
      <c r="P402" s="48" t="n">
        <v>0</v>
      </c>
      <c r="Q402" s="48" t="n">
        <v>0</v>
      </c>
      <c r="R402" s="48" t="n">
        <v>0</v>
      </c>
      <c r="S402" s="48" t="n">
        <v>0</v>
      </c>
      <c r="T402" s="48" t="n">
        <v>0</v>
      </c>
      <c r="U402" s="48" t="n">
        <v>0</v>
      </c>
      <c r="V402" s="48" t="n">
        <v>0</v>
      </c>
      <c r="W402" s="48" t="n">
        <v>0</v>
      </c>
      <c r="X402" s="48" t="n">
        <v>0</v>
      </c>
      <c r="Y402" s="48" t="n">
        <v>0</v>
      </c>
      <c r="Z402" s="48" t="n">
        <v>0</v>
      </c>
      <c r="AA402" s="48" t="n">
        <v>0</v>
      </c>
      <c r="AB402" s="48" t="n">
        <v>0</v>
      </c>
      <c r="AC402" s="48" t="n">
        <v>0</v>
      </c>
      <c r="AD402" s="48" t="n">
        <v>0</v>
      </c>
      <c r="AE402" s="48" t="n">
        <v>0</v>
      </c>
      <c r="AF402" s="48" t="n">
        <v>0</v>
      </c>
      <c r="AG402" s="48" t="n">
        <v>0</v>
      </c>
      <c r="AH402" s="48" t="n">
        <v>91</v>
      </c>
      <c r="AI402" s="48" t="n">
        <v>92</v>
      </c>
      <c r="AJ402" s="48" t="n">
        <v>41</v>
      </c>
      <c r="AK402" s="48" t="n">
        <v>56</v>
      </c>
      <c r="AL402" s="48" t="n">
        <v>70</v>
      </c>
      <c r="AM402" s="48" t="n">
        <v>87</v>
      </c>
      <c r="AN402" s="48" t="n">
        <v>86</v>
      </c>
      <c r="AO402" s="48" t="n">
        <v>36</v>
      </c>
      <c r="AP402" s="48" t="n">
        <v>109</v>
      </c>
      <c r="AQ402" s="48" t="n">
        <v>76</v>
      </c>
      <c r="AR402" s="48" t="n">
        <v>83</v>
      </c>
      <c r="AS402" s="48" t="n">
        <v>103</v>
      </c>
      <c r="AT402" s="48" t="n">
        <v>67</v>
      </c>
      <c r="AU402" s="48" t="n">
        <v>149</v>
      </c>
      <c r="AV402" s="48" t="n">
        <v>220</v>
      </c>
      <c r="AW402" s="48" t="n">
        <v>118</v>
      </c>
      <c r="AX402" s="48" t="n">
        <v>120</v>
      </c>
      <c r="AY402" s="48" t="n">
        <v>149</v>
      </c>
      <c r="AZ402" s="48" t="n">
        <v>73</v>
      </c>
      <c r="BA402" s="48" t="n">
        <v>327</v>
      </c>
      <c r="BB402" s="48" t="n">
        <v>75</v>
      </c>
      <c r="BC402" s="48" t="n">
        <v>323</v>
      </c>
      <c r="BD402" s="48" t="n">
        <v>297</v>
      </c>
      <c r="BE402" s="48" t="n">
        <v>239</v>
      </c>
      <c r="BF402" s="48" t="n">
        <v>207</v>
      </c>
      <c r="BG402" s="49" t="n">
        <v>1.65</v>
      </c>
    </row>
    <row r="403" customFormat="false" ht="15" hidden="false" customHeight="false" outlineLevel="0" collapsed="false">
      <c r="A403" s="43" t="s">
        <v>1042</v>
      </c>
      <c r="B403" s="43" t="s">
        <v>1043</v>
      </c>
      <c r="C403" s="44" t="str">
        <f aca="false">IF(A403="","",IFERROR(INDEX(Assumptions!$B$41:$B$55,MATCH(TRUE(),INDEX(ISNUMBER(SEARCH(" "&amp;Assumptions!$A$41:$A$55&amp;" "," "&amp;SUBSTITUTE(SUBSTITUTE(SUBSTITUTE(SUBSTITUTE(B403,"-"," "),","," "),"/"," "),"."," ")&amp;" ")),0),0)),"Other"))</f>
        <v>Kitchen</v>
      </c>
      <c r="D403" s="45" t="n">
        <f aca="false">IF(A403="","",BG403*(1-Assumptions!$B$18))</f>
        <v>0.33</v>
      </c>
      <c r="E403" s="46" t="n">
        <f aca="false">IF(A403="","",INDEX(Assumptions!$B$23:$B$26,MOD(VALUE(LEFT(A403,5)),4)+1))</f>
        <v>8</v>
      </c>
      <c r="F403" s="47" t="n">
        <v>664</v>
      </c>
      <c r="G403" s="48" t="n">
        <v>0</v>
      </c>
      <c r="H403" s="48" t="n">
        <v>0</v>
      </c>
      <c r="I403" s="48" t="n">
        <v>0</v>
      </c>
      <c r="J403" s="48" t="n">
        <v>0</v>
      </c>
      <c r="K403" s="48" t="n">
        <v>0</v>
      </c>
      <c r="L403" s="48" t="n">
        <v>0</v>
      </c>
      <c r="M403" s="48" t="n">
        <v>0</v>
      </c>
      <c r="N403" s="48" t="n">
        <v>0</v>
      </c>
      <c r="O403" s="48" t="n">
        <v>0</v>
      </c>
      <c r="P403" s="48" t="n">
        <v>0</v>
      </c>
      <c r="Q403" s="48" t="n">
        <v>0</v>
      </c>
      <c r="R403" s="48" t="n">
        <v>0</v>
      </c>
      <c r="S403" s="48" t="n">
        <v>0</v>
      </c>
      <c r="T403" s="48" t="n">
        <v>0</v>
      </c>
      <c r="U403" s="48" t="n">
        <v>0</v>
      </c>
      <c r="V403" s="48" t="n">
        <v>0</v>
      </c>
      <c r="W403" s="48" t="n">
        <v>0</v>
      </c>
      <c r="X403" s="48" t="n">
        <v>0</v>
      </c>
      <c r="Y403" s="48" t="n">
        <v>0</v>
      </c>
      <c r="Z403" s="48" t="n">
        <v>0</v>
      </c>
      <c r="AA403" s="48" t="n">
        <v>0</v>
      </c>
      <c r="AB403" s="48" t="n">
        <v>0</v>
      </c>
      <c r="AC403" s="48" t="n">
        <v>0</v>
      </c>
      <c r="AD403" s="48" t="n">
        <v>0</v>
      </c>
      <c r="AE403" s="48" t="n">
        <v>0</v>
      </c>
      <c r="AF403" s="48" t="n">
        <v>7</v>
      </c>
      <c r="AG403" s="48" t="n">
        <v>388</v>
      </c>
      <c r="AH403" s="48" t="n">
        <v>1016</v>
      </c>
      <c r="AI403" s="48" t="n">
        <v>483</v>
      </c>
      <c r="AJ403" s="48" t="n">
        <v>292</v>
      </c>
      <c r="AK403" s="48" t="n">
        <v>835</v>
      </c>
      <c r="AL403" s="48" t="n">
        <v>411</v>
      </c>
      <c r="AM403" s="48" t="n">
        <v>887</v>
      </c>
      <c r="AN403" s="48" t="n">
        <v>522</v>
      </c>
      <c r="AO403" s="48" t="n">
        <v>245</v>
      </c>
      <c r="AP403" s="48" t="n">
        <v>780</v>
      </c>
      <c r="AQ403" s="48" t="n">
        <v>285</v>
      </c>
      <c r="AR403" s="48" t="n">
        <v>367</v>
      </c>
      <c r="AS403" s="48" t="n">
        <v>355</v>
      </c>
      <c r="AT403" s="48" t="n">
        <v>446</v>
      </c>
      <c r="AU403" s="48" t="n">
        <v>443</v>
      </c>
      <c r="AV403" s="48" t="n">
        <v>438</v>
      </c>
      <c r="AW403" s="48" t="n">
        <v>134</v>
      </c>
      <c r="AX403" s="48" t="n">
        <v>1097</v>
      </c>
      <c r="AY403" s="48" t="n">
        <v>285</v>
      </c>
      <c r="AZ403" s="48" t="n">
        <v>436</v>
      </c>
      <c r="BA403" s="48" t="n">
        <v>374</v>
      </c>
      <c r="BB403" s="48" t="n">
        <v>177</v>
      </c>
      <c r="BC403" s="48" t="n">
        <v>274</v>
      </c>
      <c r="BD403" s="48" t="n">
        <v>148</v>
      </c>
      <c r="BE403" s="48" t="n">
        <v>244</v>
      </c>
      <c r="BF403" s="48" t="n">
        <v>148</v>
      </c>
      <c r="BG403" s="49" t="n">
        <v>0.55</v>
      </c>
    </row>
    <row r="404" customFormat="false" ht="15" hidden="false" customHeight="false" outlineLevel="0" collapsed="false">
      <c r="A404" s="43" t="s">
        <v>1044</v>
      </c>
      <c r="B404" s="43" t="s">
        <v>1045</v>
      </c>
      <c r="C404" s="44" t="str">
        <f aca="false">IF(A404="","",IFERROR(INDEX(Assumptions!$B$41:$B$55,MATCH(TRUE(),INDEX(ISNUMBER(SEARCH(" "&amp;Assumptions!$A$41:$A$55&amp;" "," "&amp;SUBSTITUTE(SUBSTITUTE(SUBSTITUTE(SUBSTITUTE(B404,"-"," "),","," "),"/"," "),"."," ")&amp;" ")),0),0)),"Other"))</f>
        <v>Other</v>
      </c>
      <c r="D404" s="45" t="n">
        <f aca="false">IF(A404="","",BG404*(1-Assumptions!$B$18))</f>
        <v>1.26</v>
      </c>
      <c r="E404" s="46" t="n">
        <f aca="false">IF(A404="","",INDEX(Assumptions!$B$23:$B$26,MOD(VALUE(LEFT(A404,5)),4)+1))</f>
        <v>4</v>
      </c>
      <c r="F404" s="47" t="n">
        <v>613</v>
      </c>
      <c r="G404" s="48" t="n">
        <v>80</v>
      </c>
      <c r="H404" s="48" t="n">
        <v>117</v>
      </c>
      <c r="I404" s="48" t="n">
        <v>19</v>
      </c>
      <c r="J404" s="48" t="n">
        <v>0</v>
      </c>
      <c r="K404" s="48" t="n">
        <v>0</v>
      </c>
      <c r="L404" s="48" t="n">
        <v>1</v>
      </c>
      <c r="M404" s="48" t="n">
        <v>3</v>
      </c>
      <c r="N404" s="48" t="n">
        <v>1</v>
      </c>
      <c r="O404" s="48" t="n">
        <v>0</v>
      </c>
      <c r="P404" s="48" t="n">
        <v>0</v>
      </c>
      <c r="Q404" s="48" t="n">
        <v>0</v>
      </c>
      <c r="R404" s="48" t="n">
        <v>0</v>
      </c>
      <c r="S404" s="48" t="n">
        <v>0</v>
      </c>
      <c r="T404" s="48" t="n">
        <v>0</v>
      </c>
      <c r="U404" s="48" t="n">
        <v>2</v>
      </c>
      <c r="V404" s="48" t="n">
        <v>0</v>
      </c>
      <c r="W404" s="48" t="n">
        <v>0</v>
      </c>
      <c r="X404" s="48" t="n">
        <v>0</v>
      </c>
      <c r="Y404" s="48" t="n">
        <v>0</v>
      </c>
      <c r="Z404" s="48" t="n">
        <v>0</v>
      </c>
      <c r="AA404" s="48" t="n">
        <v>1</v>
      </c>
      <c r="AB404" s="48" t="n">
        <v>1</v>
      </c>
      <c r="AC404" s="48" t="n">
        <v>0</v>
      </c>
      <c r="AD404" s="48" t="n">
        <v>0</v>
      </c>
      <c r="AE404" s="48" t="n">
        <v>0</v>
      </c>
      <c r="AF404" s="48" t="n">
        <v>0</v>
      </c>
      <c r="AG404" s="48" t="n">
        <v>0</v>
      </c>
      <c r="AH404" s="48" t="n">
        <v>1</v>
      </c>
      <c r="AI404" s="48" t="n">
        <v>0</v>
      </c>
      <c r="AJ404" s="48" t="n">
        <v>5</v>
      </c>
      <c r="AK404" s="48" t="n">
        <v>8</v>
      </c>
      <c r="AL404" s="48" t="n">
        <v>20</v>
      </c>
      <c r="AM404" s="48" t="n">
        <v>7</v>
      </c>
      <c r="AN404" s="48" t="n">
        <v>79</v>
      </c>
      <c r="AO404" s="48" t="n">
        <v>18</v>
      </c>
      <c r="AP404" s="48" t="n">
        <v>72</v>
      </c>
      <c r="AQ404" s="48" t="n">
        <v>0</v>
      </c>
      <c r="AR404" s="48" t="n">
        <v>22</v>
      </c>
      <c r="AS404" s="48" t="n">
        <v>16</v>
      </c>
      <c r="AT404" s="48" t="n">
        <v>55</v>
      </c>
      <c r="AU404" s="48" t="n">
        <v>63</v>
      </c>
      <c r="AV404" s="48" t="n">
        <v>163</v>
      </c>
      <c r="AW404" s="48" t="n">
        <v>63</v>
      </c>
      <c r="AX404" s="48" t="n">
        <v>152</v>
      </c>
      <c r="AY404" s="48" t="n">
        <v>203</v>
      </c>
      <c r="AZ404" s="48" t="n">
        <v>219</v>
      </c>
      <c r="BA404" s="48" t="n">
        <v>82</v>
      </c>
      <c r="BB404" s="48" t="n">
        <v>375</v>
      </c>
      <c r="BC404" s="48" t="n">
        <v>188</v>
      </c>
      <c r="BD404" s="48" t="n">
        <v>291</v>
      </c>
      <c r="BE404" s="48" t="n">
        <v>181</v>
      </c>
      <c r="BF404" s="48" t="n">
        <v>149</v>
      </c>
      <c r="BG404" s="49" t="n">
        <v>2.1</v>
      </c>
    </row>
    <row r="405" customFormat="false" ht="15" hidden="false" customHeight="false" outlineLevel="0" collapsed="false">
      <c r="A405" s="43" t="s">
        <v>1046</v>
      </c>
      <c r="B405" s="43" t="s">
        <v>1047</v>
      </c>
      <c r="C405" s="44" t="str">
        <f aca="false">IF(A405="","",IFERROR(INDEX(Assumptions!$B$41:$B$55,MATCH(TRUE(),INDEX(ISNUMBER(SEARCH(" "&amp;Assumptions!$A$41:$A$55&amp;" "," "&amp;SUBSTITUTE(SUBSTITUTE(SUBSTITUTE(SUBSTITUTE(B405,"-"," "),","," "),"/"," "),"."," ")&amp;" ")),0),0)),"Other"))</f>
        <v>Other</v>
      </c>
      <c r="D405" s="45" t="n">
        <f aca="false">IF(A405="","",BG405*(1-Assumptions!$B$18))</f>
        <v>0.75</v>
      </c>
      <c r="E405" s="46" t="n">
        <f aca="false">IF(A405="","",INDEX(Assumptions!$B$23:$B$26,MOD(VALUE(LEFT(A405,5)),4)+1))</f>
        <v>6</v>
      </c>
      <c r="F405" s="47" t="n">
        <v>580</v>
      </c>
      <c r="G405" s="48" t="n">
        <v>33</v>
      </c>
      <c r="H405" s="48" t="n">
        <v>232</v>
      </c>
      <c r="I405" s="48" t="n">
        <v>23</v>
      </c>
      <c r="J405" s="48" t="n">
        <v>0</v>
      </c>
      <c r="K405" s="48" t="n">
        <v>100</v>
      </c>
      <c r="L405" s="48" t="n">
        <v>27</v>
      </c>
      <c r="M405" s="48" t="n">
        <v>70</v>
      </c>
      <c r="N405" s="48" t="n">
        <v>117</v>
      </c>
      <c r="O405" s="48" t="n">
        <v>27</v>
      </c>
      <c r="P405" s="48" t="n">
        <v>29</v>
      </c>
      <c r="Q405" s="48" t="n">
        <v>192</v>
      </c>
      <c r="R405" s="48" t="n">
        <v>98</v>
      </c>
      <c r="S405" s="48" t="n">
        <v>52</v>
      </c>
      <c r="T405" s="48" t="n">
        <v>60</v>
      </c>
      <c r="U405" s="48" t="n">
        <v>176</v>
      </c>
      <c r="V405" s="48" t="n">
        <v>117</v>
      </c>
      <c r="W405" s="48" t="n">
        <v>56</v>
      </c>
      <c r="X405" s="48" t="n">
        <v>58</v>
      </c>
      <c r="Y405" s="48" t="n">
        <v>132</v>
      </c>
      <c r="Z405" s="48" t="n">
        <v>55</v>
      </c>
      <c r="AA405" s="48" t="n">
        <v>41</v>
      </c>
      <c r="AB405" s="48" t="n">
        <v>14</v>
      </c>
      <c r="AC405" s="48" t="n">
        <v>155</v>
      </c>
      <c r="AD405" s="48" t="n">
        <v>60</v>
      </c>
      <c r="AE405" s="48" t="n">
        <v>51</v>
      </c>
      <c r="AF405" s="48" t="n">
        <v>129</v>
      </c>
      <c r="AG405" s="48" t="n">
        <v>57</v>
      </c>
      <c r="AH405" s="48" t="n">
        <v>119</v>
      </c>
      <c r="AI405" s="48" t="n">
        <v>84</v>
      </c>
      <c r="AJ405" s="48" t="n">
        <v>76</v>
      </c>
      <c r="AK405" s="48" t="n">
        <v>23</v>
      </c>
      <c r="AL405" s="48" t="n">
        <v>64</v>
      </c>
      <c r="AM405" s="48" t="n">
        <v>38</v>
      </c>
      <c r="AN405" s="48" t="n">
        <v>57</v>
      </c>
      <c r="AO405" s="48" t="n">
        <v>53</v>
      </c>
      <c r="AP405" s="48" t="n">
        <v>96</v>
      </c>
      <c r="AQ405" s="48" t="n">
        <v>96</v>
      </c>
      <c r="AR405" s="48" t="n">
        <v>51</v>
      </c>
      <c r="AS405" s="48" t="n">
        <v>97</v>
      </c>
      <c r="AT405" s="48" t="n">
        <v>168</v>
      </c>
      <c r="AU405" s="48" t="n">
        <v>142</v>
      </c>
      <c r="AV405" s="48" t="n">
        <v>96</v>
      </c>
      <c r="AW405" s="48" t="n">
        <v>91</v>
      </c>
      <c r="AX405" s="48" t="n">
        <v>69</v>
      </c>
      <c r="AY405" s="48" t="n">
        <v>38</v>
      </c>
      <c r="AZ405" s="48" t="n">
        <v>60</v>
      </c>
      <c r="BA405" s="48" t="n">
        <v>80</v>
      </c>
      <c r="BB405" s="48" t="n">
        <v>253</v>
      </c>
      <c r="BC405" s="48" t="n">
        <v>167</v>
      </c>
      <c r="BD405" s="48" t="n">
        <v>37</v>
      </c>
      <c r="BE405" s="48" t="n">
        <v>48</v>
      </c>
      <c r="BF405" s="48" t="n">
        <v>45</v>
      </c>
      <c r="BG405" s="49" t="n">
        <v>1.25</v>
      </c>
    </row>
    <row r="406" customFormat="false" ht="15" hidden="false" customHeight="false" outlineLevel="0" collapsed="false">
      <c r="A406" s="43" t="s">
        <v>1048</v>
      </c>
      <c r="B406" s="43" t="s">
        <v>1049</v>
      </c>
      <c r="C406" s="44" t="str">
        <f aca="false">IF(A406="","",IFERROR(INDEX(Assumptions!$B$41:$B$55,MATCH(TRUE(),INDEX(ISNUMBER(SEARCH(" "&amp;Assumptions!$A$41:$A$55&amp;" "," "&amp;SUBSTITUTE(SUBSTITUTE(SUBSTITUTE(SUBSTITUTE(B406,"-"," "),","," "),"/"," "),"."," ")&amp;" ")),0),0)),"Other"))</f>
        <v>Other</v>
      </c>
      <c r="D406" s="45" t="n">
        <f aca="false">IF(A406="","",BG406*(1-Assumptions!$B$18))</f>
        <v>1.395</v>
      </c>
      <c r="E406" s="46" t="n">
        <f aca="false">IF(A406="","",INDEX(Assumptions!$B$23:$B$26,MOD(VALUE(LEFT(A406,5)),4)+1))</f>
        <v>2</v>
      </c>
      <c r="F406" s="47" t="n">
        <v>550</v>
      </c>
      <c r="G406" s="48" t="n">
        <v>0</v>
      </c>
      <c r="H406" s="48" t="n">
        <v>0</v>
      </c>
      <c r="I406" s="48" t="n">
        <v>0</v>
      </c>
      <c r="J406" s="48" t="n">
        <v>0</v>
      </c>
      <c r="K406" s="48" t="n">
        <v>0</v>
      </c>
      <c r="L406" s="48" t="n">
        <v>1300</v>
      </c>
      <c r="M406" s="48" t="n">
        <v>0</v>
      </c>
      <c r="N406" s="48" t="n">
        <v>0</v>
      </c>
      <c r="O406" s="48" t="n">
        <v>0</v>
      </c>
      <c r="P406" s="48" t="n">
        <v>0</v>
      </c>
      <c r="Q406" s="48" t="n">
        <v>0</v>
      </c>
      <c r="R406" s="48" t="n">
        <v>0</v>
      </c>
      <c r="S406" s="48" t="n">
        <v>0</v>
      </c>
      <c r="T406" s="48" t="n">
        <v>0</v>
      </c>
      <c r="U406" s="48" t="n">
        <v>0</v>
      </c>
      <c r="V406" s="48" t="n">
        <v>0</v>
      </c>
      <c r="W406" s="48" t="n">
        <v>0</v>
      </c>
      <c r="X406" s="48" t="n">
        <v>0</v>
      </c>
      <c r="Y406" s="48" t="n">
        <v>0</v>
      </c>
      <c r="Z406" s="48" t="n">
        <v>1300</v>
      </c>
      <c r="AA406" s="48" t="n">
        <v>0</v>
      </c>
      <c r="AB406" s="48" t="n">
        <v>0</v>
      </c>
      <c r="AC406" s="48" t="n">
        <v>0</v>
      </c>
      <c r="AD406" s="48" t="n">
        <v>0</v>
      </c>
      <c r="AE406" s="48" t="n">
        <v>0</v>
      </c>
      <c r="AF406" s="48" t="n">
        <v>0</v>
      </c>
      <c r="AG406" s="48" t="n">
        <v>0</v>
      </c>
      <c r="AH406" s="48" t="n">
        <v>0</v>
      </c>
      <c r="AI406" s="48" t="n">
        <v>0</v>
      </c>
      <c r="AJ406" s="48" t="n">
        <v>0</v>
      </c>
      <c r="AK406" s="48" t="n">
        <v>0</v>
      </c>
      <c r="AL406" s="48" t="n">
        <v>0</v>
      </c>
      <c r="AM406" s="48" t="n">
        <v>0</v>
      </c>
      <c r="AN406" s="48" t="n">
        <v>0</v>
      </c>
      <c r="AO406" s="48" t="n">
        <v>0</v>
      </c>
      <c r="AP406" s="48" t="n">
        <v>0</v>
      </c>
      <c r="AQ406" s="48" t="n">
        <v>0</v>
      </c>
      <c r="AR406" s="48" t="n">
        <v>0</v>
      </c>
      <c r="AS406" s="48" t="n">
        <v>0</v>
      </c>
      <c r="AT406" s="48" t="n">
        <v>0</v>
      </c>
      <c r="AU406" s="48" t="n">
        <v>0</v>
      </c>
      <c r="AV406" s="48" t="n">
        <v>0</v>
      </c>
      <c r="AW406" s="48" t="n">
        <v>0</v>
      </c>
      <c r="AX406" s="48" t="n">
        <v>0</v>
      </c>
      <c r="AY406" s="48" t="n">
        <v>0</v>
      </c>
      <c r="AZ406" s="48" t="n">
        <v>0</v>
      </c>
      <c r="BA406" s="48" t="n">
        <v>0</v>
      </c>
      <c r="BB406" s="48" t="n">
        <v>0</v>
      </c>
      <c r="BC406" s="48" t="n">
        <v>0</v>
      </c>
      <c r="BD406" s="48" t="n">
        <v>0</v>
      </c>
      <c r="BE406" s="48" t="n">
        <v>0</v>
      </c>
      <c r="BF406" s="48" t="n">
        <v>0</v>
      </c>
      <c r="BG406" s="49" t="n">
        <v>2.325</v>
      </c>
    </row>
    <row r="407" customFormat="false" ht="15" hidden="false" customHeight="false" outlineLevel="0" collapsed="false">
      <c r="A407" s="43" t="s">
        <v>1050</v>
      </c>
      <c r="B407" s="43" t="s">
        <v>1051</v>
      </c>
      <c r="C407" s="44" t="str">
        <f aca="false">IF(A407="","",IFERROR(INDEX(Assumptions!$B$41:$B$55,MATCH(TRUE(),INDEX(ISNUMBER(SEARCH(" "&amp;Assumptions!$A$41:$A$55&amp;" "," "&amp;SUBSTITUTE(SUBSTITUTE(SUBSTITUTE(SUBSTITUTE(B407,"-"," "),","," "),"/"," "),"."," ")&amp;" ")),0),0)),"Other"))</f>
        <v>Lighting</v>
      </c>
      <c r="D407" s="45" t="n">
        <f aca="false">IF(A407="","",BG407*(1-Assumptions!$B$18))</f>
        <v>0.75</v>
      </c>
      <c r="E407" s="46" t="n">
        <f aca="false">IF(A407="","",INDEX(Assumptions!$B$23:$B$26,MOD(VALUE(LEFT(A407,5)),4)+1))</f>
        <v>6</v>
      </c>
      <c r="F407" s="47" t="n">
        <v>853</v>
      </c>
      <c r="G407" s="48" t="n">
        <v>123</v>
      </c>
      <c r="H407" s="48" t="n">
        <v>51</v>
      </c>
      <c r="I407" s="48" t="n">
        <v>24</v>
      </c>
      <c r="J407" s="48" t="n">
        <v>0</v>
      </c>
      <c r="K407" s="48" t="n">
        <v>0</v>
      </c>
      <c r="L407" s="48" t="n">
        <v>94</v>
      </c>
      <c r="M407" s="48" t="n">
        <v>19</v>
      </c>
      <c r="N407" s="48" t="n">
        <v>141</v>
      </c>
      <c r="O407" s="48" t="n">
        <v>98</v>
      </c>
      <c r="P407" s="48" t="n">
        <v>9</v>
      </c>
      <c r="Q407" s="48" t="n">
        <v>6</v>
      </c>
      <c r="R407" s="48" t="n">
        <v>416</v>
      </c>
      <c r="S407" s="48" t="n">
        <v>97</v>
      </c>
      <c r="T407" s="48" t="n">
        <v>36</v>
      </c>
      <c r="U407" s="48" t="n">
        <v>132</v>
      </c>
      <c r="V407" s="48" t="n">
        <v>107</v>
      </c>
      <c r="W407" s="48" t="n">
        <v>34</v>
      </c>
      <c r="X407" s="48" t="n">
        <v>107</v>
      </c>
      <c r="Y407" s="48" t="n">
        <v>99</v>
      </c>
      <c r="Z407" s="48" t="n">
        <v>80</v>
      </c>
      <c r="AA407" s="48" t="n">
        <v>51</v>
      </c>
      <c r="AB407" s="48" t="n">
        <v>87</v>
      </c>
      <c r="AC407" s="48" t="n">
        <v>60</v>
      </c>
      <c r="AD407" s="48" t="n">
        <v>92</v>
      </c>
      <c r="AE407" s="48" t="n">
        <v>58</v>
      </c>
      <c r="AF407" s="48" t="n">
        <v>58</v>
      </c>
      <c r="AG407" s="48" t="n">
        <v>107</v>
      </c>
      <c r="AH407" s="48" t="n">
        <v>469</v>
      </c>
      <c r="AI407" s="48" t="n">
        <v>178</v>
      </c>
      <c r="AJ407" s="48" t="n">
        <v>34</v>
      </c>
      <c r="AK407" s="48" t="n">
        <v>35</v>
      </c>
      <c r="AL407" s="48" t="n">
        <v>97</v>
      </c>
      <c r="AM407" s="48" t="n">
        <v>114</v>
      </c>
      <c r="AN407" s="48" t="n">
        <v>97</v>
      </c>
      <c r="AO407" s="48" t="n">
        <v>108</v>
      </c>
      <c r="AP407" s="48" t="n">
        <v>385</v>
      </c>
      <c r="AQ407" s="48" t="n">
        <v>105</v>
      </c>
      <c r="AR407" s="48" t="n">
        <v>98</v>
      </c>
      <c r="AS407" s="48" t="n">
        <v>57</v>
      </c>
      <c r="AT407" s="48" t="n">
        <v>48</v>
      </c>
      <c r="AU407" s="48" t="n">
        <v>62</v>
      </c>
      <c r="AV407" s="48" t="n">
        <v>75</v>
      </c>
      <c r="AW407" s="48" t="n">
        <v>62</v>
      </c>
      <c r="AX407" s="48" t="n">
        <v>84</v>
      </c>
      <c r="AY407" s="48" t="n">
        <v>151</v>
      </c>
      <c r="AZ407" s="48" t="n">
        <v>175</v>
      </c>
      <c r="BA407" s="48" t="n">
        <v>5</v>
      </c>
      <c r="BB407" s="48" t="n">
        <v>28</v>
      </c>
      <c r="BC407" s="48" t="n">
        <v>76</v>
      </c>
      <c r="BD407" s="48" t="n">
        <v>59</v>
      </c>
      <c r="BE407" s="48" t="n">
        <v>116</v>
      </c>
      <c r="BF407" s="48" t="n">
        <v>24</v>
      </c>
      <c r="BG407" s="49" t="n">
        <v>1.25</v>
      </c>
    </row>
    <row r="408" customFormat="false" ht="15" hidden="false" customHeight="false" outlineLevel="0" collapsed="false">
      <c r="A408" s="43" t="s">
        <v>1052</v>
      </c>
      <c r="B408" s="43" t="s">
        <v>1053</v>
      </c>
      <c r="C408" s="44" t="str">
        <f aca="false">IF(A408="","",IFERROR(INDEX(Assumptions!$B$41:$B$55,MATCH(TRUE(),INDEX(ISNUMBER(SEARCH(" "&amp;Assumptions!$A$41:$A$55&amp;" "," "&amp;SUBSTITUTE(SUBSTITUTE(SUBSTITUTE(SUBSTITUTE(B408,"-"," "),","," "),"/"," "),"."," ")&amp;" ")),0),0)),"Other"))</f>
        <v>Lighting</v>
      </c>
      <c r="D408" s="45" t="n">
        <f aca="false">IF(A408="","",BG408*(1-Assumptions!$B$18))</f>
        <v>2.25</v>
      </c>
      <c r="E408" s="46" t="n">
        <f aca="false">IF(A408="","",INDEX(Assumptions!$B$23:$B$26,MOD(VALUE(LEFT(A408,5)),4)+1))</f>
        <v>2</v>
      </c>
      <c r="F408" s="47" t="n">
        <v>125</v>
      </c>
      <c r="G408" s="48" t="n">
        <v>0</v>
      </c>
      <c r="H408" s="48" t="n">
        <v>0</v>
      </c>
      <c r="I408" s="48" t="n">
        <v>0</v>
      </c>
      <c r="J408" s="48" t="n">
        <v>0</v>
      </c>
      <c r="K408" s="48" t="n">
        <v>0</v>
      </c>
      <c r="L408" s="48" t="n">
        <v>0</v>
      </c>
      <c r="M408" s="48" t="n">
        <v>0</v>
      </c>
      <c r="N408" s="48" t="n">
        <v>0</v>
      </c>
      <c r="O408" s="48" t="n">
        <v>0</v>
      </c>
      <c r="P408" s="48" t="n">
        <v>0</v>
      </c>
      <c r="Q408" s="48" t="n">
        <v>0</v>
      </c>
      <c r="R408" s="48" t="n">
        <v>0</v>
      </c>
      <c r="S408" s="48" t="n">
        <v>0</v>
      </c>
      <c r="T408" s="48" t="n">
        <v>0</v>
      </c>
      <c r="U408" s="48" t="n">
        <v>0</v>
      </c>
      <c r="V408" s="48" t="n">
        <v>0</v>
      </c>
      <c r="W408" s="48" t="n">
        <v>0</v>
      </c>
      <c r="X408" s="48" t="n">
        <v>0</v>
      </c>
      <c r="Y408" s="48" t="n">
        <v>0</v>
      </c>
      <c r="Z408" s="48" t="n">
        <v>0</v>
      </c>
      <c r="AA408" s="48" t="n">
        <v>0</v>
      </c>
      <c r="AB408" s="48" t="n">
        <v>0</v>
      </c>
      <c r="AC408" s="48" t="n">
        <v>0</v>
      </c>
      <c r="AD408" s="48" t="n">
        <v>0</v>
      </c>
      <c r="AE408" s="48" t="n">
        <v>0</v>
      </c>
      <c r="AF408" s="48" t="n">
        <v>0</v>
      </c>
      <c r="AG408" s="48" t="n">
        <v>0</v>
      </c>
      <c r="AH408" s="48" t="n">
        <v>0</v>
      </c>
      <c r="AI408" s="48" t="n">
        <v>0</v>
      </c>
      <c r="AJ408" s="48" t="n">
        <v>0</v>
      </c>
      <c r="AK408" s="48" t="n">
        <v>0</v>
      </c>
      <c r="AL408" s="48" t="n">
        <v>0</v>
      </c>
      <c r="AM408" s="48" t="n">
        <v>0</v>
      </c>
      <c r="AN408" s="48" t="n">
        <v>0</v>
      </c>
      <c r="AO408" s="48" t="n">
        <v>0</v>
      </c>
      <c r="AP408" s="48" t="n">
        <v>0</v>
      </c>
      <c r="AQ408" s="48" t="n">
        <v>0</v>
      </c>
      <c r="AR408" s="48" t="n">
        <v>0</v>
      </c>
      <c r="AS408" s="48" t="n">
        <v>0</v>
      </c>
      <c r="AT408" s="48" t="n">
        <v>0</v>
      </c>
      <c r="AU408" s="48" t="n">
        <v>0</v>
      </c>
      <c r="AV408" s="48" t="n">
        <v>0</v>
      </c>
      <c r="AW408" s="48" t="n">
        <v>0</v>
      </c>
      <c r="AX408" s="48" t="n">
        <v>0</v>
      </c>
      <c r="AY408" s="48" t="n">
        <v>0</v>
      </c>
      <c r="AZ408" s="48" t="n">
        <v>171</v>
      </c>
      <c r="BA408" s="48" t="n">
        <v>317</v>
      </c>
      <c r="BB408" s="48" t="n">
        <v>171</v>
      </c>
      <c r="BC408" s="48" t="n">
        <v>173</v>
      </c>
      <c r="BD408" s="48" t="n">
        <v>464</v>
      </c>
      <c r="BE408" s="48" t="n">
        <v>167</v>
      </c>
      <c r="BF408" s="48" t="n">
        <v>166</v>
      </c>
      <c r="BG408" s="49" t="n">
        <v>3.75</v>
      </c>
    </row>
    <row r="409" customFormat="false" ht="15" hidden="false" customHeight="false" outlineLevel="0" collapsed="false">
      <c r="A409" s="43" t="s">
        <v>1054</v>
      </c>
      <c r="B409" s="43" t="s">
        <v>1055</v>
      </c>
      <c r="C409" s="44" t="str">
        <f aca="false">IF(A409="","",IFERROR(INDEX(Assumptions!$B$41:$B$55,MATCH(TRUE(),INDEX(ISNUMBER(SEARCH(" "&amp;Assumptions!$A$41:$A$55&amp;" "," "&amp;SUBSTITUTE(SUBSTITUTE(SUBSTITUTE(SUBSTITUTE(B409,"-"," "),","," "),"/"," "),"."," ")&amp;" ")),0),0)),"Other"))</f>
        <v>Bags</v>
      </c>
      <c r="D409" s="45" t="n">
        <f aca="false">IF(A409="","",BG409*(1-Assumptions!$B$18))</f>
        <v>0.99</v>
      </c>
      <c r="E409" s="46" t="n">
        <f aca="false">IF(A409="","",INDEX(Assumptions!$B$23:$B$26,MOD(VALUE(LEFT(A409,5)),4)+1))</f>
        <v>8</v>
      </c>
      <c r="F409" s="47" t="n">
        <v>750</v>
      </c>
      <c r="G409" s="48" t="n">
        <v>71</v>
      </c>
      <c r="H409" s="48" t="n">
        <v>48</v>
      </c>
      <c r="I409" s="48" t="n">
        <v>141</v>
      </c>
      <c r="J409" s="48" t="n">
        <v>0</v>
      </c>
      <c r="K409" s="48" t="n">
        <v>91</v>
      </c>
      <c r="L409" s="48" t="n">
        <v>64</v>
      </c>
      <c r="M409" s="48" t="n">
        <v>122</v>
      </c>
      <c r="N409" s="48" t="n">
        <v>127</v>
      </c>
      <c r="O409" s="48" t="n">
        <v>28</v>
      </c>
      <c r="P409" s="48" t="n">
        <v>22</v>
      </c>
      <c r="Q409" s="48" t="n">
        <v>28</v>
      </c>
      <c r="R409" s="48" t="n">
        <v>9</v>
      </c>
      <c r="S409" s="48" t="n">
        <v>51</v>
      </c>
      <c r="T409" s="48" t="n">
        <v>13</v>
      </c>
      <c r="U409" s="48" t="n">
        <v>36</v>
      </c>
      <c r="V409" s="48" t="n">
        <v>17</v>
      </c>
      <c r="W409" s="48" t="n">
        <v>55</v>
      </c>
      <c r="X409" s="48" t="n">
        <v>20</v>
      </c>
      <c r="Y409" s="48" t="n">
        <v>38</v>
      </c>
      <c r="Z409" s="48" t="n">
        <v>20</v>
      </c>
      <c r="AA409" s="48" t="n">
        <v>2</v>
      </c>
      <c r="AB409" s="48" t="n">
        <v>3</v>
      </c>
      <c r="AC409" s="48" t="n">
        <v>159</v>
      </c>
      <c r="AD409" s="48" t="n">
        <v>34</v>
      </c>
      <c r="AE409" s="48" t="n">
        <v>125</v>
      </c>
      <c r="AF409" s="48" t="n">
        <v>40</v>
      </c>
      <c r="AG409" s="48" t="n">
        <v>59</v>
      </c>
      <c r="AH409" s="48" t="n">
        <v>38</v>
      </c>
      <c r="AI409" s="48" t="n">
        <v>34</v>
      </c>
      <c r="AJ409" s="48" t="n">
        <v>106</v>
      </c>
      <c r="AK409" s="48" t="n">
        <v>150</v>
      </c>
      <c r="AL409" s="48" t="n">
        <v>52</v>
      </c>
      <c r="AM409" s="48" t="n">
        <v>79</v>
      </c>
      <c r="AN409" s="48" t="n">
        <v>39</v>
      </c>
      <c r="AO409" s="48" t="n">
        <v>25</v>
      </c>
      <c r="AP409" s="48" t="n">
        <v>35</v>
      </c>
      <c r="AQ409" s="48" t="n">
        <v>23</v>
      </c>
      <c r="AR409" s="48" t="n">
        <v>27</v>
      </c>
      <c r="AS409" s="48" t="n">
        <v>93</v>
      </c>
      <c r="AT409" s="48" t="n">
        <v>86</v>
      </c>
      <c r="AU409" s="48" t="n">
        <v>38</v>
      </c>
      <c r="AV409" s="48" t="n">
        <v>55</v>
      </c>
      <c r="AW409" s="48" t="n">
        <v>52</v>
      </c>
      <c r="AX409" s="48" t="n">
        <v>62</v>
      </c>
      <c r="AY409" s="48" t="n">
        <v>63</v>
      </c>
      <c r="AZ409" s="48" t="n">
        <v>67</v>
      </c>
      <c r="BA409" s="48" t="n">
        <v>56</v>
      </c>
      <c r="BB409" s="48" t="n">
        <v>81</v>
      </c>
      <c r="BC409" s="48" t="n">
        <v>144</v>
      </c>
      <c r="BD409" s="48" t="n">
        <v>146</v>
      </c>
      <c r="BE409" s="48" t="n">
        <v>114</v>
      </c>
      <c r="BF409" s="48" t="n">
        <v>163</v>
      </c>
      <c r="BG409" s="49" t="n">
        <v>1.65</v>
      </c>
    </row>
    <row r="410" customFormat="false" ht="15" hidden="false" customHeight="false" outlineLevel="0" collapsed="false">
      <c r="A410" s="43" t="s">
        <v>1056</v>
      </c>
      <c r="B410" s="43" t="s">
        <v>1057</v>
      </c>
      <c r="C410" s="44" t="str">
        <f aca="false">IF(A410="","",IFERROR(INDEX(Assumptions!$B$41:$B$55,MATCH(TRUE(),INDEX(ISNUMBER(SEARCH(" "&amp;Assumptions!$A$41:$A$55&amp;" "," "&amp;SUBSTITUTE(SUBSTITUTE(SUBSTITUTE(SUBSTITUTE(B410,"-"," "),","," "),"/"," "),"."," ")&amp;" ")),0),0)),"Other"))</f>
        <v>Other</v>
      </c>
      <c r="D410" s="45" t="n">
        <f aca="false">IF(A410="","",BG410*(1-Assumptions!$B$18))</f>
        <v>1.53</v>
      </c>
      <c r="E410" s="46" t="n">
        <f aca="false">IF(A410="","",INDEX(Assumptions!$B$23:$B$26,MOD(VALUE(LEFT(A410,5)),4)+1))</f>
        <v>8</v>
      </c>
      <c r="F410" s="47" t="n">
        <v>561</v>
      </c>
      <c r="G410" s="48" t="n">
        <v>0</v>
      </c>
      <c r="H410" s="48" t="n">
        <v>0</v>
      </c>
      <c r="I410" s="48" t="n">
        <v>0</v>
      </c>
      <c r="J410" s="48" t="n">
        <v>0</v>
      </c>
      <c r="K410" s="48" t="n">
        <v>0</v>
      </c>
      <c r="L410" s="48" t="n">
        <v>0</v>
      </c>
      <c r="M410" s="48" t="n">
        <v>0</v>
      </c>
      <c r="N410" s="48" t="n">
        <v>0</v>
      </c>
      <c r="O410" s="48" t="n">
        <v>0</v>
      </c>
      <c r="P410" s="48" t="n">
        <v>0</v>
      </c>
      <c r="Q410" s="48" t="n">
        <v>0</v>
      </c>
      <c r="R410" s="48" t="n">
        <v>0</v>
      </c>
      <c r="S410" s="48" t="n">
        <v>0</v>
      </c>
      <c r="T410" s="48" t="n">
        <v>0</v>
      </c>
      <c r="U410" s="48" t="n">
        <v>0</v>
      </c>
      <c r="V410" s="48" t="n">
        <v>0</v>
      </c>
      <c r="W410" s="48" t="n">
        <v>0</v>
      </c>
      <c r="X410" s="48" t="n">
        <v>0</v>
      </c>
      <c r="Y410" s="48" t="n">
        <v>0</v>
      </c>
      <c r="Z410" s="48" t="n">
        <v>0</v>
      </c>
      <c r="AA410" s="48" t="n">
        <v>0</v>
      </c>
      <c r="AB410" s="48" t="n">
        <v>0</v>
      </c>
      <c r="AC410" s="48" t="n">
        <v>0</v>
      </c>
      <c r="AD410" s="48" t="n">
        <v>0</v>
      </c>
      <c r="AE410" s="48" t="n">
        <v>0</v>
      </c>
      <c r="AF410" s="48" t="n">
        <v>0</v>
      </c>
      <c r="AG410" s="48" t="n">
        <v>0</v>
      </c>
      <c r="AH410" s="48" t="n">
        <v>0</v>
      </c>
      <c r="AI410" s="48" t="n">
        <v>0</v>
      </c>
      <c r="AJ410" s="48" t="n">
        <v>0</v>
      </c>
      <c r="AK410" s="48" t="n">
        <v>0</v>
      </c>
      <c r="AL410" s="48" t="n">
        <v>13</v>
      </c>
      <c r="AM410" s="48" t="n">
        <v>10</v>
      </c>
      <c r="AN410" s="48" t="n">
        <v>40</v>
      </c>
      <c r="AO410" s="48" t="n">
        <v>36</v>
      </c>
      <c r="AP410" s="48" t="n">
        <v>6</v>
      </c>
      <c r="AQ410" s="48" t="n">
        <v>54</v>
      </c>
      <c r="AR410" s="48" t="n">
        <v>12</v>
      </c>
      <c r="AS410" s="48" t="n">
        <v>30</v>
      </c>
      <c r="AT410" s="48" t="n">
        <v>90</v>
      </c>
      <c r="AU410" s="48" t="n">
        <v>62</v>
      </c>
      <c r="AV410" s="48" t="n">
        <v>94</v>
      </c>
      <c r="AW410" s="48" t="n">
        <v>118</v>
      </c>
      <c r="AX410" s="48" t="n">
        <v>161</v>
      </c>
      <c r="AY410" s="48" t="n">
        <v>218</v>
      </c>
      <c r="AZ410" s="48" t="n">
        <v>188</v>
      </c>
      <c r="BA410" s="48" t="n">
        <v>132</v>
      </c>
      <c r="BB410" s="48" t="n">
        <v>224</v>
      </c>
      <c r="BC410" s="48" t="n">
        <v>245</v>
      </c>
      <c r="BD410" s="48" t="n">
        <v>251</v>
      </c>
      <c r="BE410" s="48" t="n">
        <v>117</v>
      </c>
      <c r="BF410" s="48" t="n">
        <v>144</v>
      </c>
      <c r="BG410" s="49" t="n">
        <v>2.55</v>
      </c>
    </row>
    <row r="411" customFormat="false" ht="15" hidden="false" customHeight="false" outlineLevel="0" collapsed="false">
      <c r="A411" s="43" t="s">
        <v>1058</v>
      </c>
      <c r="B411" s="43" t="s">
        <v>1059</v>
      </c>
      <c r="C411" s="44" t="str">
        <f aca="false">IF(A411="","",IFERROR(INDEX(Assumptions!$B$41:$B$55,MATCH(TRUE(),INDEX(ISNUMBER(SEARCH(" "&amp;Assumptions!$A$41:$A$55&amp;" "," "&amp;SUBSTITUTE(SUBSTITUTE(SUBSTITUTE(SUBSTITUTE(B411,"-"," "),","," "),"/"," "),"."," ")&amp;" ")),0),0)),"Other"))</f>
        <v>Kitchen</v>
      </c>
      <c r="D411" s="45" t="n">
        <f aca="false">IF(A411="","",BG411*(1-Assumptions!$B$18))</f>
        <v>0.33</v>
      </c>
      <c r="E411" s="46" t="n">
        <f aca="false">IF(A411="","",INDEX(Assumptions!$B$23:$B$26,MOD(VALUE(LEFT(A411,5)),4)+1))</f>
        <v>8</v>
      </c>
      <c r="F411" s="47" t="n">
        <v>3267</v>
      </c>
      <c r="G411" s="48" t="n">
        <v>42</v>
      </c>
      <c r="H411" s="48" t="n">
        <v>33</v>
      </c>
      <c r="I411" s="48" t="n">
        <v>528</v>
      </c>
      <c r="J411" s="48" t="n">
        <v>0</v>
      </c>
      <c r="K411" s="48" t="n">
        <v>75</v>
      </c>
      <c r="L411" s="48" t="n">
        <v>141</v>
      </c>
      <c r="M411" s="48" t="n">
        <v>77</v>
      </c>
      <c r="N411" s="48" t="n">
        <v>117</v>
      </c>
      <c r="O411" s="48" t="n">
        <v>102</v>
      </c>
      <c r="P411" s="48" t="n">
        <v>175</v>
      </c>
      <c r="Q411" s="48" t="n">
        <v>123</v>
      </c>
      <c r="R411" s="48" t="n">
        <v>342</v>
      </c>
      <c r="S411" s="48" t="n">
        <v>124</v>
      </c>
      <c r="T411" s="48" t="n">
        <v>439</v>
      </c>
      <c r="U411" s="48" t="n">
        <v>82</v>
      </c>
      <c r="V411" s="48" t="n">
        <v>285</v>
      </c>
      <c r="W411" s="48" t="n">
        <v>313</v>
      </c>
      <c r="X411" s="48" t="n">
        <v>113</v>
      </c>
      <c r="Y411" s="48" t="n">
        <v>82</v>
      </c>
      <c r="Z411" s="48" t="n">
        <v>779</v>
      </c>
      <c r="AA411" s="48" t="n">
        <v>39</v>
      </c>
      <c r="AB411" s="48" t="n">
        <v>158</v>
      </c>
      <c r="AC411" s="48" t="n">
        <v>414</v>
      </c>
      <c r="AD411" s="48" t="n">
        <v>59</v>
      </c>
      <c r="AE411" s="48" t="n">
        <v>137</v>
      </c>
      <c r="AF411" s="48" t="n">
        <v>142</v>
      </c>
      <c r="AG411" s="48" t="n">
        <v>168</v>
      </c>
      <c r="AH411" s="48" t="n">
        <v>501</v>
      </c>
      <c r="AI411" s="48" t="n">
        <v>116</v>
      </c>
      <c r="AJ411" s="48" t="n">
        <v>326</v>
      </c>
      <c r="AK411" s="48" t="n">
        <v>821</v>
      </c>
      <c r="AL411" s="48" t="n">
        <v>228</v>
      </c>
      <c r="AM411" s="48" t="n">
        <v>204</v>
      </c>
      <c r="AN411" s="48" t="n">
        <v>158</v>
      </c>
      <c r="AO411" s="48" t="n">
        <v>251</v>
      </c>
      <c r="AP411" s="48" t="n">
        <v>137</v>
      </c>
      <c r="AQ411" s="48" t="n">
        <v>872</v>
      </c>
      <c r="AR411" s="48" t="n">
        <v>260</v>
      </c>
      <c r="AS411" s="48" t="n">
        <v>82</v>
      </c>
      <c r="AT411" s="48" t="n">
        <v>385</v>
      </c>
      <c r="AU411" s="48" t="n">
        <v>799</v>
      </c>
      <c r="AV411" s="48" t="n">
        <v>478</v>
      </c>
      <c r="AW411" s="48" t="n">
        <v>161</v>
      </c>
      <c r="AX411" s="48" t="n">
        <v>158</v>
      </c>
      <c r="AY411" s="48" t="n">
        <v>115</v>
      </c>
      <c r="AZ411" s="48" t="n">
        <v>127</v>
      </c>
      <c r="BA411" s="48" t="n">
        <v>63</v>
      </c>
      <c r="BB411" s="48" t="n">
        <v>151</v>
      </c>
      <c r="BC411" s="48" t="n">
        <v>137</v>
      </c>
      <c r="BD411" s="48" t="n">
        <v>176</v>
      </c>
      <c r="BE411" s="48" t="n">
        <v>238</v>
      </c>
      <c r="BF411" s="48" t="n">
        <v>100</v>
      </c>
      <c r="BG411" s="49" t="n">
        <v>0.55</v>
      </c>
    </row>
    <row r="412" customFormat="false" ht="15" hidden="false" customHeight="false" outlineLevel="0" collapsed="false">
      <c r="A412" s="43" t="s">
        <v>1060</v>
      </c>
      <c r="B412" s="43" t="s">
        <v>1061</v>
      </c>
      <c r="C412" s="44" t="str">
        <f aca="false">IF(A412="","",IFERROR(INDEX(Assumptions!$B$41:$B$55,MATCH(TRUE(),INDEX(ISNUMBER(SEARCH(" "&amp;Assumptions!$A$41:$A$55&amp;" "," "&amp;SUBSTITUTE(SUBSTITUTE(SUBSTITUTE(SUBSTITUTE(B412,"-"," "),","," "),"/"," "),"."," ")&amp;" ")),0),0)),"Other"))</f>
        <v>Other</v>
      </c>
      <c r="D412" s="45" t="n">
        <f aca="false">IF(A412="","",BG412*(1-Assumptions!$B$18))</f>
        <v>7.65</v>
      </c>
      <c r="E412" s="46" t="n">
        <f aca="false">IF(A412="","",INDEX(Assumptions!$B$23:$B$26,MOD(VALUE(LEFT(A412,5)),4)+1))</f>
        <v>6</v>
      </c>
      <c r="F412" s="47" t="n">
        <v>16</v>
      </c>
      <c r="G412" s="48" t="n">
        <v>104</v>
      </c>
      <c r="H412" s="48" t="n">
        <v>77</v>
      </c>
      <c r="I412" s="48" t="n">
        <v>5</v>
      </c>
      <c r="J412" s="48" t="n">
        <v>0</v>
      </c>
      <c r="K412" s="48" t="n">
        <v>15</v>
      </c>
      <c r="L412" s="48" t="n">
        <v>20</v>
      </c>
      <c r="M412" s="48" t="n">
        <v>1</v>
      </c>
      <c r="N412" s="48" t="n">
        <v>1</v>
      </c>
      <c r="O412" s="48" t="n">
        <v>1</v>
      </c>
      <c r="P412" s="48" t="n">
        <v>0</v>
      </c>
      <c r="Q412" s="48" t="n">
        <v>3</v>
      </c>
      <c r="R412" s="48" t="n">
        <v>0</v>
      </c>
      <c r="S412" s="48" t="n">
        <v>0</v>
      </c>
      <c r="T412" s="48" t="n">
        <v>0</v>
      </c>
      <c r="U412" s="48" t="n">
        <v>0</v>
      </c>
      <c r="V412" s="48" t="n">
        <v>0</v>
      </c>
      <c r="W412" s="48" t="n">
        <v>4</v>
      </c>
      <c r="X412" s="48" t="n">
        <v>0</v>
      </c>
      <c r="Y412" s="48" t="n">
        <v>0</v>
      </c>
      <c r="Z412" s="48" t="n">
        <v>0</v>
      </c>
      <c r="AA412" s="48" t="n">
        <v>0</v>
      </c>
      <c r="AB412" s="48" t="n">
        <v>0</v>
      </c>
      <c r="AC412" s="48" t="n">
        <v>0</v>
      </c>
      <c r="AD412" s="48" t="n">
        <v>0</v>
      </c>
      <c r="AE412" s="48" t="n">
        <v>0</v>
      </c>
      <c r="AF412" s="48" t="n">
        <v>0</v>
      </c>
      <c r="AG412" s="48" t="n">
        <v>0</v>
      </c>
      <c r="AH412" s="48" t="n">
        <v>0</v>
      </c>
      <c r="AI412" s="48" t="n">
        <v>0</v>
      </c>
      <c r="AJ412" s="48" t="n">
        <v>0</v>
      </c>
      <c r="AK412" s="48" t="n">
        <v>0</v>
      </c>
      <c r="AL412" s="48" t="n">
        <v>0</v>
      </c>
      <c r="AM412" s="48" t="n">
        <v>0</v>
      </c>
      <c r="AN412" s="48" t="n">
        <v>0</v>
      </c>
      <c r="AO412" s="48" t="n">
        <v>0</v>
      </c>
      <c r="AP412" s="48" t="n">
        <v>0</v>
      </c>
      <c r="AQ412" s="48" t="n">
        <v>0</v>
      </c>
      <c r="AR412" s="48" t="n">
        <v>0</v>
      </c>
      <c r="AS412" s="48" t="n">
        <v>0</v>
      </c>
      <c r="AT412" s="48" t="n">
        <v>6</v>
      </c>
      <c r="AU412" s="48" t="n">
        <v>8</v>
      </c>
      <c r="AV412" s="48" t="n">
        <v>6</v>
      </c>
      <c r="AW412" s="48" t="n">
        <v>9</v>
      </c>
      <c r="AX412" s="48" t="n">
        <v>8</v>
      </c>
      <c r="AY412" s="48" t="n">
        <v>26</v>
      </c>
      <c r="AZ412" s="48" t="n">
        <v>11</v>
      </c>
      <c r="BA412" s="48" t="n">
        <v>7</v>
      </c>
      <c r="BB412" s="48" t="n">
        <v>13</v>
      </c>
      <c r="BC412" s="48" t="n">
        <v>10</v>
      </c>
      <c r="BD412" s="48" t="n">
        <v>15</v>
      </c>
      <c r="BE412" s="48" t="n">
        <v>39</v>
      </c>
      <c r="BF412" s="48" t="n">
        <v>22</v>
      </c>
      <c r="BG412" s="49" t="n">
        <v>12.75</v>
      </c>
    </row>
    <row r="413" customFormat="false" ht="15" hidden="false" customHeight="false" outlineLevel="0" collapsed="false">
      <c r="A413" s="43" t="s">
        <v>1062</v>
      </c>
      <c r="B413" s="43" t="s">
        <v>1063</v>
      </c>
      <c r="C413" s="44" t="str">
        <f aca="false">IF(A413="","",IFERROR(INDEX(Assumptions!$B$41:$B$55,MATCH(TRUE(),INDEX(ISNUMBER(SEARCH(" "&amp;Assumptions!$A$41:$A$55&amp;" "," "&amp;SUBSTITUTE(SUBSTITUTE(SUBSTITUTE(SUBSTITUTE(B413,"-"," "),","," "),"/"," "),"."," ")&amp;" ")),0),0)),"Other"))</f>
        <v>Other</v>
      </c>
      <c r="D413" s="45" t="n">
        <f aca="false">IF(A413="","",BG413*(1-Assumptions!$B$18))</f>
        <v>1.53</v>
      </c>
      <c r="E413" s="46" t="n">
        <f aca="false">IF(A413="","",INDEX(Assumptions!$B$23:$B$26,MOD(VALUE(LEFT(A413,5)),4)+1))</f>
        <v>8</v>
      </c>
      <c r="F413" s="47" t="n">
        <v>573</v>
      </c>
      <c r="G413" s="48" t="n">
        <v>2</v>
      </c>
      <c r="H413" s="48" t="n">
        <v>154</v>
      </c>
      <c r="I413" s="48" t="n">
        <v>126</v>
      </c>
      <c r="J413" s="48" t="n">
        <v>0</v>
      </c>
      <c r="K413" s="48" t="n">
        <v>3</v>
      </c>
      <c r="L413" s="48" t="n">
        <v>29</v>
      </c>
      <c r="M413" s="48" t="n">
        <v>60</v>
      </c>
      <c r="N413" s="48" t="n">
        <v>13</v>
      </c>
      <c r="O413" s="48" t="n">
        <v>37</v>
      </c>
      <c r="P413" s="48" t="n">
        <v>15</v>
      </c>
      <c r="Q413" s="48" t="n">
        <v>6</v>
      </c>
      <c r="R413" s="48" t="n">
        <v>34</v>
      </c>
      <c r="S413" s="48" t="n">
        <v>77</v>
      </c>
      <c r="T413" s="48" t="n">
        <v>101</v>
      </c>
      <c r="U413" s="48" t="n">
        <v>95</v>
      </c>
      <c r="V413" s="48" t="n">
        <v>52</v>
      </c>
      <c r="W413" s="48" t="n">
        <v>34</v>
      </c>
      <c r="X413" s="48" t="n">
        <v>84</v>
      </c>
      <c r="Y413" s="48" t="n">
        <v>80</v>
      </c>
      <c r="Z413" s="48" t="n">
        <v>21</v>
      </c>
      <c r="AA413" s="48" t="n">
        <v>25</v>
      </c>
      <c r="AB413" s="48" t="n">
        <v>43</v>
      </c>
      <c r="AC413" s="48" t="n">
        <v>58</v>
      </c>
      <c r="AD413" s="48" t="n">
        <v>41</v>
      </c>
      <c r="AE413" s="48" t="n">
        <v>47</v>
      </c>
      <c r="AF413" s="48" t="n">
        <v>31</v>
      </c>
      <c r="AG413" s="48" t="n">
        <v>20</v>
      </c>
      <c r="AH413" s="48" t="n">
        <v>27</v>
      </c>
      <c r="AI413" s="48" t="n">
        <v>10</v>
      </c>
      <c r="AJ413" s="48" t="n">
        <v>22</v>
      </c>
      <c r="AK413" s="48" t="n">
        <v>19</v>
      </c>
      <c r="AL413" s="48" t="n">
        <v>27</v>
      </c>
      <c r="AM413" s="48" t="n">
        <v>185</v>
      </c>
      <c r="AN413" s="48" t="n">
        <v>34</v>
      </c>
      <c r="AO413" s="48" t="n">
        <v>115</v>
      </c>
      <c r="AP413" s="48" t="n">
        <v>26</v>
      </c>
      <c r="AQ413" s="48" t="n">
        <v>24</v>
      </c>
      <c r="AR413" s="48" t="n">
        <v>39</v>
      </c>
      <c r="AS413" s="48" t="n">
        <v>14</v>
      </c>
      <c r="AT413" s="48" t="n">
        <v>33</v>
      </c>
      <c r="AU413" s="48" t="n">
        <v>22</v>
      </c>
      <c r="AV413" s="48" t="n">
        <v>25</v>
      </c>
      <c r="AW413" s="48" t="n">
        <v>33</v>
      </c>
      <c r="AX413" s="48" t="n">
        <v>259</v>
      </c>
      <c r="AY413" s="48" t="n">
        <v>23</v>
      </c>
      <c r="AZ413" s="48" t="n">
        <v>35</v>
      </c>
      <c r="BA413" s="48" t="n">
        <v>64</v>
      </c>
      <c r="BB413" s="48" t="n">
        <v>27</v>
      </c>
      <c r="BC413" s="48" t="n">
        <v>41</v>
      </c>
      <c r="BD413" s="48" t="n">
        <v>21</v>
      </c>
      <c r="BE413" s="48" t="n">
        <v>31</v>
      </c>
      <c r="BF413" s="48" t="n">
        <v>39</v>
      </c>
      <c r="BG413" s="49" t="n">
        <v>2.55</v>
      </c>
    </row>
    <row r="414" customFormat="false" ht="15" hidden="false" customHeight="false" outlineLevel="0" collapsed="false">
      <c r="A414" s="43" t="s">
        <v>1064</v>
      </c>
      <c r="B414" s="43" t="s">
        <v>1065</v>
      </c>
      <c r="C414" s="44" t="str">
        <f aca="false">IF(A414="","",IFERROR(INDEX(Assumptions!$B$41:$B$55,MATCH(TRUE(),INDEX(ISNUMBER(SEARCH(" "&amp;Assumptions!$A$41:$A$55&amp;" "," "&amp;SUBSTITUTE(SUBSTITUTE(SUBSTITUTE(SUBSTITUTE(B414,"-"," "),","," "),"/"," "),"."," ")&amp;" ")),0),0)),"Other"))</f>
        <v>Kitchen</v>
      </c>
      <c r="D414" s="45" t="n">
        <f aca="false">IF(A414="","",BG414*(1-Assumptions!$B$18))</f>
        <v>2.25</v>
      </c>
      <c r="E414" s="46" t="n">
        <f aca="false">IF(A414="","",INDEX(Assumptions!$B$23:$B$26,MOD(VALUE(LEFT(A414,5)),4)+1))</f>
        <v>6</v>
      </c>
      <c r="F414" s="47" t="n">
        <v>1002</v>
      </c>
      <c r="G414" s="48" t="n">
        <v>0</v>
      </c>
      <c r="H414" s="48" t="n">
        <v>0</v>
      </c>
      <c r="I414" s="48" t="n">
        <v>0</v>
      </c>
      <c r="J414" s="48" t="n">
        <v>0</v>
      </c>
      <c r="K414" s="48" t="n">
        <v>0</v>
      </c>
      <c r="L414" s="48" t="n">
        <v>0</v>
      </c>
      <c r="M414" s="48" t="n">
        <v>0</v>
      </c>
      <c r="N414" s="48" t="n">
        <v>0</v>
      </c>
      <c r="O414" s="48" t="n">
        <v>0</v>
      </c>
      <c r="P414" s="48" t="n">
        <v>0</v>
      </c>
      <c r="Q414" s="48" t="n">
        <v>0</v>
      </c>
      <c r="R414" s="48" t="n">
        <v>0</v>
      </c>
      <c r="S414" s="48" t="n">
        <v>0</v>
      </c>
      <c r="T414" s="48" t="n">
        <v>0</v>
      </c>
      <c r="U414" s="48" t="n">
        <v>0</v>
      </c>
      <c r="V414" s="48" t="n">
        <v>0</v>
      </c>
      <c r="W414" s="48" t="n">
        <v>0</v>
      </c>
      <c r="X414" s="48" t="n">
        <v>0</v>
      </c>
      <c r="Y414" s="48" t="n">
        <v>0</v>
      </c>
      <c r="Z414" s="48" t="n">
        <v>0</v>
      </c>
      <c r="AA414" s="48" t="n">
        <v>0</v>
      </c>
      <c r="AB414" s="48" t="n">
        <v>0</v>
      </c>
      <c r="AC414" s="48" t="n">
        <v>0</v>
      </c>
      <c r="AD414" s="48" t="n">
        <v>0</v>
      </c>
      <c r="AE414" s="48" t="n">
        <v>0</v>
      </c>
      <c r="AF414" s="48" t="n">
        <v>0</v>
      </c>
      <c r="AG414" s="48" t="n">
        <v>0</v>
      </c>
      <c r="AH414" s="48" t="n">
        <v>0</v>
      </c>
      <c r="AI414" s="48" t="n">
        <v>0</v>
      </c>
      <c r="AJ414" s="48" t="n">
        <v>0</v>
      </c>
      <c r="AK414" s="48" t="n">
        <v>0</v>
      </c>
      <c r="AL414" s="48" t="n">
        <v>0</v>
      </c>
      <c r="AM414" s="48" t="n">
        <v>0</v>
      </c>
      <c r="AN414" s="48" t="n">
        <v>0</v>
      </c>
      <c r="AO414" s="48" t="n">
        <v>0</v>
      </c>
      <c r="AP414" s="48" t="n">
        <v>0</v>
      </c>
      <c r="AQ414" s="48" t="n">
        <v>0</v>
      </c>
      <c r="AR414" s="48" t="n">
        <v>0</v>
      </c>
      <c r="AS414" s="48" t="n">
        <v>0</v>
      </c>
      <c r="AT414" s="48" t="n">
        <v>0</v>
      </c>
      <c r="AU414" s="48" t="n">
        <v>0</v>
      </c>
      <c r="AV414" s="48" t="n">
        <v>0</v>
      </c>
      <c r="AW414" s="48" t="n">
        <v>0</v>
      </c>
      <c r="AX414" s="48" t="n">
        <v>0</v>
      </c>
      <c r="AY414" s="48" t="n">
        <v>90</v>
      </c>
      <c r="AZ414" s="48" t="n">
        <v>356</v>
      </c>
      <c r="BA414" s="48" t="n">
        <v>360</v>
      </c>
      <c r="BB414" s="48" t="n">
        <v>198</v>
      </c>
      <c r="BC414" s="48" t="n">
        <v>150</v>
      </c>
      <c r="BD414" s="48" t="n">
        <v>174</v>
      </c>
      <c r="BE414" s="48" t="n">
        <v>115</v>
      </c>
      <c r="BF414" s="48" t="n">
        <v>90</v>
      </c>
      <c r="BG414" s="49" t="n">
        <v>3.75</v>
      </c>
    </row>
    <row r="415" customFormat="false" ht="15" hidden="false" customHeight="false" outlineLevel="0" collapsed="false">
      <c r="A415" s="43" t="s">
        <v>1066</v>
      </c>
      <c r="B415" s="43" t="s">
        <v>1067</v>
      </c>
      <c r="C415" s="44" t="str">
        <f aca="false">IF(A415="","",IFERROR(INDEX(Assumptions!$B$41:$B$55,MATCH(TRUE(),INDEX(ISNUMBER(SEARCH(" "&amp;Assumptions!$A$41:$A$55&amp;" "," "&amp;SUBSTITUTE(SUBSTITUTE(SUBSTITUTE(SUBSTITUTE(B415,"-"," "),","," "),"/"," "),"."," ")&amp;" ")),0),0)),"Other"))</f>
        <v>Other</v>
      </c>
      <c r="D415" s="45" t="n">
        <f aca="false">IF(A415="","",BG415*(1-Assumptions!$B$18))</f>
        <v>0.75</v>
      </c>
      <c r="E415" s="46" t="n">
        <f aca="false">IF(A415="","",INDEX(Assumptions!$B$23:$B$26,MOD(VALUE(LEFT(A415,5)),4)+1))</f>
        <v>6</v>
      </c>
      <c r="F415" s="47" t="n">
        <v>1076</v>
      </c>
      <c r="G415" s="48" t="n">
        <v>80</v>
      </c>
      <c r="H415" s="48" t="n">
        <v>25</v>
      </c>
      <c r="I415" s="48" t="n">
        <v>22</v>
      </c>
      <c r="J415" s="48" t="n">
        <v>0</v>
      </c>
      <c r="K415" s="48" t="n">
        <v>44</v>
      </c>
      <c r="L415" s="48" t="n">
        <v>47</v>
      </c>
      <c r="M415" s="48" t="n">
        <v>17</v>
      </c>
      <c r="N415" s="48" t="n">
        <v>40</v>
      </c>
      <c r="O415" s="48" t="n">
        <v>271</v>
      </c>
      <c r="P415" s="48" t="n">
        <v>12</v>
      </c>
      <c r="Q415" s="48" t="n">
        <v>50</v>
      </c>
      <c r="R415" s="48" t="n">
        <v>84</v>
      </c>
      <c r="S415" s="48" t="n">
        <v>218</v>
      </c>
      <c r="T415" s="48" t="n">
        <v>70</v>
      </c>
      <c r="U415" s="48" t="n">
        <v>33</v>
      </c>
      <c r="V415" s="48" t="n">
        <v>48</v>
      </c>
      <c r="W415" s="48" t="n">
        <v>49</v>
      </c>
      <c r="X415" s="48" t="n">
        <v>46</v>
      </c>
      <c r="Y415" s="48" t="n">
        <v>243</v>
      </c>
      <c r="Z415" s="48" t="n">
        <v>29</v>
      </c>
      <c r="AA415" s="48" t="n">
        <v>6</v>
      </c>
      <c r="AB415" s="48" t="n">
        <v>85</v>
      </c>
      <c r="AC415" s="48" t="n">
        <v>94</v>
      </c>
      <c r="AD415" s="48" t="n">
        <v>52</v>
      </c>
      <c r="AE415" s="48" t="n">
        <v>45</v>
      </c>
      <c r="AF415" s="48" t="n">
        <v>15</v>
      </c>
      <c r="AG415" s="48" t="n">
        <v>39</v>
      </c>
      <c r="AH415" s="48" t="n">
        <v>218</v>
      </c>
      <c r="AI415" s="48" t="n">
        <v>28</v>
      </c>
      <c r="AJ415" s="48" t="n">
        <v>10</v>
      </c>
      <c r="AK415" s="48" t="n">
        <v>45</v>
      </c>
      <c r="AL415" s="48" t="n">
        <v>17</v>
      </c>
      <c r="AM415" s="48" t="n">
        <v>226</v>
      </c>
      <c r="AN415" s="48" t="n">
        <v>33</v>
      </c>
      <c r="AO415" s="48" t="n">
        <v>69</v>
      </c>
      <c r="AP415" s="48" t="n">
        <v>103</v>
      </c>
      <c r="AQ415" s="48" t="n">
        <v>46</v>
      </c>
      <c r="AR415" s="48" t="n">
        <v>41</v>
      </c>
      <c r="AS415" s="48" t="n">
        <v>12</v>
      </c>
      <c r="AT415" s="48" t="n">
        <v>78</v>
      </c>
      <c r="AU415" s="48" t="n">
        <v>59</v>
      </c>
      <c r="AV415" s="48" t="n">
        <v>58</v>
      </c>
      <c r="AW415" s="48" t="n">
        <v>41</v>
      </c>
      <c r="AX415" s="48" t="n">
        <v>233</v>
      </c>
      <c r="AY415" s="48" t="n">
        <v>73</v>
      </c>
      <c r="AZ415" s="48" t="n">
        <v>23</v>
      </c>
      <c r="BA415" s="48" t="n">
        <v>59</v>
      </c>
      <c r="BB415" s="48" t="n">
        <v>69</v>
      </c>
      <c r="BC415" s="48" t="n">
        <v>88</v>
      </c>
      <c r="BD415" s="48" t="n">
        <v>98</v>
      </c>
      <c r="BE415" s="48" t="n">
        <v>103</v>
      </c>
      <c r="BF415" s="48" t="n">
        <v>136</v>
      </c>
      <c r="BG415" s="49" t="n">
        <v>1.25</v>
      </c>
    </row>
    <row r="416" customFormat="false" ht="15" hidden="false" customHeight="false" outlineLevel="0" collapsed="false">
      <c r="A416" s="43" t="s">
        <v>1068</v>
      </c>
      <c r="B416" s="43" t="s">
        <v>1069</v>
      </c>
      <c r="C416" s="44" t="str">
        <f aca="false">IF(A416="","",IFERROR(INDEX(Assumptions!$B$41:$B$55,MATCH(TRUE(),INDEX(ISNUMBER(SEARCH(" "&amp;Assumptions!$A$41:$A$55&amp;" "," "&amp;SUBSTITUTE(SUBSTITUTE(SUBSTITUTE(SUBSTITUTE(B416,"-"," "),","," "),"/"," "),"."," ")&amp;" ")),0),0)),"Other"))</f>
        <v>Other</v>
      </c>
      <c r="D416" s="45" t="n">
        <f aca="false">IF(A416="","",BG416*(1-Assumptions!$B$18))</f>
        <v>0.75</v>
      </c>
      <c r="E416" s="46" t="n">
        <f aca="false">IF(A416="","",INDEX(Assumptions!$B$23:$B$26,MOD(VALUE(LEFT(A416,5)),4)+1))</f>
        <v>2</v>
      </c>
      <c r="F416" s="47" t="n">
        <v>381</v>
      </c>
      <c r="G416" s="48" t="n">
        <v>0</v>
      </c>
      <c r="H416" s="48" t="n">
        <v>0</v>
      </c>
      <c r="I416" s="48" t="n">
        <v>0</v>
      </c>
      <c r="J416" s="48" t="n">
        <v>0</v>
      </c>
      <c r="K416" s="48" t="n">
        <v>0</v>
      </c>
      <c r="L416" s="48" t="n">
        <v>0</v>
      </c>
      <c r="M416" s="48" t="n">
        <v>0</v>
      </c>
      <c r="N416" s="48" t="n">
        <v>0</v>
      </c>
      <c r="O416" s="48" t="n">
        <v>0</v>
      </c>
      <c r="P416" s="48" t="n">
        <v>0</v>
      </c>
      <c r="Q416" s="48" t="n">
        <v>0</v>
      </c>
      <c r="R416" s="48" t="n">
        <v>0</v>
      </c>
      <c r="S416" s="48" t="n">
        <v>0</v>
      </c>
      <c r="T416" s="48" t="n">
        <v>0</v>
      </c>
      <c r="U416" s="48" t="n">
        <v>0</v>
      </c>
      <c r="V416" s="48" t="n">
        <v>0</v>
      </c>
      <c r="W416" s="48" t="n">
        <v>0</v>
      </c>
      <c r="X416" s="48" t="n">
        <v>0</v>
      </c>
      <c r="Y416" s="48" t="n">
        <v>0</v>
      </c>
      <c r="Z416" s="48" t="n">
        <v>0</v>
      </c>
      <c r="AA416" s="48" t="n">
        <v>0</v>
      </c>
      <c r="AB416" s="48" t="n">
        <v>0</v>
      </c>
      <c r="AC416" s="48" t="n">
        <v>0</v>
      </c>
      <c r="AD416" s="48" t="n">
        <v>0</v>
      </c>
      <c r="AE416" s="48" t="n">
        <v>0</v>
      </c>
      <c r="AF416" s="48" t="n">
        <v>0</v>
      </c>
      <c r="AG416" s="48" t="n">
        <v>0</v>
      </c>
      <c r="AH416" s="48" t="n">
        <v>0</v>
      </c>
      <c r="AI416" s="48" t="n">
        <v>0</v>
      </c>
      <c r="AJ416" s="48" t="n">
        <v>0</v>
      </c>
      <c r="AK416" s="48" t="n">
        <v>0</v>
      </c>
      <c r="AL416" s="48" t="n">
        <v>711</v>
      </c>
      <c r="AM416" s="48" t="n">
        <v>331</v>
      </c>
      <c r="AN416" s="48" t="n">
        <v>745</v>
      </c>
      <c r="AO416" s="48" t="n">
        <v>111</v>
      </c>
      <c r="AP416" s="48" t="n">
        <v>231</v>
      </c>
      <c r="AQ416" s="48" t="n">
        <v>211</v>
      </c>
      <c r="AR416" s="48" t="n">
        <v>107</v>
      </c>
      <c r="AS416" s="48" t="n">
        <v>195</v>
      </c>
      <c r="AT416" s="48" t="n">
        <v>218</v>
      </c>
      <c r="AU416" s="48" t="n">
        <v>88</v>
      </c>
      <c r="AV416" s="48" t="n">
        <v>194</v>
      </c>
      <c r="AW416" s="48" t="n">
        <v>118</v>
      </c>
      <c r="AX416" s="48" t="n">
        <v>380</v>
      </c>
      <c r="AY416" s="48" t="n">
        <v>59</v>
      </c>
      <c r="AZ416" s="48" t="n">
        <v>128</v>
      </c>
      <c r="BA416" s="48" t="n">
        <v>141</v>
      </c>
      <c r="BB416" s="48" t="n">
        <v>162</v>
      </c>
      <c r="BC416" s="48" t="n">
        <v>132</v>
      </c>
      <c r="BD416" s="48" t="n">
        <v>283</v>
      </c>
      <c r="BE416" s="48" t="n">
        <v>311</v>
      </c>
      <c r="BF416" s="48" t="n">
        <v>98</v>
      </c>
      <c r="BG416" s="49" t="n">
        <v>1.25</v>
      </c>
    </row>
    <row r="417" customFormat="false" ht="15" hidden="false" customHeight="false" outlineLevel="0" collapsed="false">
      <c r="A417" s="43" t="s">
        <v>1070</v>
      </c>
      <c r="B417" s="43" t="s">
        <v>1071</v>
      </c>
      <c r="C417" s="44" t="str">
        <f aca="false">IF(A417="","",IFERROR(INDEX(Assumptions!$B$41:$B$55,MATCH(TRUE(),INDEX(ISNUMBER(SEARCH(" "&amp;Assumptions!$A$41:$A$55&amp;" "," "&amp;SUBSTITUTE(SUBSTITUTE(SUBSTITUTE(SUBSTITUTE(B417,"-"," "),","," "),"/"," "),"."," ")&amp;" ")),0),0)),"Other"))</f>
        <v>Other</v>
      </c>
      <c r="D417" s="45" t="n">
        <f aca="false">IF(A417="","",BG417*(1-Assumptions!$B$18))</f>
        <v>4.77</v>
      </c>
      <c r="E417" s="46" t="n">
        <f aca="false">IF(A417="","",INDEX(Assumptions!$B$23:$B$26,MOD(VALUE(LEFT(A417,5)),4)+1))</f>
        <v>6</v>
      </c>
      <c r="F417" s="47" t="n">
        <v>632</v>
      </c>
      <c r="G417" s="48" t="n">
        <v>19</v>
      </c>
      <c r="H417" s="48" t="n">
        <v>10</v>
      </c>
      <c r="I417" s="48" t="n">
        <v>9</v>
      </c>
      <c r="J417" s="48" t="n">
        <v>0</v>
      </c>
      <c r="K417" s="48" t="n">
        <v>5</v>
      </c>
      <c r="L417" s="48" t="n">
        <v>14</v>
      </c>
      <c r="M417" s="48" t="n">
        <v>9</v>
      </c>
      <c r="N417" s="48" t="n">
        <v>15</v>
      </c>
      <c r="O417" s="48" t="n">
        <v>5</v>
      </c>
      <c r="P417" s="48" t="n">
        <v>13</v>
      </c>
      <c r="Q417" s="48" t="n">
        <v>28</v>
      </c>
      <c r="R417" s="48" t="n">
        <v>28</v>
      </c>
      <c r="S417" s="48" t="n">
        <v>17</v>
      </c>
      <c r="T417" s="48" t="n">
        <v>11</v>
      </c>
      <c r="U417" s="48" t="n">
        <v>0</v>
      </c>
      <c r="V417" s="48" t="n">
        <v>14</v>
      </c>
      <c r="W417" s="48" t="n">
        <v>14</v>
      </c>
      <c r="X417" s="48" t="n">
        <v>6</v>
      </c>
      <c r="Y417" s="48" t="n">
        <v>20</v>
      </c>
      <c r="Z417" s="48" t="n">
        <v>3</v>
      </c>
      <c r="AA417" s="48" t="n">
        <v>4</v>
      </c>
      <c r="AB417" s="48" t="n">
        <v>9</v>
      </c>
      <c r="AC417" s="48" t="n">
        <v>20</v>
      </c>
      <c r="AD417" s="48" t="n">
        <v>5</v>
      </c>
      <c r="AE417" s="48" t="n">
        <v>16</v>
      </c>
      <c r="AF417" s="48" t="n">
        <v>1</v>
      </c>
      <c r="AG417" s="48" t="n">
        <v>4</v>
      </c>
      <c r="AH417" s="48" t="n">
        <v>13</v>
      </c>
      <c r="AI417" s="48" t="n">
        <v>12</v>
      </c>
      <c r="AJ417" s="48" t="n">
        <v>8</v>
      </c>
      <c r="AK417" s="48" t="n">
        <v>14</v>
      </c>
      <c r="AL417" s="48" t="n">
        <v>9</v>
      </c>
      <c r="AM417" s="48" t="n">
        <v>3</v>
      </c>
      <c r="AN417" s="48" t="n">
        <v>10</v>
      </c>
      <c r="AO417" s="48" t="n">
        <v>9</v>
      </c>
      <c r="AP417" s="48" t="n">
        <v>5</v>
      </c>
      <c r="AQ417" s="48" t="n">
        <v>2</v>
      </c>
      <c r="AR417" s="48" t="n">
        <v>2</v>
      </c>
      <c r="AS417" s="48" t="n">
        <v>3</v>
      </c>
      <c r="AT417" s="48" t="n">
        <v>8</v>
      </c>
      <c r="AU417" s="48" t="n">
        <v>176</v>
      </c>
      <c r="AV417" s="48" t="n">
        <v>12</v>
      </c>
      <c r="AW417" s="48" t="n">
        <v>28</v>
      </c>
      <c r="AX417" s="48" t="n">
        <v>27</v>
      </c>
      <c r="AY417" s="48" t="n">
        <v>26</v>
      </c>
      <c r="AZ417" s="48" t="n">
        <v>25</v>
      </c>
      <c r="BA417" s="48" t="n">
        <v>8</v>
      </c>
      <c r="BB417" s="48" t="n">
        <v>18</v>
      </c>
      <c r="BC417" s="48" t="n">
        <v>26</v>
      </c>
      <c r="BD417" s="48" t="n">
        <v>16</v>
      </c>
      <c r="BE417" s="48" t="n">
        <v>12</v>
      </c>
      <c r="BF417" s="48" t="n">
        <v>12</v>
      </c>
      <c r="BG417" s="49" t="n">
        <v>7.95</v>
      </c>
    </row>
    <row r="418" customFormat="false" ht="15" hidden="false" customHeight="false" outlineLevel="0" collapsed="false">
      <c r="A418" s="43" t="s">
        <v>1072</v>
      </c>
      <c r="B418" s="43" t="s">
        <v>1073</v>
      </c>
      <c r="C418" s="44" t="str">
        <f aca="false">IF(A418="","",IFERROR(INDEX(Assumptions!$B$41:$B$55,MATCH(TRUE(),INDEX(ISNUMBER(SEARCH(" "&amp;Assumptions!$A$41:$A$55&amp;" "," "&amp;SUBSTITUTE(SUBSTITUTE(SUBSTITUTE(SUBSTITUTE(B418,"-"," "),","," "),"/"," "),"."," ")&amp;" ")),0),0)),"Other"))</f>
        <v>Other</v>
      </c>
      <c r="D418" s="45" t="n">
        <f aca="false">IF(A418="","",BG418*(1-Assumptions!$B$18))</f>
        <v>0.99</v>
      </c>
      <c r="E418" s="46" t="n">
        <f aca="false">IF(A418="","",INDEX(Assumptions!$B$23:$B$26,MOD(VALUE(LEFT(A418,5)),4)+1))</f>
        <v>2</v>
      </c>
      <c r="F418" s="47" t="n">
        <v>645</v>
      </c>
      <c r="G418" s="48" t="n">
        <v>0</v>
      </c>
      <c r="H418" s="48" t="n">
        <v>0</v>
      </c>
      <c r="I418" s="48" t="n">
        <v>0</v>
      </c>
      <c r="J418" s="48" t="n">
        <v>0</v>
      </c>
      <c r="K418" s="48" t="n">
        <v>0</v>
      </c>
      <c r="L418" s="48" t="n">
        <v>0</v>
      </c>
      <c r="M418" s="48" t="n">
        <v>0</v>
      </c>
      <c r="N418" s="48" t="n">
        <v>0</v>
      </c>
      <c r="O418" s="48" t="n">
        <v>0</v>
      </c>
      <c r="P418" s="48" t="n">
        <v>0</v>
      </c>
      <c r="Q418" s="48" t="n">
        <v>0</v>
      </c>
      <c r="R418" s="48" t="n">
        <v>0</v>
      </c>
      <c r="S418" s="48" t="n">
        <v>0</v>
      </c>
      <c r="T418" s="48" t="n">
        <v>0</v>
      </c>
      <c r="U418" s="48" t="n">
        <v>0</v>
      </c>
      <c r="V418" s="48" t="n">
        <v>0</v>
      </c>
      <c r="W418" s="48" t="n">
        <v>0</v>
      </c>
      <c r="X418" s="48" t="n">
        <v>0</v>
      </c>
      <c r="Y418" s="48" t="n">
        <v>0</v>
      </c>
      <c r="Z418" s="48" t="n">
        <v>0</v>
      </c>
      <c r="AA418" s="48" t="n">
        <v>0</v>
      </c>
      <c r="AB418" s="48" t="n">
        <v>0</v>
      </c>
      <c r="AC418" s="48" t="n">
        <v>98</v>
      </c>
      <c r="AD418" s="48" t="n">
        <v>212</v>
      </c>
      <c r="AE418" s="48" t="n">
        <v>110</v>
      </c>
      <c r="AF418" s="48" t="n">
        <v>72</v>
      </c>
      <c r="AG418" s="48" t="n">
        <v>44</v>
      </c>
      <c r="AH418" s="48" t="n">
        <v>294</v>
      </c>
      <c r="AI418" s="48" t="n">
        <v>48</v>
      </c>
      <c r="AJ418" s="48" t="n">
        <v>9</v>
      </c>
      <c r="AK418" s="48" t="n">
        <v>73</v>
      </c>
      <c r="AL418" s="48" t="n">
        <v>64</v>
      </c>
      <c r="AM418" s="48" t="n">
        <v>70</v>
      </c>
      <c r="AN418" s="48" t="n">
        <v>78</v>
      </c>
      <c r="AO418" s="48" t="n">
        <v>101</v>
      </c>
      <c r="AP418" s="48" t="n">
        <v>117</v>
      </c>
      <c r="AQ418" s="48" t="n">
        <v>41</v>
      </c>
      <c r="AR418" s="48" t="n">
        <v>108</v>
      </c>
      <c r="AS418" s="48" t="n">
        <v>23</v>
      </c>
      <c r="AT418" s="48" t="n">
        <v>113</v>
      </c>
      <c r="AU418" s="48" t="n">
        <v>171</v>
      </c>
      <c r="AV418" s="48" t="n">
        <v>101</v>
      </c>
      <c r="AW418" s="48" t="n">
        <v>66</v>
      </c>
      <c r="AX418" s="48" t="n">
        <v>132</v>
      </c>
      <c r="AY418" s="48" t="n">
        <v>137</v>
      </c>
      <c r="AZ418" s="48" t="n">
        <v>286</v>
      </c>
      <c r="BA418" s="48" t="n">
        <v>37</v>
      </c>
      <c r="BB418" s="48" t="n">
        <v>74</v>
      </c>
      <c r="BC418" s="48" t="n">
        <v>243</v>
      </c>
      <c r="BD418" s="48" t="n">
        <v>294</v>
      </c>
      <c r="BE418" s="48" t="n">
        <v>67</v>
      </c>
      <c r="BF418" s="48" t="n">
        <v>71</v>
      </c>
      <c r="BG418" s="49" t="n">
        <v>1.65</v>
      </c>
    </row>
    <row r="419" customFormat="false" ht="15" hidden="false" customHeight="false" outlineLevel="0" collapsed="false">
      <c r="A419" s="43" t="s">
        <v>1074</v>
      </c>
      <c r="B419" s="43" t="s">
        <v>1075</v>
      </c>
      <c r="C419" s="44" t="str">
        <f aca="false">IF(A419="","",IFERROR(INDEX(Assumptions!$B$41:$B$55,MATCH(TRUE(),INDEX(ISNUMBER(SEARCH(" "&amp;Assumptions!$A$41:$A$55&amp;" "," "&amp;SUBSTITUTE(SUBSTITUTE(SUBSTITUTE(SUBSTITUTE(B419,"-"," "),","," "),"/"," "),"."," ")&amp;" ")),0),0)),"Other"))</f>
        <v>Other</v>
      </c>
      <c r="D419" s="45" t="n">
        <f aca="false">IF(A419="","",BG419*(1-Assumptions!$B$18))</f>
        <v>0.75</v>
      </c>
      <c r="E419" s="46" t="n">
        <f aca="false">IF(A419="","",INDEX(Assumptions!$B$23:$B$26,MOD(VALUE(LEFT(A419,5)),4)+1))</f>
        <v>8</v>
      </c>
      <c r="F419" s="47" t="n">
        <v>2210</v>
      </c>
      <c r="G419" s="48" t="n">
        <v>25</v>
      </c>
      <c r="H419" s="48" t="n">
        <v>255</v>
      </c>
      <c r="I419" s="48" t="n">
        <v>17</v>
      </c>
      <c r="J419" s="48" t="n">
        <v>0</v>
      </c>
      <c r="K419" s="48" t="n">
        <v>74</v>
      </c>
      <c r="L419" s="48" t="n">
        <v>48</v>
      </c>
      <c r="M419" s="48" t="n">
        <v>101</v>
      </c>
      <c r="N419" s="48" t="n">
        <v>83</v>
      </c>
      <c r="O419" s="48" t="n">
        <v>74</v>
      </c>
      <c r="P419" s="48" t="n">
        <v>41</v>
      </c>
      <c r="Q419" s="48" t="n">
        <v>200</v>
      </c>
      <c r="R419" s="48" t="n">
        <v>242</v>
      </c>
      <c r="S419" s="48" t="n">
        <v>28</v>
      </c>
      <c r="T419" s="48" t="n">
        <v>81</v>
      </c>
      <c r="U419" s="48" t="n">
        <v>74</v>
      </c>
      <c r="V419" s="48" t="n">
        <v>45</v>
      </c>
      <c r="W419" s="48" t="n">
        <v>38</v>
      </c>
      <c r="X419" s="48" t="n">
        <v>55</v>
      </c>
      <c r="Y419" s="48" t="n">
        <v>124</v>
      </c>
      <c r="Z419" s="48" t="n">
        <v>158</v>
      </c>
      <c r="AA419" s="48" t="n">
        <v>180</v>
      </c>
      <c r="AB419" s="48" t="n">
        <v>36</v>
      </c>
      <c r="AC419" s="48" t="n">
        <v>67</v>
      </c>
      <c r="AD419" s="48" t="n">
        <v>96</v>
      </c>
      <c r="AE419" s="48" t="n">
        <v>58</v>
      </c>
      <c r="AF419" s="48" t="n">
        <v>85</v>
      </c>
      <c r="AG419" s="48" t="n">
        <v>73</v>
      </c>
      <c r="AH419" s="48" t="n">
        <v>79</v>
      </c>
      <c r="AI419" s="48" t="n">
        <v>12</v>
      </c>
      <c r="AJ419" s="48" t="n">
        <v>62</v>
      </c>
      <c r="AK419" s="48" t="n">
        <v>33</v>
      </c>
      <c r="AL419" s="48" t="n">
        <v>157</v>
      </c>
      <c r="AM419" s="48" t="n">
        <v>48</v>
      </c>
      <c r="AN419" s="48" t="n">
        <v>45</v>
      </c>
      <c r="AO419" s="48" t="n">
        <v>47</v>
      </c>
      <c r="AP419" s="48" t="n">
        <v>116</v>
      </c>
      <c r="AQ419" s="48" t="n">
        <v>80</v>
      </c>
      <c r="AR419" s="48" t="n">
        <v>150</v>
      </c>
      <c r="AS419" s="48" t="n">
        <v>77</v>
      </c>
      <c r="AT419" s="48" t="n">
        <v>57</v>
      </c>
      <c r="AU419" s="48" t="n">
        <v>133</v>
      </c>
      <c r="AV419" s="48" t="n">
        <v>112</v>
      </c>
      <c r="AW419" s="48" t="n">
        <v>33</v>
      </c>
      <c r="AX419" s="48" t="n">
        <v>101</v>
      </c>
      <c r="AY419" s="48" t="n">
        <v>77</v>
      </c>
      <c r="AZ419" s="48" t="n">
        <v>9</v>
      </c>
      <c r="BA419" s="48" t="n">
        <v>54</v>
      </c>
      <c r="BB419" s="48" t="n">
        <v>25</v>
      </c>
      <c r="BC419" s="48" t="n">
        <v>158</v>
      </c>
      <c r="BD419" s="48" t="n">
        <v>134</v>
      </c>
      <c r="BE419" s="48" t="n">
        <v>52</v>
      </c>
      <c r="BF419" s="48" t="n">
        <v>47</v>
      </c>
      <c r="BG419" s="49" t="n">
        <v>1.25</v>
      </c>
    </row>
    <row r="420" customFormat="false" ht="15" hidden="false" customHeight="false" outlineLevel="0" collapsed="false">
      <c r="A420" s="43" t="s">
        <v>1076</v>
      </c>
      <c r="B420" s="43" t="s">
        <v>1077</v>
      </c>
      <c r="C420" s="44" t="str">
        <f aca="false">IF(A420="","",IFERROR(INDEX(Assumptions!$B$41:$B$55,MATCH(TRUE(),INDEX(ISNUMBER(SEARCH(" "&amp;Assumptions!$A$41:$A$55&amp;" "," "&amp;SUBSTITUTE(SUBSTITUTE(SUBSTITUTE(SUBSTITUTE(B420,"-"," "),","," "),"/"," "),"."," ")&amp;" ")),0),0)),"Other"))</f>
        <v>Other</v>
      </c>
      <c r="D420" s="45" t="n">
        <f aca="false">IF(A420="","",BG420*(1-Assumptions!$B$18))</f>
        <v>4.95</v>
      </c>
      <c r="E420" s="46" t="n">
        <f aca="false">IF(A420="","",INDEX(Assumptions!$B$23:$B$26,MOD(VALUE(LEFT(A420,5)),4)+1))</f>
        <v>2</v>
      </c>
      <c r="F420" s="47" t="n">
        <v>636</v>
      </c>
      <c r="G420" s="48" t="n">
        <v>0</v>
      </c>
      <c r="H420" s="48" t="n">
        <v>0</v>
      </c>
      <c r="I420" s="48" t="n">
        <v>0</v>
      </c>
      <c r="J420" s="48" t="n">
        <v>0</v>
      </c>
      <c r="K420" s="48" t="n">
        <v>0</v>
      </c>
      <c r="L420" s="48" t="n">
        <v>0</v>
      </c>
      <c r="M420" s="48" t="n">
        <v>0</v>
      </c>
      <c r="N420" s="48" t="n">
        <v>0</v>
      </c>
      <c r="O420" s="48" t="n">
        <v>0</v>
      </c>
      <c r="P420" s="48" t="n">
        <v>0</v>
      </c>
      <c r="Q420" s="48" t="n">
        <v>0</v>
      </c>
      <c r="R420" s="48" t="n">
        <v>0</v>
      </c>
      <c r="S420" s="48" t="n">
        <v>3</v>
      </c>
      <c r="T420" s="48" t="n">
        <v>21</v>
      </c>
      <c r="U420" s="48" t="n">
        <v>37</v>
      </c>
      <c r="V420" s="48" t="n">
        <v>16</v>
      </c>
      <c r="W420" s="48" t="n">
        <v>22</v>
      </c>
      <c r="X420" s="48" t="n">
        <v>17</v>
      </c>
      <c r="Y420" s="48" t="n">
        <v>32</v>
      </c>
      <c r="Z420" s="48" t="n">
        <v>22</v>
      </c>
      <c r="AA420" s="48" t="n">
        <v>15</v>
      </c>
      <c r="AB420" s="48" t="n">
        <v>36</v>
      </c>
      <c r="AC420" s="48" t="n">
        <v>30</v>
      </c>
      <c r="AD420" s="48" t="n">
        <v>41</v>
      </c>
      <c r="AE420" s="48" t="n">
        <v>32</v>
      </c>
      <c r="AF420" s="48" t="n">
        <v>8</v>
      </c>
      <c r="AG420" s="48" t="n">
        <v>54</v>
      </c>
      <c r="AH420" s="48" t="n">
        <v>24</v>
      </c>
      <c r="AI420" s="48" t="n">
        <v>15</v>
      </c>
      <c r="AJ420" s="48" t="n">
        <v>10</v>
      </c>
      <c r="AK420" s="48" t="n">
        <v>24</v>
      </c>
      <c r="AL420" s="48" t="n">
        <v>17</v>
      </c>
      <c r="AM420" s="48" t="n">
        <v>34</v>
      </c>
      <c r="AN420" s="48" t="n">
        <v>18</v>
      </c>
      <c r="AO420" s="48" t="n">
        <v>17</v>
      </c>
      <c r="AP420" s="48" t="n">
        <v>16</v>
      </c>
      <c r="AQ420" s="48" t="n">
        <v>7</v>
      </c>
      <c r="AR420" s="48" t="n">
        <v>8</v>
      </c>
      <c r="AS420" s="48" t="n">
        <v>11</v>
      </c>
      <c r="AT420" s="48" t="n">
        <v>7</v>
      </c>
      <c r="AU420" s="48" t="n">
        <v>7</v>
      </c>
      <c r="AV420" s="48" t="n">
        <v>5</v>
      </c>
      <c r="AW420" s="48" t="n">
        <v>4</v>
      </c>
      <c r="AX420" s="48" t="n">
        <v>8</v>
      </c>
      <c r="AY420" s="48" t="n">
        <v>1</v>
      </c>
      <c r="AZ420" s="48" t="n">
        <v>1</v>
      </c>
      <c r="BA420" s="48" t="n">
        <v>2</v>
      </c>
      <c r="BB420" s="48" t="n">
        <v>9</v>
      </c>
      <c r="BC420" s="48" t="n">
        <v>4</v>
      </c>
      <c r="BD420" s="48" t="n">
        <v>4</v>
      </c>
      <c r="BE420" s="48" t="n">
        <v>3</v>
      </c>
      <c r="BF420" s="48" t="n">
        <v>6</v>
      </c>
      <c r="BG420" s="49" t="n">
        <v>8.25</v>
      </c>
    </row>
    <row r="421" customFormat="false" ht="15" hidden="false" customHeight="false" outlineLevel="0" collapsed="false">
      <c r="A421" s="43" t="s">
        <v>1078</v>
      </c>
      <c r="B421" s="43" t="s">
        <v>1079</v>
      </c>
      <c r="C421" s="44" t="str">
        <f aca="false">IF(A421="","",IFERROR(INDEX(Assumptions!$B$41:$B$55,MATCH(TRUE(),INDEX(ISNUMBER(SEARCH(" "&amp;Assumptions!$A$41:$A$55&amp;" "," "&amp;SUBSTITUTE(SUBSTITUTE(SUBSTITUTE(SUBSTITUTE(B421,"-"," "),","," "),"/"," "),"."," ")&amp;" ")),0),0)),"Other"))</f>
        <v>Other</v>
      </c>
      <c r="D421" s="45" t="n">
        <f aca="false">IF(A421="","",BG421*(1-Assumptions!$B$18))</f>
        <v>7.488</v>
      </c>
      <c r="E421" s="46" t="n">
        <f aca="false">IF(A421="","",INDEX(Assumptions!$B$23:$B$26,MOD(VALUE(LEFT(A421,5)),4)+1))</f>
        <v>8</v>
      </c>
      <c r="F421" s="47" t="n">
        <v>88</v>
      </c>
      <c r="G421" s="48" t="n">
        <v>0</v>
      </c>
      <c r="H421" s="48" t="n">
        <v>33</v>
      </c>
      <c r="I421" s="48" t="n">
        <v>4</v>
      </c>
      <c r="J421" s="48" t="n">
        <v>0</v>
      </c>
      <c r="K421" s="48" t="n">
        <v>12</v>
      </c>
      <c r="L421" s="48" t="n">
        <v>3</v>
      </c>
      <c r="M421" s="48" t="n">
        <v>17</v>
      </c>
      <c r="N421" s="48" t="n">
        <v>15</v>
      </c>
      <c r="O421" s="48" t="n">
        <v>0</v>
      </c>
      <c r="P421" s="48" t="n">
        <v>2</v>
      </c>
      <c r="Q421" s="48" t="n">
        <v>0</v>
      </c>
      <c r="R421" s="48" t="n">
        <v>10</v>
      </c>
      <c r="S421" s="48" t="n">
        <v>4</v>
      </c>
      <c r="T421" s="48" t="n">
        <v>0</v>
      </c>
      <c r="U421" s="48" t="n">
        <v>1</v>
      </c>
      <c r="V421" s="48" t="n">
        <v>0</v>
      </c>
      <c r="W421" s="48" t="n">
        <v>0</v>
      </c>
      <c r="X421" s="48" t="n">
        <v>0</v>
      </c>
      <c r="Y421" s="48" t="n">
        <v>0</v>
      </c>
      <c r="Z421" s="48" t="n">
        <v>0</v>
      </c>
      <c r="AA421" s="48" t="n">
        <v>0</v>
      </c>
      <c r="AB421" s="48" t="n">
        <v>0</v>
      </c>
      <c r="AC421" s="48" t="n">
        <v>0</v>
      </c>
      <c r="AD421" s="48" t="n">
        <v>80</v>
      </c>
      <c r="AE421" s="48" t="n">
        <v>0</v>
      </c>
      <c r="AF421" s="48" t="n">
        <v>1</v>
      </c>
      <c r="AG421" s="48" t="n">
        <v>74</v>
      </c>
      <c r="AH421" s="48" t="n">
        <v>200</v>
      </c>
      <c r="AI421" s="48" t="n">
        <v>0</v>
      </c>
      <c r="AJ421" s="48" t="n">
        <v>0</v>
      </c>
      <c r="AK421" s="48" t="n">
        <v>0</v>
      </c>
      <c r="AL421" s="48" t="n">
        <v>0</v>
      </c>
      <c r="AM421" s="48" t="n">
        <v>0</v>
      </c>
      <c r="AN421" s="48" t="n">
        <v>0</v>
      </c>
      <c r="AO421" s="48" t="n">
        <v>0</v>
      </c>
      <c r="AP421" s="48" t="n">
        <v>0</v>
      </c>
      <c r="AQ421" s="48" t="n">
        <v>0</v>
      </c>
      <c r="AR421" s="48" t="n">
        <v>0</v>
      </c>
      <c r="AS421" s="48" t="n">
        <v>0</v>
      </c>
      <c r="AT421" s="48" t="n">
        <v>0</v>
      </c>
      <c r="AU421" s="48" t="n">
        <v>0</v>
      </c>
      <c r="AV421" s="48" t="n">
        <v>0</v>
      </c>
      <c r="AW421" s="48" t="n">
        <v>0</v>
      </c>
      <c r="AX421" s="48" t="n">
        <v>0</v>
      </c>
      <c r="AY421" s="48" t="n">
        <v>0</v>
      </c>
      <c r="AZ421" s="48" t="n">
        <v>0</v>
      </c>
      <c r="BA421" s="48" t="n">
        <v>0</v>
      </c>
      <c r="BB421" s="48" t="n">
        <v>0</v>
      </c>
      <c r="BC421" s="48" t="n">
        <v>0</v>
      </c>
      <c r="BD421" s="48" t="n">
        <v>0</v>
      </c>
      <c r="BE421" s="48" t="n">
        <v>0</v>
      </c>
      <c r="BF421" s="48" t="n">
        <v>0</v>
      </c>
      <c r="BG421" s="49" t="n">
        <v>12.48</v>
      </c>
    </row>
    <row r="422" customFormat="false" ht="15" hidden="false" customHeight="false" outlineLevel="0" collapsed="false">
      <c r="A422" s="43" t="s">
        <v>1080</v>
      </c>
      <c r="B422" s="43" t="s">
        <v>1081</v>
      </c>
      <c r="C422" s="44" t="str">
        <f aca="false">IF(A422="","",IFERROR(INDEX(Assumptions!$B$41:$B$55,MATCH(TRUE(),INDEX(ISNUMBER(SEARCH(" "&amp;Assumptions!$A$41:$A$55&amp;" "," "&amp;SUBSTITUTE(SUBSTITUTE(SUBSTITUTE(SUBSTITUTE(B422,"-"," "),","," "),"/"," "),"."," ")&amp;" ")),0),0)),"Other"))</f>
        <v>Other</v>
      </c>
      <c r="D422" s="45" t="n">
        <f aca="false">IF(A422="","",BG422*(1-Assumptions!$B$18))</f>
        <v>0.75</v>
      </c>
      <c r="E422" s="46" t="n">
        <f aca="false">IF(A422="","",INDEX(Assumptions!$B$23:$B$26,MOD(VALUE(LEFT(A422,5)),4)+1))</f>
        <v>4</v>
      </c>
      <c r="F422" s="47" t="n">
        <v>567</v>
      </c>
      <c r="G422" s="48" t="n">
        <v>34</v>
      </c>
      <c r="H422" s="48" t="n">
        <v>244</v>
      </c>
      <c r="I422" s="48" t="n">
        <v>18</v>
      </c>
      <c r="J422" s="48" t="n">
        <v>0</v>
      </c>
      <c r="K422" s="48" t="n">
        <v>67</v>
      </c>
      <c r="L422" s="48" t="n">
        <v>54</v>
      </c>
      <c r="M422" s="48" t="n">
        <v>71</v>
      </c>
      <c r="N422" s="48" t="n">
        <v>153</v>
      </c>
      <c r="O422" s="48" t="n">
        <v>61</v>
      </c>
      <c r="P422" s="48" t="n">
        <v>44</v>
      </c>
      <c r="Q422" s="48" t="n">
        <v>284</v>
      </c>
      <c r="R422" s="48" t="n">
        <v>104</v>
      </c>
      <c r="S422" s="48" t="n">
        <v>18</v>
      </c>
      <c r="T422" s="48" t="n">
        <v>54</v>
      </c>
      <c r="U422" s="48" t="n">
        <v>158</v>
      </c>
      <c r="V422" s="48" t="n">
        <v>89</v>
      </c>
      <c r="W422" s="48" t="n">
        <v>18</v>
      </c>
      <c r="X422" s="48" t="n">
        <v>45</v>
      </c>
      <c r="Y422" s="48" t="n">
        <v>85</v>
      </c>
      <c r="Z422" s="48" t="n">
        <v>43</v>
      </c>
      <c r="AA422" s="48" t="n">
        <v>43</v>
      </c>
      <c r="AB422" s="48" t="n">
        <v>78</v>
      </c>
      <c r="AC422" s="48" t="n">
        <v>163</v>
      </c>
      <c r="AD422" s="48" t="n">
        <v>81</v>
      </c>
      <c r="AE422" s="48" t="n">
        <v>98</v>
      </c>
      <c r="AF422" s="48" t="n">
        <v>120</v>
      </c>
      <c r="AG422" s="48" t="n">
        <v>130</v>
      </c>
      <c r="AH422" s="48" t="n">
        <v>140</v>
      </c>
      <c r="AI422" s="48" t="n">
        <v>216</v>
      </c>
      <c r="AJ422" s="48" t="n">
        <v>103</v>
      </c>
      <c r="AK422" s="48" t="n">
        <v>17</v>
      </c>
      <c r="AL422" s="48" t="n">
        <v>115</v>
      </c>
      <c r="AM422" s="48" t="n">
        <v>40</v>
      </c>
      <c r="AN422" s="48" t="n">
        <v>14</v>
      </c>
      <c r="AO422" s="48" t="n">
        <v>51</v>
      </c>
      <c r="AP422" s="48" t="n">
        <v>42</v>
      </c>
      <c r="AQ422" s="48" t="n">
        <v>39</v>
      </c>
      <c r="AR422" s="48" t="n">
        <v>4</v>
      </c>
      <c r="AS422" s="48" t="n">
        <v>2</v>
      </c>
      <c r="AT422" s="48" t="n">
        <v>28</v>
      </c>
      <c r="AU422" s="48" t="n">
        <v>174</v>
      </c>
      <c r="AV422" s="48" t="n">
        <v>136</v>
      </c>
      <c r="AW422" s="48" t="n">
        <v>71</v>
      </c>
      <c r="AX422" s="48" t="n">
        <v>101</v>
      </c>
      <c r="AY422" s="48" t="n">
        <v>57</v>
      </c>
      <c r="AZ422" s="48" t="n">
        <v>127</v>
      </c>
      <c r="BA422" s="48" t="n">
        <v>82</v>
      </c>
      <c r="BB422" s="48" t="n">
        <v>59</v>
      </c>
      <c r="BC422" s="48" t="n">
        <v>97</v>
      </c>
      <c r="BD422" s="48" t="n">
        <v>24</v>
      </c>
      <c r="BE422" s="48" t="n">
        <v>51</v>
      </c>
      <c r="BF422" s="48" t="n">
        <v>66</v>
      </c>
      <c r="BG422" s="49" t="n">
        <v>1.25</v>
      </c>
    </row>
    <row r="423" customFormat="false" ht="15" hidden="false" customHeight="false" outlineLevel="0" collapsed="false">
      <c r="A423" s="43" t="s">
        <v>1082</v>
      </c>
      <c r="B423" s="43" t="s">
        <v>1083</v>
      </c>
      <c r="C423" s="44" t="str">
        <f aca="false">IF(A423="","",IFERROR(INDEX(Assumptions!$B$41:$B$55,MATCH(TRUE(),INDEX(ISNUMBER(SEARCH(" "&amp;Assumptions!$A$41:$A$55&amp;" "," "&amp;SUBSTITUTE(SUBSTITUTE(SUBSTITUTE(SUBSTITUTE(B423,"-"," "),","," "),"/"," "),"."," ")&amp;" ")),0),0)),"Other"))</f>
        <v>Other</v>
      </c>
      <c r="D423" s="45" t="n">
        <f aca="false">IF(A423="","",BG423*(1-Assumptions!$B$18))</f>
        <v>2.97</v>
      </c>
      <c r="E423" s="46" t="n">
        <f aca="false">IF(A423="","",INDEX(Assumptions!$B$23:$B$26,MOD(VALUE(LEFT(A423,5)),4)+1))</f>
        <v>4</v>
      </c>
      <c r="F423" s="47" t="n">
        <v>198</v>
      </c>
      <c r="G423" s="48" t="n">
        <v>0</v>
      </c>
      <c r="H423" s="48" t="n">
        <v>0</v>
      </c>
      <c r="I423" s="48" t="n">
        <v>0</v>
      </c>
      <c r="J423" s="48" t="n">
        <v>0</v>
      </c>
      <c r="K423" s="48" t="n">
        <v>0</v>
      </c>
      <c r="L423" s="48" t="n">
        <v>0</v>
      </c>
      <c r="M423" s="48" t="n">
        <v>0</v>
      </c>
      <c r="N423" s="48" t="n">
        <v>0</v>
      </c>
      <c r="O423" s="48" t="n">
        <v>0</v>
      </c>
      <c r="P423" s="48" t="n">
        <v>0</v>
      </c>
      <c r="Q423" s="48" t="n">
        <v>0</v>
      </c>
      <c r="R423" s="48" t="n">
        <v>0</v>
      </c>
      <c r="S423" s="48" t="n">
        <v>0</v>
      </c>
      <c r="T423" s="48" t="n">
        <v>0</v>
      </c>
      <c r="U423" s="48" t="n">
        <v>0</v>
      </c>
      <c r="V423" s="48" t="n">
        <v>0</v>
      </c>
      <c r="W423" s="48" t="n">
        <v>0</v>
      </c>
      <c r="X423" s="48" t="n">
        <v>0</v>
      </c>
      <c r="Y423" s="48" t="n">
        <v>0</v>
      </c>
      <c r="Z423" s="48" t="n">
        <v>0</v>
      </c>
      <c r="AA423" s="48" t="n">
        <v>0</v>
      </c>
      <c r="AB423" s="48" t="n">
        <v>0</v>
      </c>
      <c r="AC423" s="48" t="n">
        <v>0</v>
      </c>
      <c r="AD423" s="48" t="n">
        <v>0</v>
      </c>
      <c r="AE423" s="48" t="n">
        <v>0</v>
      </c>
      <c r="AF423" s="48" t="n">
        <v>0</v>
      </c>
      <c r="AG423" s="48" t="n">
        <v>0</v>
      </c>
      <c r="AH423" s="48" t="n">
        <v>0</v>
      </c>
      <c r="AI423" s="48" t="n">
        <v>0</v>
      </c>
      <c r="AJ423" s="48" t="n">
        <v>0</v>
      </c>
      <c r="AK423" s="48" t="n">
        <v>0</v>
      </c>
      <c r="AL423" s="48" t="n">
        <v>0</v>
      </c>
      <c r="AM423" s="48" t="n">
        <v>0</v>
      </c>
      <c r="AN423" s="48" t="n">
        <v>0</v>
      </c>
      <c r="AO423" s="48" t="n">
        <v>0</v>
      </c>
      <c r="AP423" s="48" t="n">
        <v>0</v>
      </c>
      <c r="AQ423" s="48" t="n">
        <v>0</v>
      </c>
      <c r="AR423" s="48" t="n">
        <v>0</v>
      </c>
      <c r="AS423" s="48" t="n">
        <v>0</v>
      </c>
      <c r="AT423" s="48" t="n">
        <v>0</v>
      </c>
      <c r="AU423" s="48" t="n">
        <v>7</v>
      </c>
      <c r="AV423" s="48" t="n">
        <v>964</v>
      </c>
      <c r="AW423" s="48" t="n">
        <v>9</v>
      </c>
      <c r="AX423" s="48" t="n">
        <v>55</v>
      </c>
      <c r="AY423" s="48" t="n">
        <v>7</v>
      </c>
      <c r="AZ423" s="48" t="n">
        <v>7</v>
      </c>
      <c r="BA423" s="48" t="n">
        <v>51</v>
      </c>
      <c r="BB423" s="48" t="n">
        <v>15</v>
      </c>
      <c r="BC423" s="48" t="n">
        <v>6</v>
      </c>
      <c r="BD423" s="48" t="n">
        <v>5</v>
      </c>
      <c r="BE423" s="48" t="n">
        <v>10</v>
      </c>
      <c r="BF423" s="48" t="n">
        <v>10</v>
      </c>
      <c r="BG423" s="49" t="n">
        <v>4.95</v>
      </c>
    </row>
    <row r="424" customFormat="false" ht="15" hidden="false" customHeight="false" outlineLevel="0" collapsed="false">
      <c r="A424" s="43" t="s">
        <v>1084</v>
      </c>
      <c r="B424" s="43" t="s">
        <v>1085</v>
      </c>
      <c r="C424" s="44" t="str">
        <f aca="false">IF(A424="","",IFERROR(INDEX(Assumptions!$B$41:$B$55,MATCH(TRUE(),INDEX(ISNUMBER(SEARCH(" "&amp;Assumptions!$A$41:$A$55&amp;" "," "&amp;SUBSTITUTE(SUBSTITUTE(SUBSTITUTE(SUBSTITUTE(B424,"-"," "),","," "),"/"," "),"."," ")&amp;" ")),0),0)),"Other"))</f>
        <v>Other</v>
      </c>
      <c r="D424" s="45" t="n">
        <f aca="false">IF(A424="","",BG424*(1-Assumptions!$B$18))</f>
        <v>0.174</v>
      </c>
      <c r="E424" s="46" t="n">
        <f aca="false">IF(A424="","",INDEX(Assumptions!$B$23:$B$26,MOD(VALUE(LEFT(A424,5)),4)+1))</f>
        <v>8</v>
      </c>
      <c r="F424" s="47" t="n">
        <v>2536</v>
      </c>
      <c r="G424" s="48" t="n">
        <v>263</v>
      </c>
      <c r="H424" s="48" t="n">
        <v>90</v>
      </c>
      <c r="I424" s="48" t="n">
        <v>0</v>
      </c>
      <c r="J424" s="48" t="n">
        <v>0</v>
      </c>
      <c r="K424" s="48" t="n">
        <v>864</v>
      </c>
      <c r="L424" s="48" t="n">
        <v>8</v>
      </c>
      <c r="M424" s="48" t="n">
        <v>831</v>
      </c>
      <c r="N424" s="48" t="n">
        <v>1440</v>
      </c>
      <c r="O424" s="48" t="n">
        <v>146</v>
      </c>
      <c r="P424" s="48" t="n">
        <v>0</v>
      </c>
      <c r="Q424" s="48" t="n">
        <v>290</v>
      </c>
      <c r="R424" s="48" t="n">
        <v>0</v>
      </c>
      <c r="S424" s="48" t="n">
        <v>144</v>
      </c>
      <c r="T424" s="48" t="n">
        <v>252</v>
      </c>
      <c r="U424" s="48" t="n">
        <v>2196</v>
      </c>
      <c r="V424" s="48" t="n">
        <v>48</v>
      </c>
      <c r="W424" s="48" t="n">
        <v>769</v>
      </c>
      <c r="X424" s="48" t="n">
        <v>146</v>
      </c>
      <c r="Y424" s="48" t="n">
        <v>73</v>
      </c>
      <c r="Z424" s="48" t="n">
        <v>11</v>
      </c>
      <c r="AA424" s="48" t="n">
        <v>267</v>
      </c>
      <c r="AB424" s="48" t="n">
        <v>78</v>
      </c>
      <c r="AC424" s="48" t="n">
        <v>510</v>
      </c>
      <c r="AD424" s="48" t="n">
        <v>792</v>
      </c>
      <c r="AE424" s="48" t="n">
        <v>793</v>
      </c>
      <c r="AF424" s="48" t="n">
        <v>360</v>
      </c>
      <c r="AG424" s="48" t="n">
        <v>913</v>
      </c>
      <c r="AH424" s="48" t="n">
        <v>837</v>
      </c>
      <c r="AI424" s="48" t="n">
        <v>864</v>
      </c>
      <c r="AJ424" s="48" t="n">
        <v>88</v>
      </c>
      <c r="AK424" s="48" t="n">
        <v>318</v>
      </c>
      <c r="AL424" s="48" t="n">
        <v>1012</v>
      </c>
      <c r="AM424" s="48" t="n">
        <v>289</v>
      </c>
      <c r="AN424" s="48" t="n">
        <v>149</v>
      </c>
      <c r="AO424" s="48" t="n">
        <v>146</v>
      </c>
      <c r="AP424" s="48" t="n">
        <v>144</v>
      </c>
      <c r="AQ424" s="48" t="n">
        <v>78</v>
      </c>
      <c r="AR424" s="48" t="n">
        <v>940</v>
      </c>
      <c r="AS424" s="48" t="n">
        <v>291</v>
      </c>
      <c r="AT424" s="48" t="n">
        <v>180</v>
      </c>
      <c r="AU424" s="48" t="n">
        <v>109</v>
      </c>
      <c r="AV424" s="48" t="n">
        <v>857</v>
      </c>
      <c r="AW424" s="48" t="n">
        <v>931</v>
      </c>
      <c r="AX424" s="48" t="n">
        <v>376</v>
      </c>
      <c r="AY424" s="48" t="n">
        <v>72</v>
      </c>
      <c r="AZ424" s="48" t="n">
        <v>204</v>
      </c>
      <c r="BA424" s="48" t="n">
        <v>1684</v>
      </c>
      <c r="BB424" s="48" t="n">
        <v>100</v>
      </c>
      <c r="BC424" s="48" t="n">
        <v>109</v>
      </c>
      <c r="BD424" s="48" t="n">
        <v>315</v>
      </c>
      <c r="BE424" s="48" t="n">
        <v>474</v>
      </c>
      <c r="BF424" s="48" t="n">
        <v>130</v>
      </c>
      <c r="BG424" s="49" t="n">
        <v>0.29</v>
      </c>
    </row>
    <row r="425" customFormat="false" ht="15" hidden="false" customHeight="false" outlineLevel="0" collapsed="false">
      <c r="A425" s="43" t="s">
        <v>1086</v>
      </c>
      <c r="B425" s="43" t="s">
        <v>1087</v>
      </c>
      <c r="C425" s="44" t="str">
        <f aca="false">IF(A425="","",IFERROR(INDEX(Assumptions!$B$41:$B$55,MATCH(TRUE(),INDEX(ISNUMBER(SEARCH(" "&amp;Assumptions!$A$41:$A$55&amp;" "," "&amp;SUBSTITUTE(SUBSTITUTE(SUBSTITUTE(SUBSTITUTE(B425,"-"," "),","," "),"/"," "),"."," ")&amp;" ")),0),0)),"Other"))</f>
        <v>Lighting</v>
      </c>
      <c r="D425" s="45" t="n">
        <f aca="false">IF(A425="","",BG425*(1-Assumptions!$B$18))</f>
        <v>2.97</v>
      </c>
      <c r="E425" s="46" t="n">
        <f aca="false">IF(A425="","",INDEX(Assumptions!$B$23:$B$26,MOD(VALUE(LEFT(A425,5)),4)+1))</f>
        <v>8</v>
      </c>
      <c r="F425" s="47" t="n">
        <v>179</v>
      </c>
      <c r="G425" s="48" t="n">
        <v>93</v>
      </c>
      <c r="H425" s="48" t="n">
        <v>67</v>
      </c>
      <c r="I425" s="48" t="n">
        <v>14</v>
      </c>
      <c r="J425" s="48" t="n">
        <v>0</v>
      </c>
      <c r="K425" s="48" t="n">
        <v>0</v>
      </c>
      <c r="L425" s="48" t="n">
        <v>1</v>
      </c>
      <c r="M425" s="48" t="n">
        <v>0</v>
      </c>
      <c r="N425" s="48" t="n">
        <v>0</v>
      </c>
      <c r="O425" s="48" t="n">
        <v>2</v>
      </c>
      <c r="P425" s="48" t="n">
        <v>0</v>
      </c>
      <c r="Q425" s="48" t="n">
        <v>1</v>
      </c>
      <c r="R425" s="48" t="n">
        <v>0</v>
      </c>
      <c r="S425" s="48" t="n">
        <v>0</v>
      </c>
      <c r="T425" s="48" t="n">
        <v>1</v>
      </c>
      <c r="U425" s="48" t="n">
        <v>0</v>
      </c>
      <c r="V425" s="48" t="n">
        <v>0</v>
      </c>
      <c r="W425" s="48" t="n">
        <v>0</v>
      </c>
      <c r="X425" s="48" t="n">
        <v>6</v>
      </c>
      <c r="Y425" s="48" t="n">
        <v>0</v>
      </c>
      <c r="Z425" s="48" t="n">
        <v>0</v>
      </c>
      <c r="AA425" s="48" t="n">
        <v>0</v>
      </c>
      <c r="AB425" s="48" t="n">
        <v>0</v>
      </c>
      <c r="AC425" s="48" t="n">
        <v>0</v>
      </c>
      <c r="AD425" s="48" t="n">
        <v>3</v>
      </c>
      <c r="AE425" s="48" t="n">
        <v>1</v>
      </c>
      <c r="AF425" s="48" t="n">
        <v>1</v>
      </c>
      <c r="AG425" s="48" t="n">
        <v>3</v>
      </c>
      <c r="AH425" s="48" t="n">
        <v>0</v>
      </c>
      <c r="AI425" s="48" t="n">
        <v>3</v>
      </c>
      <c r="AJ425" s="48" t="n">
        <v>0</v>
      </c>
      <c r="AK425" s="48" t="n">
        <v>1</v>
      </c>
      <c r="AL425" s="48" t="n">
        <v>0</v>
      </c>
      <c r="AM425" s="48" t="n">
        <v>2</v>
      </c>
      <c r="AN425" s="48" t="n">
        <v>0</v>
      </c>
      <c r="AO425" s="48" t="n">
        <v>5</v>
      </c>
      <c r="AP425" s="48" t="n">
        <v>0</v>
      </c>
      <c r="AQ425" s="48" t="n">
        <v>11</v>
      </c>
      <c r="AR425" s="48" t="n">
        <v>2</v>
      </c>
      <c r="AS425" s="48" t="n">
        <v>18</v>
      </c>
      <c r="AT425" s="48" t="n">
        <v>40</v>
      </c>
      <c r="AU425" s="48" t="n">
        <v>84</v>
      </c>
      <c r="AV425" s="48" t="n">
        <v>94</v>
      </c>
      <c r="AW425" s="48" t="n">
        <v>12</v>
      </c>
      <c r="AX425" s="48" t="n">
        <v>121</v>
      </c>
      <c r="AY425" s="48" t="n">
        <v>117</v>
      </c>
      <c r="AZ425" s="48" t="n">
        <v>180</v>
      </c>
      <c r="BA425" s="48" t="n">
        <v>110</v>
      </c>
      <c r="BB425" s="48" t="n">
        <v>63</v>
      </c>
      <c r="BC425" s="48" t="n">
        <v>85</v>
      </c>
      <c r="BD425" s="48" t="n">
        <v>12</v>
      </c>
      <c r="BE425" s="48" t="n">
        <v>4</v>
      </c>
      <c r="BF425" s="48" t="n">
        <v>7</v>
      </c>
      <c r="BG425" s="49" t="n">
        <v>4.95</v>
      </c>
    </row>
    <row r="426" customFormat="false" ht="15" hidden="false" customHeight="false" outlineLevel="0" collapsed="false">
      <c r="A426" s="43" t="s">
        <v>1088</v>
      </c>
      <c r="B426" s="43" t="s">
        <v>1089</v>
      </c>
      <c r="C426" s="44" t="str">
        <f aca="false">IF(A426="","",IFERROR(INDEX(Assumptions!$B$41:$B$55,MATCH(TRUE(),INDEX(ISNUMBER(SEARCH(" "&amp;Assumptions!$A$41:$A$55&amp;" "," "&amp;SUBSTITUTE(SUBSTITUTE(SUBSTITUTE(SUBSTITUTE(B426,"-"," "),","," "),"/"," "),"."," ")&amp;" ")),0),0)),"Other"))</f>
        <v>Other</v>
      </c>
      <c r="D426" s="45" t="n">
        <f aca="false">IF(A426="","",BG426*(1-Assumptions!$B$18))</f>
        <v>1.53</v>
      </c>
      <c r="E426" s="46" t="n">
        <f aca="false">IF(A426="","",INDEX(Assumptions!$B$23:$B$26,MOD(VALUE(LEFT(A426,5)),4)+1))</f>
        <v>2</v>
      </c>
      <c r="F426" s="47" t="n">
        <v>611</v>
      </c>
      <c r="G426" s="48" t="n">
        <v>33</v>
      </c>
      <c r="H426" s="48" t="n">
        <v>9</v>
      </c>
      <c r="I426" s="48" t="n">
        <v>2</v>
      </c>
      <c r="J426" s="48" t="n">
        <v>0</v>
      </c>
      <c r="K426" s="48" t="n">
        <v>25</v>
      </c>
      <c r="L426" s="48" t="n">
        <v>10</v>
      </c>
      <c r="M426" s="48" t="n">
        <v>6</v>
      </c>
      <c r="N426" s="48" t="n">
        <v>13</v>
      </c>
      <c r="O426" s="48" t="n">
        <v>31</v>
      </c>
      <c r="P426" s="48" t="n">
        <v>31</v>
      </c>
      <c r="Q426" s="48" t="n">
        <v>26</v>
      </c>
      <c r="R426" s="48" t="n">
        <v>25</v>
      </c>
      <c r="S426" s="48" t="n">
        <v>15</v>
      </c>
      <c r="T426" s="48" t="n">
        <v>3</v>
      </c>
      <c r="U426" s="48" t="n">
        <v>9</v>
      </c>
      <c r="V426" s="48" t="n">
        <v>165</v>
      </c>
      <c r="W426" s="48" t="n">
        <v>43</v>
      </c>
      <c r="X426" s="48" t="n">
        <v>173</v>
      </c>
      <c r="Y426" s="48" t="n">
        <v>116</v>
      </c>
      <c r="Z426" s="48" t="n">
        <v>152</v>
      </c>
      <c r="AA426" s="48" t="n">
        <v>19</v>
      </c>
      <c r="AB426" s="48" t="n">
        <v>7</v>
      </c>
      <c r="AC426" s="48" t="n">
        <v>37</v>
      </c>
      <c r="AD426" s="48" t="n">
        <v>26</v>
      </c>
      <c r="AE426" s="48" t="n">
        <v>21</v>
      </c>
      <c r="AF426" s="48" t="n">
        <v>24</v>
      </c>
      <c r="AG426" s="48" t="n">
        <v>15</v>
      </c>
      <c r="AH426" s="48" t="n">
        <v>0</v>
      </c>
      <c r="AI426" s="48" t="n">
        <v>10</v>
      </c>
      <c r="AJ426" s="48" t="n">
        <v>48</v>
      </c>
      <c r="AK426" s="48" t="n">
        <v>20</v>
      </c>
      <c r="AL426" s="48" t="n">
        <v>9</v>
      </c>
      <c r="AM426" s="48" t="n">
        <v>6</v>
      </c>
      <c r="AN426" s="48" t="n">
        <v>288</v>
      </c>
      <c r="AO426" s="48" t="n">
        <v>31</v>
      </c>
      <c r="AP426" s="48" t="n">
        <v>1</v>
      </c>
      <c r="AQ426" s="48" t="n">
        <v>0</v>
      </c>
      <c r="AR426" s="48" t="n">
        <v>1</v>
      </c>
      <c r="AS426" s="48" t="n">
        <v>3</v>
      </c>
      <c r="AT426" s="48" t="n">
        <v>16</v>
      </c>
      <c r="AU426" s="48" t="n">
        <v>42</v>
      </c>
      <c r="AV426" s="48" t="n">
        <v>171</v>
      </c>
      <c r="AW426" s="48" t="n">
        <v>67</v>
      </c>
      <c r="AX426" s="48" t="n">
        <v>150</v>
      </c>
      <c r="AY426" s="48" t="n">
        <v>6</v>
      </c>
      <c r="AZ426" s="48" t="n">
        <v>53</v>
      </c>
      <c r="BA426" s="48" t="n">
        <v>33</v>
      </c>
      <c r="BB426" s="48" t="n">
        <v>19</v>
      </c>
      <c r="BC426" s="48" t="n">
        <v>39</v>
      </c>
      <c r="BD426" s="48" t="n">
        <v>179</v>
      </c>
      <c r="BE426" s="48" t="n">
        <v>8</v>
      </c>
      <c r="BF426" s="48" t="n">
        <v>35</v>
      </c>
      <c r="BG426" s="49" t="n">
        <v>2.55</v>
      </c>
    </row>
    <row r="427" customFormat="false" ht="15" hidden="false" customHeight="false" outlineLevel="0" collapsed="false">
      <c r="A427" s="43" t="s">
        <v>1090</v>
      </c>
      <c r="B427" s="43" t="s">
        <v>1091</v>
      </c>
      <c r="C427" s="44" t="str">
        <f aca="false">IF(A427="","",IFERROR(INDEX(Assumptions!$B$41:$B$55,MATCH(TRUE(),INDEX(ISNUMBER(SEARCH(" "&amp;Assumptions!$A$41:$A$55&amp;" "," "&amp;SUBSTITUTE(SUBSTITUTE(SUBSTITUTE(SUBSTITUTE(B427,"-"," "),","," "),"/"," "),"."," ")&amp;" ")),0),0)),"Other"))</f>
        <v>Other</v>
      </c>
      <c r="D427" s="45" t="n">
        <f aca="false">IF(A427="","",BG427*(1-Assumptions!$B$18))</f>
        <v>4.77</v>
      </c>
      <c r="E427" s="46" t="n">
        <f aca="false">IF(A427="","",INDEX(Assumptions!$B$23:$B$26,MOD(VALUE(LEFT(A427,5)),4)+1))</f>
        <v>4</v>
      </c>
      <c r="F427" s="47" t="n">
        <v>201</v>
      </c>
      <c r="G427" s="48" t="n">
        <v>15</v>
      </c>
      <c r="H427" s="48" t="n">
        <v>0</v>
      </c>
      <c r="I427" s="48" t="n">
        <v>2</v>
      </c>
      <c r="J427" s="48" t="n">
        <v>0</v>
      </c>
      <c r="K427" s="48" t="n">
        <v>2</v>
      </c>
      <c r="L427" s="48" t="n">
        <v>6</v>
      </c>
      <c r="M427" s="48" t="n">
        <v>20</v>
      </c>
      <c r="N427" s="48" t="n">
        <v>34</v>
      </c>
      <c r="O427" s="48" t="n">
        <v>27</v>
      </c>
      <c r="P427" s="48" t="n">
        <v>5</v>
      </c>
      <c r="Q427" s="48" t="n">
        <v>4</v>
      </c>
      <c r="R427" s="48" t="n">
        <v>31</v>
      </c>
      <c r="S427" s="48" t="n">
        <v>17</v>
      </c>
      <c r="T427" s="48" t="n">
        <v>11</v>
      </c>
      <c r="U427" s="48" t="n">
        <v>17</v>
      </c>
      <c r="V427" s="48" t="n">
        <v>5</v>
      </c>
      <c r="W427" s="48" t="n">
        <v>16</v>
      </c>
      <c r="X427" s="48" t="n">
        <v>6</v>
      </c>
      <c r="Y427" s="48" t="n">
        <v>12</v>
      </c>
      <c r="Z427" s="48" t="n">
        <v>4</v>
      </c>
      <c r="AA427" s="48" t="n">
        <v>0</v>
      </c>
      <c r="AB427" s="48" t="n">
        <v>29</v>
      </c>
      <c r="AC427" s="48" t="n">
        <v>15</v>
      </c>
      <c r="AD427" s="48" t="n">
        <v>25</v>
      </c>
      <c r="AE427" s="48" t="n">
        <v>8</v>
      </c>
      <c r="AF427" s="48" t="n">
        <v>11</v>
      </c>
      <c r="AG427" s="48" t="n">
        <v>3</v>
      </c>
      <c r="AH427" s="48" t="n">
        <v>6</v>
      </c>
      <c r="AI427" s="48" t="n">
        <v>4</v>
      </c>
      <c r="AJ427" s="48" t="n">
        <v>30</v>
      </c>
      <c r="AK427" s="48" t="n">
        <v>0</v>
      </c>
      <c r="AL427" s="48" t="n">
        <v>4</v>
      </c>
      <c r="AM427" s="48" t="n">
        <v>13</v>
      </c>
      <c r="AN427" s="48" t="n">
        <v>9</v>
      </c>
      <c r="AO427" s="48" t="n">
        <v>3</v>
      </c>
      <c r="AP427" s="48" t="n">
        <v>18</v>
      </c>
      <c r="AQ427" s="48" t="n">
        <v>11</v>
      </c>
      <c r="AR427" s="48" t="n">
        <v>8</v>
      </c>
      <c r="AS427" s="48" t="n">
        <v>3</v>
      </c>
      <c r="AT427" s="48" t="n">
        <v>32</v>
      </c>
      <c r="AU427" s="48" t="n">
        <v>322</v>
      </c>
      <c r="AV427" s="48" t="n">
        <v>2</v>
      </c>
      <c r="AW427" s="48" t="n">
        <v>4</v>
      </c>
      <c r="AX427" s="48" t="n">
        <v>9</v>
      </c>
      <c r="AY427" s="48" t="n">
        <v>2</v>
      </c>
      <c r="AZ427" s="48" t="n">
        <v>2</v>
      </c>
      <c r="BA427" s="48" t="n">
        <v>15</v>
      </c>
      <c r="BB427" s="48" t="n">
        <v>19</v>
      </c>
      <c r="BC427" s="48" t="n">
        <v>3</v>
      </c>
      <c r="BD427" s="48" t="n">
        <v>8</v>
      </c>
      <c r="BE427" s="48" t="n">
        <v>14</v>
      </c>
      <c r="BF427" s="48" t="n">
        <v>7</v>
      </c>
      <c r="BG427" s="49" t="n">
        <v>7.95</v>
      </c>
    </row>
    <row r="428" customFormat="false" ht="15" hidden="false" customHeight="false" outlineLevel="0" collapsed="false">
      <c r="A428" s="43" t="s">
        <v>1092</v>
      </c>
      <c r="B428" s="43" t="s">
        <v>1093</v>
      </c>
      <c r="C428" s="44" t="str">
        <f aca="false">IF(A428="","",IFERROR(INDEX(Assumptions!$B$41:$B$55,MATCH(TRUE(),INDEX(ISNUMBER(SEARCH(" "&amp;Assumptions!$A$41:$A$55&amp;" "," "&amp;SUBSTITUTE(SUBSTITUTE(SUBSTITUTE(SUBSTITUTE(B428,"-"," "),","," "),"/"," "),"."," ")&amp;" ")),0),0)),"Other"))</f>
        <v>Kitchen</v>
      </c>
      <c r="D428" s="45" t="n">
        <f aca="false">IF(A428="","",BG428*(1-Assumptions!$B$18))</f>
        <v>1.53</v>
      </c>
      <c r="E428" s="46" t="n">
        <f aca="false">IF(A428="","",INDEX(Assumptions!$B$23:$B$26,MOD(VALUE(LEFT(A428,5)),4)+1))</f>
        <v>8</v>
      </c>
      <c r="F428" s="47" t="n">
        <v>1247</v>
      </c>
      <c r="G428" s="48" t="n">
        <v>0</v>
      </c>
      <c r="H428" s="48" t="n">
        <v>80</v>
      </c>
      <c r="I428" s="48" t="n">
        <v>39</v>
      </c>
      <c r="J428" s="48" t="n">
        <v>0</v>
      </c>
      <c r="K428" s="48" t="n">
        <v>42</v>
      </c>
      <c r="L428" s="48" t="n">
        <v>54</v>
      </c>
      <c r="M428" s="48" t="n">
        <v>69</v>
      </c>
      <c r="N428" s="48" t="n">
        <v>40</v>
      </c>
      <c r="O428" s="48" t="n">
        <v>100</v>
      </c>
      <c r="P428" s="48" t="n">
        <v>84</v>
      </c>
      <c r="Q428" s="48" t="n">
        <v>99</v>
      </c>
      <c r="R428" s="48" t="n">
        <v>40</v>
      </c>
      <c r="S428" s="48" t="n">
        <v>15</v>
      </c>
      <c r="T428" s="48" t="n">
        <v>24</v>
      </c>
      <c r="U428" s="48" t="n">
        <v>56</v>
      </c>
      <c r="V428" s="48" t="n">
        <v>41</v>
      </c>
      <c r="W428" s="48" t="n">
        <v>49</v>
      </c>
      <c r="X428" s="48" t="n">
        <v>27</v>
      </c>
      <c r="Y428" s="48" t="n">
        <v>98</v>
      </c>
      <c r="Z428" s="48" t="n">
        <v>11</v>
      </c>
      <c r="AA428" s="48" t="n">
        <v>66</v>
      </c>
      <c r="AB428" s="48" t="n">
        <v>25</v>
      </c>
      <c r="AC428" s="48" t="n">
        <v>37</v>
      </c>
      <c r="AD428" s="48" t="n">
        <v>96</v>
      </c>
      <c r="AE428" s="48" t="n">
        <v>256</v>
      </c>
      <c r="AF428" s="48" t="n">
        <v>12</v>
      </c>
      <c r="AG428" s="48" t="n">
        <v>51</v>
      </c>
      <c r="AH428" s="48" t="n">
        <v>52</v>
      </c>
      <c r="AI428" s="48" t="n">
        <v>25</v>
      </c>
      <c r="AJ428" s="48" t="n">
        <v>55</v>
      </c>
      <c r="AK428" s="48" t="n">
        <v>9</v>
      </c>
      <c r="AL428" s="48" t="n">
        <v>17</v>
      </c>
      <c r="AM428" s="48" t="n">
        <v>33</v>
      </c>
      <c r="AN428" s="48" t="n">
        <v>64</v>
      </c>
      <c r="AO428" s="48" t="n">
        <v>55</v>
      </c>
      <c r="AP428" s="48" t="n">
        <v>0</v>
      </c>
      <c r="AQ428" s="48" t="n">
        <v>73</v>
      </c>
      <c r="AR428" s="48" t="n">
        <v>12</v>
      </c>
      <c r="AS428" s="48" t="n">
        <v>3</v>
      </c>
      <c r="AT428" s="48" t="n">
        <v>34</v>
      </c>
      <c r="AU428" s="48" t="n">
        <v>73</v>
      </c>
      <c r="AV428" s="48" t="n">
        <v>67</v>
      </c>
      <c r="AW428" s="48" t="n">
        <v>20</v>
      </c>
      <c r="AX428" s="48" t="n">
        <v>25</v>
      </c>
      <c r="AY428" s="48" t="n">
        <v>23</v>
      </c>
      <c r="AZ428" s="48" t="n">
        <v>5</v>
      </c>
      <c r="BA428" s="48" t="n">
        <v>6</v>
      </c>
      <c r="BB428" s="48" t="n">
        <v>28</v>
      </c>
      <c r="BC428" s="48" t="n">
        <v>50</v>
      </c>
      <c r="BD428" s="48" t="n">
        <v>50</v>
      </c>
      <c r="BE428" s="48" t="n">
        <v>60</v>
      </c>
      <c r="BF428" s="48" t="n">
        <v>52</v>
      </c>
      <c r="BG428" s="49" t="n">
        <v>2.55</v>
      </c>
    </row>
    <row r="429" customFormat="false" ht="15" hidden="false" customHeight="false" outlineLevel="0" collapsed="false">
      <c r="A429" s="43" t="s">
        <v>1094</v>
      </c>
      <c r="B429" s="43" t="s">
        <v>1095</v>
      </c>
      <c r="C429" s="44" t="str">
        <f aca="false">IF(A429="","",IFERROR(INDEX(Assumptions!$B$41:$B$55,MATCH(TRUE(),INDEX(ISNUMBER(SEARCH(" "&amp;Assumptions!$A$41:$A$55&amp;" "," "&amp;SUBSTITUTE(SUBSTITUTE(SUBSTITUTE(SUBSTITUTE(B429,"-"," "),","," "),"/"," "),"."," ")&amp;" ")),0),0)),"Other"))</f>
        <v>Other</v>
      </c>
      <c r="D429" s="45" t="n">
        <f aca="false">IF(A429="","",BG429*(1-Assumptions!$B$18))</f>
        <v>15</v>
      </c>
      <c r="E429" s="46" t="n">
        <f aca="false">IF(A429="","",INDEX(Assumptions!$B$23:$B$26,MOD(VALUE(LEFT(A429,5)),4)+1))</f>
        <v>4</v>
      </c>
      <c r="F429" s="47" t="n">
        <v>5</v>
      </c>
      <c r="G429" s="48" t="n">
        <v>0</v>
      </c>
      <c r="H429" s="48" t="n">
        <v>0</v>
      </c>
      <c r="I429" s="48" t="n">
        <v>0</v>
      </c>
      <c r="J429" s="48" t="n">
        <v>0</v>
      </c>
      <c r="K429" s="48" t="n">
        <v>0</v>
      </c>
      <c r="L429" s="48" t="n">
        <v>0</v>
      </c>
      <c r="M429" s="48" t="n">
        <v>0</v>
      </c>
      <c r="N429" s="48" t="n">
        <v>0</v>
      </c>
      <c r="O429" s="48" t="n">
        <v>0</v>
      </c>
      <c r="P429" s="48" t="n">
        <v>0</v>
      </c>
      <c r="Q429" s="48" t="n">
        <v>0</v>
      </c>
      <c r="R429" s="48" t="n">
        <v>0</v>
      </c>
      <c r="S429" s="48" t="n">
        <v>0</v>
      </c>
      <c r="T429" s="48" t="n">
        <v>0</v>
      </c>
      <c r="U429" s="48" t="n">
        <v>0</v>
      </c>
      <c r="V429" s="48" t="n">
        <v>0</v>
      </c>
      <c r="W429" s="48" t="n">
        <v>0</v>
      </c>
      <c r="X429" s="48" t="n">
        <v>0</v>
      </c>
      <c r="Y429" s="48" t="n">
        <v>0</v>
      </c>
      <c r="Z429" s="48" t="n">
        <v>0</v>
      </c>
      <c r="AA429" s="48" t="n">
        <v>0</v>
      </c>
      <c r="AB429" s="48" t="n">
        <v>0</v>
      </c>
      <c r="AC429" s="48" t="n">
        <v>0</v>
      </c>
      <c r="AD429" s="48" t="n">
        <v>0</v>
      </c>
      <c r="AE429" s="48" t="n">
        <v>0</v>
      </c>
      <c r="AF429" s="48" t="n">
        <v>0</v>
      </c>
      <c r="AG429" s="48" t="n">
        <v>0</v>
      </c>
      <c r="AH429" s="48" t="n">
        <v>0</v>
      </c>
      <c r="AI429" s="48" t="n">
        <v>0</v>
      </c>
      <c r="AJ429" s="48" t="n">
        <v>0</v>
      </c>
      <c r="AK429" s="48" t="n">
        <v>0</v>
      </c>
      <c r="AL429" s="48" t="n">
        <v>0</v>
      </c>
      <c r="AM429" s="48" t="n">
        <v>0</v>
      </c>
      <c r="AN429" s="48" t="n">
        <v>0</v>
      </c>
      <c r="AO429" s="48" t="n">
        <v>0</v>
      </c>
      <c r="AP429" s="48" t="n">
        <v>0</v>
      </c>
      <c r="AQ429" s="48" t="n">
        <v>0</v>
      </c>
      <c r="AR429" s="48" t="n">
        <v>0</v>
      </c>
      <c r="AS429" s="48" t="n">
        <v>0</v>
      </c>
      <c r="AT429" s="48" t="n">
        <v>0</v>
      </c>
      <c r="AU429" s="48" t="n">
        <v>0</v>
      </c>
      <c r="AV429" s="48" t="n">
        <v>0</v>
      </c>
      <c r="AW429" s="48" t="n">
        <v>0</v>
      </c>
      <c r="AX429" s="48" t="n">
        <v>0</v>
      </c>
      <c r="AY429" s="48" t="n">
        <v>0</v>
      </c>
      <c r="AZ429" s="48" t="n">
        <v>140</v>
      </c>
      <c r="BA429" s="48" t="n">
        <v>32</v>
      </c>
      <c r="BB429" s="48" t="n">
        <v>17</v>
      </c>
      <c r="BC429" s="48" t="n">
        <v>18</v>
      </c>
      <c r="BD429" s="48" t="n">
        <v>25</v>
      </c>
      <c r="BE429" s="48" t="n">
        <v>11</v>
      </c>
      <c r="BF429" s="48" t="n">
        <v>15</v>
      </c>
      <c r="BG429" s="49" t="n">
        <v>25</v>
      </c>
    </row>
    <row r="430" customFormat="false" ht="15" hidden="false" customHeight="false" outlineLevel="0" collapsed="false">
      <c r="A430" s="43" t="s">
        <v>1096</v>
      </c>
      <c r="B430" s="43" t="s">
        <v>1097</v>
      </c>
      <c r="C430" s="44" t="str">
        <f aca="false">IF(A430="","",IFERROR(INDEX(Assumptions!$B$41:$B$55,MATCH(TRUE(),INDEX(ISNUMBER(SEARCH(" "&amp;Assumptions!$A$41:$A$55&amp;" "," "&amp;SUBSTITUTE(SUBSTITUTE(SUBSTITUTE(SUBSTITUTE(B430,"-"," "),","," "),"/"," "),"."," ")&amp;" ")),0),0)),"Other"))</f>
        <v>Other</v>
      </c>
      <c r="D430" s="45" t="n">
        <f aca="false">IF(A430="","",BG430*(1-Assumptions!$B$18))</f>
        <v>2.49</v>
      </c>
      <c r="E430" s="46" t="n">
        <f aca="false">IF(A430="","",INDEX(Assumptions!$B$23:$B$26,MOD(VALUE(LEFT(A430,5)),4)+1))</f>
        <v>2</v>
      </c>
      <c r="F430" s="47" t="n">
        <v>1168</v>
      </c>
      <c r="G430" s="48" t="n">
        <v>0</v>
      </c>
      <c r="H430" s="48" t="n">
        <v>0</v>
      </c>
      <c r="I430" s="48" t="n">
        <v>0</v>
      </c>
      <c r="J430" s="48" t="n">
        <v>0</v>
      </c>
      <c r="K430" s="48" t="n">
        <v>0</v>
      </c>
      <c r="L430" s="48" t="n">
        <v>0</v>
      </c>
      <c r="M430" s="48" t="n">
        <v>0</v>
      </c>
      <c r="N430" s="48" t="n">
        <v>0</v>
      </c>
      <c r="O430" s="48" t="n">
        <v>0</v>
      </c>
      <c r="P430" s="48" t="n">
        <v>0</v>
      </c>
      <c r="Q430" s="48" t="n">
        <v>0</v>
      </c>
      <c r="R430" s="48" t="n">
        <v>0</v>
      </c>
      <c r="S430" s="48" t="n">
        <v>0</v>
      </c>
      <c r="T430" s="48" t="n">
        <v>0</v>
      </c>
      <c r="U430" s="48" t="n">
        <v>0</v>
      </c>
      <c r="V430" s="48" t="n">
        <v>0</v>
      </c>
      <c r="W430" s="48" t="n">
        <v>0</v>
      </c>
      <c r="X430" s="48" t="n">
        <v>0</v>
      </c>
      <c r="Y430" s="48" t="n">
        <v>0</v>
      </c>
      <c r="Z430" s="48" t="n">
        <v>0</v>
      </c>
      <c r="AA430" s="48" t="n">
        <v>0</v>
      </c>
      <c r="AB430" s="48" t="n">
        <v>0</v>
      </c>
      <c r="AC430" s="48" t="n">
        <v>0</v>
      </c>
      <c r="AD430" s="48" t="n">
        <v>0</v>
      </c>
      <c r="AE430" s="48" t="n">
        <v>0</v>
      </c>
      <c r="AF430" s="48" t="n">
        <v>0</v>
      </c>
      <c r="AG430" s="48" t="n">
        <v>0</v>
      </c>
      <c r="AH430" s="48" t="n">
        <v>0</v>
      </c>
      <c r="AI430" s="48" t="n">
        <v>0</v>
      </c>
      <c r="AJ430" s="48" t="n">
        <v>0</v>
      </c>
      <c r="AK430" s="48" t="n">
        <v>0</v>
      </c>
      <c r="AL430" s="48" t="n">
        <v>4</v>
      </c>
      <c r="AM430" s="48" t="n">
        <v>40</v>
      </c>
      <c r="AN430" s="48" t="n">
        <v>5</v>
      </c>
      <c r="AO430" s="48" t="n">
        <v>32</v>
      </c>
      <c r="AP430" s="48" t="n">
        <v>18</v>
      </c>
      <c r="AQ430" s="48" t="n">
        <v>120</v>
      </c>
      <c r="AR430" s="48" t="n">
        <v>8</v>
      </c>
      <c r="AS430" s="48" t="n">
        <v>32</v>
      </c>
      <c r="AT430" s="48" t="n">
        <v>56</v>
      </c>
      <c r="AU430" s="48" t="n">
        <v>67</v>
      </c>
      <c r="AV430" s="48" t="n">
        <v>76</v>
      </c>
      <c r="AW430" s="48" t="n">
        <v>69</v>
      </c>
      <c r="AX430" s="48" t="n">
        <v>76</v>
      </c>
      <c r="AY430" s="48" t="n">
        <v>148</v>
      </c>
      <c r="AZ430" s="48" t="n">
        <v>56</v>
      </c>
      <c r="BA430" s="48" t="n">
        <v>65</v>
      </c>
      <c r="BB430" s="48" t="n">
        <v>70</v>
      </c>
      <c r="BC430" s="48" t="n">
        <v>129</v>
      </c>
      <c r="BD430" s="48" t="n">
        <v>154</v>
      </c>
      <c r="BE430" s="48" t="n">
        <v>39</v>
      </c>
      <c r="BF430" s="48" t="n">
        <v>116</v>
      </c>
      <c r="BG430" s="49" t="n">
        <v>4.15</v>
      </c>
    </row>
    <row r="431" customFormat="false" ht="15" hidden="false" customHeight="false" outlineLevel="0" collapsed="false">
      <c r="A431" s="43" t="s">
        <v>1098</v>
      </c>
      <c r="B431" s="43" t="s">
        <v>1099</v>
      </c>
      <c r="C431" s="44" t="str">
        <f aca="false">IF(A431="","",IFERROR(INDEX(Assumptions!$B$41:$B$55,MATCH(TRUE(),INDEX(ISNUMBER(SEARCH(" "&amp;Assumptions!$A$41:$A$55&amp;" "," "&amp;SUBSTITUTE(SUBSTITUTE(SUBSTITUTE(SUBSTITUTE(B431,"-"," "),","," "),"/"," "),"."," ")&amp;" ")),0),0)),"Other"))</f>
        <v>Other</v>
      </c>
      <c r="D431" s="45" t="n">
        <f aca="false">IF(A431="","",BG431*(1-Assumptions!$B$18))</f>
        <v>1.17</v>
      </c>
      <c r="E431" s="46" t="n">
        <f aca="false">IF(A431="","",INDEX(Assumptions!$B$23:$B$26,MOD(VALUE(LEFT(A431,5)),4)+1))</f>
        <v>6</v>
      </c>
      <c r="F431" s="47" t="n">
        <v>1356</v>
      </c>
      <c r="G431" s="48" t="n">
        <v>3</v>
      </c>
      <c r="H431" s="48" t="n">
        <v>0</v>
      </c>
      <c r="I431" s="48" t="n">
        <v>400</v>
      </c>
      <c r="J431" s="48" t="n">
        <v>0</v>
      </c>
      <c r="K431" s="48" t="n">
        <v>6</v>
      </c>
      <c r="L431" s="48" t="n">
        <v>0</v>
      </c>
      <c r="M431" s="48" t="n">
        <v>0</v>
      </c>
      <c r="N431" s="48" t="n">
        <v>6</v>
      </c>
      <c r="O431" s="48" t="n">
        <v>26</v>
      </c>
      <c r="P431" s="48" t="n">
        <v>0</v>
      </c>
      <c r="Q431" s="48" t="n">
        <v>0</v>
      </c>
      <c r="R431" s="48" t="n">
        <v>6</v>
      </c>
      <c r="S431" s="48" t="n">
        <v>0</v>
      </c>
      <c r="T431" s="48" t="n">
        <v>407</v>
      </c>
      <c r="U431" s="48" t="n">
        <v>7</v>
      </c>
      <c r="V431" s="48" t="n">
        <v>0</v>
      </c>
      <c r="W431" s="48" t="n">
        <v>6</v>
      </c>
      <c r="X431" s="48" t="n">
        <v>0</v>
      </c>
      <c r="Y431" s="48" t="n">
        <v>1</v>
      </c>
      <c r="Z431" s="48" t="n">
        <v>4</v>
      </c>
      <c r="AA431" s="48" t="n">
        <v>37</v>
      </c>
      <c r="AB431" s="48" t="n">
        <v>11</v>
      </c>
      <c r="AC431" s="48" t="n">
        <v>604</v>
      </c>
      <c r="AD431" s="48" t="n">
        <v>0</v>
      </c>
      <c r="AE431" s="48" t="n">
        <v>10</v>
      </c>
      <c r="AF431" s="48" t="n">
        <v>49</v>
      </c>
      <c r="AG431" s="48" t="n">
        <v>33</v>
      </c>
      <c r="AH431" s="48" t="n">
        <v>17</v>
      </c>
      <c r="AI431" s="48" t="n">
        <v>400</v>
      </c>
      <c r="AJ431" s="48" t="n">
        <v>461</v>
      </c>
      <c r="AK431" s="48" t="n">
        <v>2</v>
      </c>
      <c r="AL431" s="48" t="n">
        <v>0</v>
      </c>
      <c r="AM431" s="48" t="n">
        <v>13</v>
      </c>
      <c r="AN431" s="48" t="n">
        <v>0</v>
      </c>
      <c r="AO431" s="48" t="n">
        <v>1000</v>
      </c>
      <c r="AP431" s="48" t="n">
        <v>5</v>
      </c>
      <c r="AQ431" s="48" t="n">
        <v>200</v>
      </c>
      <c r="AR431" s="48" t="n">
        <v>48</v>
      </c>
      <c r="AS431" s="48" t="n">
        <v>0</v>
      </c>
      <c r="AT431" s="48" t="n">
        <v>0</v>
      </c>
      <c r="AU431" s="48" t="n">
        <v>0</v>
      </c>
      <c r="AV431" s="48" t="n">
        <v>6</v>
      </c>
      <c r="AW431" s="48" t="n">
        <v>6</v>
      </c>
      <c r="AX431" s="48" t="n">
        <v>0</v>
      </c>
      <c r="AY431" s="48" t="n">
        <v>0</v>
      </c>
      <c r="AZ431" s="48" t="n">
        <v>400</v>
      </c>
      <c r="BA431" s="48" t="n">
        <v>1</v>
      </c>
      <c r="BB431" s="48" t="n">
        <v>13</v>
      </c>
      <c r="BC431" s="48" t="n">
        <v>6</v>
      </c>
      <c r="BD431" s="48" t="n">
        <v>6</v>
      </c>
      <c r="BE431" s="48" t="n">
        <v>3</v>
      </c>
      <c r="BF431" s="48" t="n">
        <v>204</v>
      </c>
      <c r="BG431" s="49" t="n">
        <v>1.95</v>
      </c>
    </row>
    <row r="432" customFormat="false" ht="15" hidden="false" customHeight="false" outlineLevel="0" collapsed="false">
      <c r="A432" s="43" t="s">
        <v>1100</v>
      </c>
      <c r="B432" s="43" t="s">
        <v>1101</v>
      </c>
      <c r="C432" s="44" t="str">
        <f aca="false">IF(A432="","",IFERROR(INDEX(Assumptions!$B$41:$B$55,MATCH(TRUE(),INDEX(ISNUMBER(SEARCH(" "&amp;Assumptions!$A$41:$A$55&amp;" "," "&amp;SUBSTITUTE(SUBSTITUTE(SUBSTITUTE(SUBSTITUTE(B432,"-"," "),","," "),"/"," "),"."," ")&amp;" ")),0),0)),"Other"))</f>
        <v>Other</v>
      </c>
      <c r="D432" s="45" t="n">
        <f aca="false">IF(A432="","",BG432*(1-Assumptions!$B$18))</f>
        <v>5.97</v>
      </c>
      <c r="E432" s="46" t="n">
        <f aca="false">IF(A432="","",INDEX(Assumptions!$B$23:$B$26,MOD(VALUE(LEFT(A432,5)),4)+1))</f>
        <v>2</v>
      </c>
      <c r="F432" s="47" t="n">
        <v>44</v>
      </c>
      <c r="G432" s="48" t="n">
        <v>25</v>
      </c>
      <c r="H432" s="48" t="n">
        <v>8</v>
      </c>
      <c r="I432" s="48" t="n">
        <v>0</v>
      </c>
      <c r="J432" s="48" t="n">
        <v>0</v>
      </c>
      <c r="K432" s="48" t="n">
        <v>13</v>
      </c>
      <c r="L432" s="48" t="n">
        <v>8</v>
      </c>
      <c r="M432" s="48" t="n">
        <v>16</v>
      </c>
      <c r="N432" s="48" t="n">
        <v>12</v>
      </c>
      <c r="O432" s="48" t="n">
        <v>20</v>
      </c>
      <c r="P432" s="48" t="n">
        <v>12</v>
      </c>
      <c r="Q432" s="48" t="n">
        <v>8</v>
      </c>
      <c r="R432" s="48" t="n">
        <v>8</v>
      </c>
      <c r="S432" s="48" t="n">
        <v>10</v>
      </c>
      <c r="T432" s="48" t="n">
        <v>14</v>
      </c>
      <c r="U432" s="48" t="n">
        <v>11</v>
      </c>
      <c r="V432" s="48" t="n">
        <v>15</v>
      </c>
      <c r="W432" s="48" t="n">
        <v>17</v>
      </c>
      <c r="X432" s="48" t="n">
        <v>8</v>
      </c>
      <c r="Y432" s="48" t="n">
        <v>18</v>
      </c>
      <c r="Z432" s="48" t="n">
        <v>11</v>
      </c>
      <c r="AA432" s="48" t="n">
        <v>6</v>
      </c>
      <c r="AB432" s="48" t="n">
        <v>18</v>
      </c>
      <c r="AC432" s="48" t="n">
        <v>12</v>
      </c>
      <c r="AD432" s="48" t="n">
        <v>17</v>
      </c>
      <c r="AE432" s="48" t="n">
        <v>8</v>
      </c>
      <c r="AF432" s="48" t="n">
        <v>1</v>
      </c>
      <c r="AG432" s="48" t="n">
        <v>11</v>
      </c>
      <c r="AH432" s="48" t="n">
        <v>8</v>
      </c>
      <c r="AI432" s="48" t="n">
        <v>8</v>
      </c>
      <c r="AJ432" s="48" t="n">
        <v>3</v>
      </c>
      <c r="AK432" s="48" t="n">
        <v>13</v>
      </c>
      <c r="AL432" s="48" t="n">
        <v>7</v>
      </c>
      <c r="AM432" s="48" t="n">
        <v>21</v>
      </c>
      <c r="AN432" s="48" t="n">
        <v>8</v>
      </c>
      <c r="AO432" s="48" t="n">
        <v>9</v>
      </c>
      <c r="AP432" s="48" t="n">
        <v>3</v>
      </c>
      <c r="AQ432" s="48" t="n">
        <v>4</v>
      </c>
      <c r="AR432" s="48" t="n">
        <v>20</v>
      </c>
      <c r="AS432" s="48" t="n">
        <v>9</v>
      </c>
      <c r="AT432" s="48" t="n">
        <v>12</v>
      </c>
      <c r="AU432" s="48" t="n">
        <v>17</v>
      </c>
      <c r="AV432" s="48" t="n">
        <v>9</v>
      </c>
      <c r="AW432" s="48" t="n">
        <v>7</v>
      </c>
      <c r="AX432" s="48" t="n">
        <v>5</v>
      </c>
      <c r="AY432" s="48" t="n">
        <v>27</v>
      </c>
      <c r="AZ432" s="48" t="n">
        <v>1</v>
      </c>
      <c r="BA432" s="48" t="n">
        <v>4</v>
      </c>
      <c r="BB432" s="48" t="n">
        <v>14</v>
      </c>
      <c r="BC432" s="48" t="n">
        <v>8</v>
      </c>
      <c r="BD432" s="48" t="n">
        <v>13</v>
      </c>
      <c r="BE432" s="48" t="n">
        <v>26</v>
      </c>
      <c r="BF432" s="48" t="n">
        <v>11</v>
      </c>
      <c r="BG432" s="49" t="n">
        <v>9.95</v>
      </c>
    </row>
    <row r="433" customFormat="false" ht="15" hidden="false" customHeight="false" outlineLevel="0" collapsed="false">
      <c r="A433" s="43" t="s">
        <v>1102</v>
      </c>
      <c r="B433" s="43" t="s">
        <v>1103</v>
      </c>
      <c r="C433" s="44" t="str">
        <f aca="false">IF(A433="","",IFERROR(INDEX(Assumptions!$B$41:$B$55,MATCH(TRUE(),INDEX(ISNUMBER(SEARCH(" "&amp;Assumptions!$A$41:$A$55&amp;" "," "&amp;SUBSTITUTE(SUBSTITUTE(SUBSTITUTE(SUBSTITUTE(B433,"-"," "),","," "),"/"," "),"."," ")&amp;" ")),0),0)),"Other"))</f>
        <v>Other</v>
      </c>
      <c r="D433" s="45" t="n">
        <f aca="false">IF(A433="","",BG433*(1-Assumptions!$B$18))</f>
        <v>0.51</v>
      </c>
      <c r="E433" s="46" t="n">
        <f aca="false">IF(A433="","",INDEX(Assumptions!$B$23:$B$26,MOD(VALUE(LEFT(A433,5)),4)+1))</f>
        <v>2</v>
      </c>
      <c r="F433" s="47" t="n">
        <v>1028</v>
      </c>
      <c r="G433" s="48" t="n">
        <v>130</v>
      </c>
      <c r="H433" s="48" t="n">
        <v>254</v>
      </c>
      <c r="I433" s="48" t="n">
        <v>3</v>
      </c>
      <c r="J433" s="48" t="n">
        <v>0</v>
      </c>
      <c r="K433" s="48" t="n">
        <v>50</v>
      </c>
      <c r="L433" s="48" t="n">
        <v>4</v>
      </c>
      <c r="M433" s="48" t="n">
        <v>152</v>
      </c>
      <c r="N433" s="48" t="n">
        <v>345</v>
      </c>
      <c r="O433" s="48" t="n">
        <v>0</v>
      </c>
      <c r="P433" s="48" t="n">
        <v>49</v>
      </c>
      <c r="Q433" s="48" t="n">
        <v>290</v>
      </c>
      <c r="R433" s="48" t="n">
        <v>241</v>
      </c>
      <c r="S433" s="48" t="n">
        <v>97</v>
      </c>
      <c r="T433" s="48" t="n">
        <v>341</v>
      </c>
      <c r="U433" s="48" t="n">
        <v>768</v>
      </c>
      <c r="V433" s="48" t="n">
        <v>63</v>
      </c>
      <c r="W433" s="48" t="n">
        <v>153</v>
      </c>
      <c r="X433" s="48" t="n">
        <v>204</v>
      </c>
      <c r="Y433" s="48" t="n">
        <v>144</v>
      </c>
      <c r="Z433" s="48" t="n">
        <v>201</v>
      </c>
      <c r="AA433" s="48" t="n">
        <v>336</v>
      </c>
      <c r="AB433" s="48" t="n">
        <v>97</v>
      </c>
      <c r="AC433" s="48" t="n">
        <v>343</v>
      </c>
      <c r="AD433" s="48" t="n">
        <v>145</v>
      </c>
      <c r="AE433" s="48" t="n">
        <v>48</v>
      </c>
      <c r="AF433" s="48" t="n">
        <v>98</v>
      </c>
      <c r="AG433" s="48" t="n">
        <v>97</v>
      </c>
      <c r="AH433" s="48" t="n">
        <v>289</v>
      </c>
      <c r="AI433" s="48" t="n">
        <v>342</v>
      </c>
      <c r="AJ433" s="48" t="n">
        <v>145</v>
      </c>
      <c r="AK433" s="48" t="n">
        <v>1</v>
      </c>
      <c r="AL433" s="48" t="n">
        <v>343</v>
      </c>
      <c r="AM433" s="48" t="n">
        <v>144</v>
      </c>
      <c r="AN433" s="48" t="n">
        <v>679</v>
      </c>
      <c r="AO433" s="48" t="n">
        <v>0</v>
      </c>
      <c r="AP433" s="48" t="n">
        <v>0</v>
      </c>
      <c r="AQ433" s="48" t="n">
        <v>0</v>
      </c>
      <c r="AR433" s="48" t="n">
        <v>0</v>
      </c>
      <c r="AS433" s="48" t="n">
        <v>0</v>
      </c>
      <c r="AT433" s="48" t="n">
        <v>0</v>
      </c>
      <c r="AU433" s="48" t="n">
        <v>0</v>
      </c>
      <c r="AV433" s="48" t="n">
        <v>0</v>
      </c>
      <c r="AW433" s="48" t="n">
        <v>89</v>
      </c>
      <c r="AX433" s="48" t="n">
        <v>0</v>
      </c>
      <c r="AY433" s="48" t="n">
        <v>0</v>
      </c>
      <c r="AZ433" s="48" t="n">
        <v>0</v>
      </c>
      <c r="BA433" s="48" t="n">
        <v>0</v>
      </c>
      <c r="BB433" s="48" t="n">
        <v>0</v>
      </c>
      <c r="BC433" s="48" t="n">
        <v>0</v>
      </c>
      <c r="BD433" s="48" t="n">
        <v>0</v>
      </c>
      <c r="BE433" s="48" t="n">
        <v>0</v>
      </c>
      <c r="BF433" s="48" t="n">
        <v>0</v>
      </c>
      <c r="BG433" s="49" t="n">
        <v>0.85</v>
      </c>
    </row>
    <row r="434" customFormat="false" ht="15" hidden="false" customHeight="false" outlineLevel="0" collapsed="false">
      <c r="A434" s="43" t="s">
        <v>1104</v>
      </c>
      <c r="B434" s="43" t="s">
        <v>1105</v>
      </c>
      <c r="C434" s="44" t="str">
        <f aca="false">IF(A434="","",IFERROR(INDEX(Assumptions!$B$41:$B$55,MATCH(TRUE(),INDEX(ISNUMBER(SEARCH(" "&amp;Assumptions!$A$41:$A$55&amp;" "," "&amp;SUBSTITUTE(SUBSTITUTE(SUBSTITUTE(SUBSTITUTE(B434,"-"," "),","," "),"/"," "),"."," ")&amp;" ")),0),0)),"Other"))</f>
        <v>Other</v>
      </c>
      <c r="D434" s="45" t="n">
        <f aca="false">IF(A434="","",BG434*(1-Assumptions!$B$18))</f>
        <v>1.77</v>
      </c>
      <c r="E434" s="46" t="n">
        <f aca="false">IF(A434="","",INDEX(Assumptions!$B$23:$B$26,MOD(VALUE(LEFT(A434,5)),4)+1))</f>
        <v>2</v>
      </c>
      <c r="F434" s="47" t="n">
        <v>145</v>
      </c>
      <c r="G434" s="48" t="n">
        <v>43</v>
      </c>
      <c r="H434" s="48" t="n">
        <v>2</v>
      </c>
      <c r="I434" s="48" t="n">
        <v>1</v>
      </c>
      <c r="J434" s="48" t="n">
        <v>0</v>
      </c>
      <c r="K434" s="48" t="n">
        <v>22</v>
      </c>
      <c r="L434" s="48" t="n">
        <v>90</v>
      </c>
      <c r="M434" s="48" t="n">
        <v>28</v>
      </c>
      <c r="N434" s="48" t="n">
        <v>70</v>
      </c>
      <c r="O434" s="48" t="n">
        <v>33</v>
      </c>
      <c r="P434" s="48" t="n">
        <v>113</v>
      </c>
      <c r="Q434" s="48" t="n">
        <v>28</v>
      </c>
      <c r="R434" s="48" t="n">
        <v>99</v>
      </c>
      <c r="S434" s="48" t="n">
        <v>37</v>
      </c>
      <c r="T434" s="48" t="n">
        <v>40</v>
      </c>
      <c r="U434" s="48" t="n">
        <v>103</v>
      </c>
      <c r="V434" s="48" t="n">
        <v>34</v>
      </c>
      <c r="W434" s="48" t="n">
        <v>33</v>
      </c>
      <c r="X434" s="48" t="n">
        <v>88</v>
      </c>
      <c r="Y434" s="48" t="n">
        <v>91</v>
      </c>
      <c r="Z434" s="48" t="n">
        <v>97</v>
      </c>
      <c r="AA434" s="48" t="n">
        <v>15</v>
      </c>
      <c r="AB434" s="48" t="n">
        <v>66</v>
      </c>
      <c r="AC434" s="48" t="n">
        <v>216</v>
      </c>
      <c r="AD434" s="48" t="n">
        <v>102</v>
      </c>
      <c r="AE434" s="48" t="n">
        <v>72</v>
      </c>
      <c r="AF434" s="48" t="n">
        <v>135</v>
      </c>
      <c r="AG434" s="48" t="n">
        <v>104</v>
      </c>
      <c r="AH434" s="48" t="n">
        <v>89</v>
      </c>
      <c r="AI434" s="48" t="n">
        <v>36</v>
      </c>
      <c r="AJ434" s="48" t="n">
        <v>0</v>
      </c>
      <c r="AK434" s="48" t="n">
        <v>1</v>
      </c>
      <c r="AL434" s="48" t="n">
        <v>0</v>
      </c>
      <c r="AM434" s="48" t="n">
        <v>0</v>
      </c>
      <c r="AN434" s="48" t="n">
        <v>0</v>
      </c>
      <c r="AO434" s="48" t="n">
        <v>0</v>
      </c>
      <c r="AP434" s="48" t="n">
        <v>0</v>
      </c>
      <c r="AQ434" s="48" t="n">
        <v>0</v>
      </c>
      <c r="AR434" s="48" t="n">
        <v>0</v>
      </c>
      <c r="AS434" s="48" t="n">
        <v>0</v>
      </c>
      <c r="AT434" s="48" t="n">
        <v>0</v>
      </c>
      <c r="AU434" s="48" t="n">
        <v>0</v>
      </c>
      <c r="AV434" s="48" t="n">
        <v>0</v>
      </c>
      <c r="AW434" s="48" t="n">
        <v>0</v>
      </c>
      <c r="AX434" s="48" t="n">
        <v>0</v>
      </c>
      <c r="AY434" s="48" t="n">
        <v>0</v>
      </c>
      <c r="AZ434" s="48" t="n">
        <v>0</v>
      </c>
      <c r="BA434" s="48" t="n">
        <v>0</v>
      </c>
      <c r="BB434" s="48" t="n">
        <v>0</v>
      </c>
      <c r="BC434" s="48" t="n">
        <v>0</v>
      </c>
      <c r="BD434" s="48" t="n">
        <v>0</v>
      </c>
      <c r="BE434" s="48" t="n">
        <v>0</v>
      </c>
      <c r="BF434" s="48" t="n">
        <v>0</v>
      </c>
      <c r="BG434" s="49" t="n">
        <v>2.95</v>
      </c>
    </row>
    <row r="435" customFormat="false" ht="15" hidden="false" customHeight="false" outlineLevel="0" collapsed="false">
      <c r="A435" s="43" t="s">
        <v>1106</v>
      </c>
      <c r="B435" s="43" t="s">
        <v>1107</v>
      </c>
      <c r="C435" s="44" t="str">
        <f aca="false">IF(A435="","",IFERROR(INDEX(Assumptions!$B$41:$B$55,MATCH(TRUE(),INDEX(ISNUMBER(SEARCH(" "&amp;Assumptions!$A$41:$A$55&amp;" "," "&amp;SUBSTITUTE(SUBSTITUTE(SUBSTITUTE(SUBSTITUTE(B435,"-"," "),","," "),"/"," "),"."," ")&amp;" ")),0),0)),"Other"))</f>
        <v>Other</v>
      </c>
      <c r="D435" s="45" t="n">
        <f aca="false">IF(A435="","",BG435*(1-Assumptions!$B$18))</f>
        <v>1.248</v>
      </c>
      <c r="E435" s="46" t="n">
        <f aca="false">IF(A435="","",INDEX(Assumptions!$B$23:$B$26,MOD(VALUE(LEFT(A435,5)),4)+1))</f>
        <v>6</v>
      </c>
      <c r="F435" s="47" t="n">
        <v>746</v>
      </c>
      <c r="G435" s="48" t="n">
        <v>0</v>
      </c>
      <c r="H435" s="48" t="n">
        <v>0</v>
      </c>
      <c r="I435" s="48" t="n">
        <v>0</v>
      </c>
      <c r="J435" s="48" t="n">
        <v>0</v>
      </c>
      <c r="K435" s="48" t="n">
        <v>0</v>
      </c>
      <c r="L435" s="48" t="n">
        <v>0</v>
      </c>
      <c r="M435" s="48" t="n">
        <v>0</v>
      </c>
      <c r="N435" s="48" t="n">
        <v>0</v>
      </c>
      <c r="O435" s="48" t="n">
        <v>0</v>
      </c>
      <c r="P435" s="48" t="n">
        <v>0</v>
      </c>
      <c r="Q435" s="48" t="n">
        <v>0</v>
      </c>
      <c r="R435" s="48" t="n">
        <v>0</v>
      </c>
      <c r="S435" s="48" t="n">
        <v>0</v>
      </c>
      <c r="T435" s="48" t="n">
        <v>0</v>
      </c>
      <c r="U435" s="48" t="n">
        <v>0</v>
      </c>
      <c r="V435" s="48" t="n">
        <v>132</v>
      </c>
      <c r="W435" s="48" t="n">
        <v>150</v>
      </c>
      <c r="X435" s="48" t="n">
        <v>79</v>
      </c>
      <c r="Y435" s="48" t="n">
        <v>96</v>
      </c>
      <c r="Z435" s="48" t="n">
        <v>19</v>
      </c>
      <c r="AA435" s="48" t="n">
        <v>50</v>
      </c>
      <c r="AB435" s="48" t="n">
        <v>46</v>
      </c>
      <c r="AC435" s="48" t="n">
        <v>171</v>
      </c>
      <c r="AD435" s="48" t="n">
        <v>50</v>
      </c>
      <c r="AE435" s="48" t="n">
        <v>31</v>
      </c>
      <c r="AF435" s="48" t="n">
        <v>44</v>
      </c>
      <c r="AG435" s="48" t="n">
        <v>44</v>
      </c>
      <c r="AH435" s="48" t="n">
        <v>144</v>
      </c>
      <c r="AI435" s="48" t="n">
        <v>27</v>
      </c>
      <c r="AJ435" s="48" t="n">
        <v>13</v>
      </c>
      <c r="AK435" s="48" t="n">
        <v>43</v>
      </c>
      <c r="AL435" s="48" t="n">
        <v>70</v>
      </c>
      <c r="AM435" s="48" t="n">
        <v>69</v>
      </c>
      <c r="AN435" s="48" t="n">
        <v>55</v>
      </c>
      <c r="AO435" s="48" t="n">
        <v>44</v>
      </c>
      <c r="AP435" s="48" t="n">
        <v>37</v>
      </c>
      <c r="AQ435" s="48" t="n">
        <v>62</v>
      </c>
      <c r="AR435" s="48" t="n">
        <v>31</v>
      </c>
      <c r="AS435" s="48" t="n">
        <v>75</v>
      </c>
      <c r="AT435" s="48" t="n">
        <v>38</v>
      </c>
      <c r="AU435" s="48" t="n">
        <v>106</v>
      </c>
      <c r="AV435" s="48" t="n">
        <v>223</v>
      </c>
      <c r="AW435" s="48" t="n">
        <v>5</v>
      </c>
      <c r="AX435" s="48" t="n">
        <v>51</v>
      </c>
      <c r="AY435" s="48" t="n">
        <v>54</v>
      </c>
      <c r="AZ435" s="48" t="n">
        <v>12</v>
      </c>
      <c r="BA435" s="48" t="n">
        <v>39</v>
      </c>
      <c r="BB435" s="48" t="n">
        <v>43</v>
      </c>
      <c r="BC435" s="48" t="n">
        <v>127</v>
      </c>
      <c r="BD435" s="48" t="n">
        <v>218</v>
      </c>
      <c r="BE435" s="48" t="n">
        <v>61</v>
      </c>
      <c r="BF435" s="48" t="n">
        <v>28</v>
      </c>
      <c r="BG435" s="49" t="n">
        <v>2.08</v>
      </c>
    </row>
    <row r="436" customFormat="false" ht="15" hidden="false" customHeight="false" outlineLevel="0" collapsed="false">
      <c r="A436" s="43" t="s">
        <v>1108</v>
      </c>
      <c r="B436" s="43" t="s">
        <v>1109</v>
      </c>
      <c r="C436" s="44" t="str">
        <f aca="false">IF(A436="","",IFERROR(INDEX(Assumptions!$B$41:$B$55,MATCH(TRUE(),INDEX(ISNUMBER(SEARCH(" "&amp;Assumptions!$A$41:$A$55&amp;" "," "&amp;SUBSTITUTE(SUBSTITUTE(SUBSTITUTE(SUBSTITUTE(B436,"-"," "),","," "),"/"," "),"."," ")&amp;" ")),0),0)),"Other"))</f>
        <v>Other</v>
      </c>
      <c r="D436" s="45" t="n">
        <f aca="false">IF(A436="","",BG436*(1-Assumptions!$B$18))</f>
        <v>0.99</v>
      </c>
      <c r="E436" s="46" t="n">
        <f aca="false">IF(A436="","",INDEX(Assumptions!$B$23:$B$26,MOD(VALUE(LEFT(A436,5)),4)+1))</f>
        <v>6</v>
      </c>
      <c r="F436" s="47" t="n">
        <v>2237</v>
      </c>
      <c r="G436" s="48" t="n">
        <v>238</v>
      </c>
      <c r="H436" s="48" t="n">
        <v>937</v>
      </c>
      <c r="I436" s="48" t="n">
        <v>33</v>
      </c>
      <c r="J436" s="48" t="n">
        <v>0</v>
      </c>
      <c r="K436" s="48" t="n">
        <v>34</v>
      </c>
      <c r="L436" s="48" t="n">
        <v>17</v>
      </c>
      <c r="M436" s="48" t="n">
        <v>28</v>
      </c>
      <c r="N436" s="48" t="n">
        <v>3</v>
      </c>
      <c r="O436" s="48" t="n">
        <v>118</v>
      </c>
      <c r="P436" s="48" t="n">
        <v>10</v>
      </c>
      <c r="Q436" s="48" t="n">
        <v>25</v>
      </c>
      <c r="R436" s="48" t="n">
        <v>90</v>
      </c>
      <c r="S436" s="48" t="n">
        <v>15</v>
      </c>
      <c r="T436" s="48" t="n">
        <v>12</v>
      </c>
      <c r="U436" s="48" t="n">
        <v>31</v>
      </c>
      <c r="V436" s="48" t="n">
        <v>79</v>
      </c>
      <c r="W436" s="48" t="n">
        <v>4</v>
      </c>
      <c r="X436" s="48" t="n">
        <v>10</v>
      </c>
      <c r="Y436" s="48" t="n">
        <v>14</v>
      </c>
      <c r="Z436" s="48" t="n">
        <v>2</v>
      </c>
      <c r="AA436" s="48" t="n">
        <v>29</v>
      </c>
      <c r="AB436" s="48" t="n">
        <v>7</v>
      </c>
      <c r="AC436" s="48" t="n">
        <v>6</v>
      </c>
      <c r="AD436" s="48" t="n">
        <v>64</v>
      </c>
      <c r="AE436" s="48" t="n">
        <v>4</v>
      </c>
      <c r="AF436" s="48" t="n">
        <v>4</v>
      </c>
      <c r="AG436" s="48" t="n">
        <v>11</v>
      </c>
      <c r="AH436" s="48" t="n">
        <v>4</v>
      </c>
      <c r="AI436" s="48" t="n">
        <v>18</v>
      </c>
      <c r="AJ436" s="48" t="n">
        <v>60</v>
      </c>
      <c r="AK436" s="48" t="n">
        <v>67</v>
      </c>
      <c r="AL436" s="48" t="n">
        <v>16</v>
      </c>
      <c r="AM436" s="48" t="n">
        <v>30</v>
      </c>
      <c r="AN436" s="48" t="n">
        <v>151</v>
      </c>
      <c r="AO436" s="48" t="n">
        <v>3</v>
      </c>
      <c r="AP436" s="48" t="n">
        <v>8</v>
      </c>
      <c r="AQ436" s="48" t="n">
        <v>4</v>
      </c>
      <c r="AR436" s="48" t="n">
        <v>38</v>
      </c>
      <c r="AS436" s="48" t="n">
        <v>26</v>
      </c>
      <c r="AT436" s="48" t="n">
        <v>41</v>
      </c>
      <c r="AU436" s="48" t="n">
        <v>36</v>
      </c>
      <c r="AV436" s="48" t="n">
        <v>75</v>
      </c>
      <c r="AW436" s="48" t="n">
        <v>44</v>
      </c>
      <c r="AX436" s="48" t="n">
        <v>46</v>
      </c>
      <c r="AY436" s="48" t="n">
        <v>67</v>
      </c>
      <c r="AZ436" s="48" t="n">
        <v>18</v>
      </c>
      <c r="BA436" s="48" t="n">
        <v>36</v>
      </c>
      <c r="BB436" s="48" t="n">
        <v>52</v>
      </c>
      <c r="BC436" s="48" t="n">
        <v>147</v>
      </c>
      <c r="BD436" s="48" t="n">
        <v>105</v>
      </c>
      <c r="BE436" s="48" t="n">
        <v>43</v>
      </c>
      <c r="BF436" s="48" t="n">
        <v>101</v>
      </c>
      <c r="BG436" s="49" t="n">
        <v>1.65</v>
      </c>
    </row>
    <row r="437" customFormat="false" ht="15" hidden="false" customHeight="false" outlineLevel="0" collapsed="false">
      <c r="A437" s="43" t="s">
        <v>1110</v>
      </c>
      <c r="B437" s="43" t="s">
        <v>1111</v>
      </c>
      <c r="C437" s="44" t="str">
        <f aca="false">IF(A437="","",IFERROR(INDEX(Assumptions!$B$41:$B$55,MATCH(TRUE(),INDEX(ISNUMBER(SEARCH(" "&amp;Assumptions!$A$41:$A$55&amp;" "," "&amp;SUBSTITUTE(SUBSTITUTE(SUBSTITUTE(SUBSTITUTE(B437,"-"," "),","," "),"/"," "),"."," ")&amp;" ")),0),0)),"Other"))</f>
        <v>Other</v>
      </c>
      <c r="D437" s="45" t="n">
        <f aca="false">IF(A437="","",BG437*(1-Assumptions!$B$18))</f>
        <v>1.17</v>
      </c>
      <c r="E437" s="46" t="n">
        <f aca="false">IF(A437="","",INDEX(Assumptions!$B$23:$B$26,MOD(VALUE(LEFT(A437,5)),4)+1))</f>
        <v>2</v>
      </c>
      <c r="F437" s="47" t="n">
        <v>611</v>
      </c>
      <c r="G437" s="48" t="n">
        <v>68</v>
      </c>
      <c r="H437" s="48" t="n">
        <v>33</v>
      </c>
      <c r="I437" s="48" t="n">
        <v>1</v>
      </c>
      <c r="J437" s="48" t="n">
        <v>0</v>
      </c>
      <c r="K437" s="48" t="n">
        <v>103</v>
      </c>
      <c r="L437" s="48" t="n">
        <v>128</v>
      </c>
      <c r="M437" s="48" t="n">
        <v>81</v>
      </c>
      <c r="N437" s="48" t="n">
        <v>31</v>
      </c>
      <c r="O437" s="48" t="n">
        <v>130</v>
      </c>
      <c r="P437" s="48" t="n">
        <v>8</v>
      </c>
      <c r="Q437" s="48" t="n">
        <v>40</v>
      </c>
      <c r="R437" s="48" t="n">
        <v>122</v>
      </c>
      <c r="S437" s="48" t="n">
        <v>148</v>
      </c>
      <c r="T437" s="48" t="n">
        <v>40</v>
      </c>
      <c r="U437" s="48" t="n">
        <v>51</v>
      </c>
      <c r="V437" s="48" t="n">
        <v>18</v>
      </c>
      <c r="W437" s="48" t="n">
        <v>19</v>
      </c>
      <c r="X437" s="48" t="n">
        <v>16</v>
      </c>
      <c r="Y437" s="48" t="n">
        <v>42</v>
      </c>
      <c r="Z437" s="48" t="n">
        <v>29</v>
      </c>
      <c r="AA437" s="48" t="n">
        <v>0</v>
      </c>
      <c r="AB437" s="48" t="n">
        <v>29</v>
      </c>
      <c r="AC437" s="48" t="n">
        <v>72</v>
      </c>
      <c r="AD437" s="48" t="n">
        <v>37</v>
      </c>
      <c r="AE437" s="48" t="n">
        <v>21</v>
      </c>
      <c r="AF437" s="48" t="n">
        <v>13</v>
      </c>
      <c r="AG437" s="48" t="n">
        <v>24</v>
      </c>
      <c r="AH437" s="48" t="n">
        <v>80</v>
      </c>
      <c r="AI437" s="48" t="n">
        <v>25</v>
      </c>
      <c r="AJ437" s="48" t="n">
        <v>15</v>
      </c>
      <c r="AK437" s="48" t="n">
        <v>15</v>
      </c>
      <c r="AL437" s="48" t="n">
        <v>30</v>
      </c>
      <c r="AM437" s="48" t="n">
        <v>18</v>
      </c>
      <c r="AN437" s="48" t="n">
        <v>19</v>
      </c>
      <c r="AO437" s="48" t="n">
        <v>32</v>
      </c>
      <c r="AP437" s="48" t="n">
        <v>69</v>
      </c>
      <c r="AQ437" s="48" t="n">
        <v>20</v>
      </c>
      <c r="AR437" s="48" t="n">
        <v>20</v>
      </c>
      <c r="AS437" s="48" t="n">
        <v>26</v>
      </c>
      <c r="AT437" s="48" t="n">
        <v>27</v>
      </c>
      <c r="AU437" s="48" t="n">
        <v>33</v>
      </c>
      <c r="AV437" s="48" t="n">
        <v>124</v>
      </c>
      <c r="AW437" s="48" t="n">
        <v>90</v>
      </c>
      <c r="AX437" s="48" t="n">
        <v>80</v>
      </c>
      <c r="AY437" s="48" t="n">
        <v>76</v>
      </c>
      <c r="AZ437" s="48" t="n">
        <v>155</v>
      </c>
      <c r="BA437" s="48" t="n">
        <v>22</v>
      </c>
      <c r="BB437" s="48" t="n">
        <v>44</v>
      </c>
      <c r="BC437" s="48" t="n">
        <v>81</v>
      </c>
      <c r="BD437" s="48" t="n">
        <v>297</v>
      </c>
      <c r="BE437" s="48" t="n">
        <v>105</v>
      </c>
      <c r="BF437" s="48" t="n">
        <v>82</v>
      </c>
      <c r="BG437" s="49" t="n">
        <v>1.95</v>
      </c>
    </row>
    <row r="438" customFormat="false" ht="15" hidden="false" customHeight="false" outlineLevel="0" collapsed="false">
      <c r="A438" s="43" t="s">
        <v>1112</v>
      </c>
      <c r="B438" s="43" t="s">
        <v>1113</v>
      </c>
      <c r="C438" s="44" t="str">
        <f aca="false">IF(A438="","",IFERROR(INDEX(Assumptions!$B$41:$B$55,MATCH(TRUE(),INDEX(ISNUMBER(SEARCH(" "&amp;Assumptions!$A$41:$A$55&amp;" "," "&amp;SUBSTITUTE(SUBSTITUTE(SUBSTITUTE(SUBSTITUTE(B438,"-"," "),","," "),"/"," "),"."," ")&amp;" ")),0),0)),"Other"))</f>
        <v>Other</v>
      </c>
      <c r="D438" s="45" t="n">
        <f aca="false">IF(A438="","",BG438*(1-Assumptions!$B$18))</f>
        <v>0.51</v>
      </c>
      <c r="E438" s="46" t="n">
        <f aca="false">IF(A438="","",INDEX(Assumptions!$B$23:$B$26,MOD(VALUE(LEFT(A438,5)),4)+1))</f>
        <v>8</v>
      </c>
      <c r="F438" s="47" t="n">
        <v>372</v>
      </c>
      <c r="G438" s="48" t="n">
        <v>63</v>
      </c>
      <c r="H438" s="48" t="n">
        <v>28</v>
      </c>
      <c r="I438" s="48" t="n">
        <v>13</v>
      </c>
      <c r="J438" s="48" t="n">
        <v>0</v>
      </c>
      <c r="K438" s="48" t="n">
        <v>102</v>
      </c>
      <c r="L438" s="48" t="n">
        <v>46</v>
      </c>
      <c r="M438" s="48" t="n">
        <v>234</v>
      </c>
      <c r="N438" s="48" t="n">
        <v>149</v>
      </c>
      <c r="O438" s="48" t="n">
        <v>94</v>
      </c>
      <c r="P438" s="48" t="n">
        <v>54</v>
      </c>
      <c r="Q438" s="48" t="n">
        <v>219</v>
      </c>
      <c r="R438" s="48" t="n">
        <v>160</v>
      </c>
      <c r="S438" s="48" t="n">
        <v>56</v>
      </c>
      <c r="T438" s="48" t="n">
        <v>201</v>
      </c>
      <c r="U438" s="48" t="n">
        <v>301</v>
      </c>
      <c r="V438" s="48" t="n">
        <v>147</v>
      </c>
      <c r="W438" s="48" t="n">
        <v>182</v>
      </c>
      <c r="X438" s="48" t="n">
        <v>106</v>
      </c>
      <c r="Y438" s="48" t="n">
        <v>156</v>
      </c>
      <c r="Z438" s="48" t="n">
        <v>119</v>
      </c>
      <c r="AA438" s="48" t="n">
        <v>42</v>
      </c>
      <c r="AB438" s="48" t="n">
        <v>140</v>
      </c>
      <c r="AC438" s="48" t="n">
        <v>215</v>
      </c>
      <c r="AD438" s="48" t="n">
        <v>122</v>
      </c>
      <c r="AE438" s="48" t="n">
        <v>92</v>
      </c>
      <c r="AF438" s="48" t="n">
        <v>188</v>
      </c>
      <c r="AG438" s="48" t="n">
        <v>279</v>
      </c>
      <c r="AH438" s="48" t="n">
        <v>76</v>
      </c>
      <c r="AI438" s="48" t="n">
        <v>34</v>
      </c>
      <c r="AJ438" s="48" t="n">
        <v>63</v>
      </c>
      <c r="AK438" s="48" t="n">
        <v>127</v>
      </c>
      <c r="AL438" s="48" t="n">
        <v>136</v>
      </c>
      <c r="AM438" s="48" t="n">
        <v>131</v>
      </c>
      <c r="AN438" s="48" t="n">
        <v>320</v>
      </c>
      <c r="AO438" s="48" t="n">
        <v>229</v>
      </c>
      <c r="AP438" s="48" t="n">
        <v>169</v>
      </c>
      <c r="AQ438" s="48" t="n">
        <v>63</v>
      </c>
      <c r="AR438" s="48" t="n">
        <v>109</v>
      </c>
      <c r="AS438" s="48" t="n">
        <v>96</v>
      </c>
      <c r="AT438" s="48" t="n">
        <v>72</v>
      </c>
      <c r="AU438" s="48" t="n">
        <v>211</v>
      </c>
      <c r="AV438" s="48" t="n">
        <v>178</v>
      </c>
      <c r="AW438" s="48" t="n">
        <v>82</v>
      </c>
      <c r="AX438" s="48" t="n">
        <v>179</v>
      </c>
      <c r="AY438" s="48" t="n">
        <v>68</v>
      </c>
      <c r="AZ438" s="48" t="n">
        <v>102</v>
      </c>
      <c r="BA438" s="48" t="n">
        <v>146</v>
      </c>
      <c r="BB438" s="48" t="n">
        <v>73</v>
      </c>
      <c r="BC438" s="48" t="n">
        <v>73</v>
      </c>
      <c r="BD438" s="48" t="n">
        <v>23</v>
      </c>
      <c r="BE438" s="48" t="n">
        <v>85</v>
      </c>
      <c r="BF438" s="48" t="n">
        <v>91</v>
      </c>
      <c r="BG438" s="49" t="n">
        <v>0.85</v>
      </c>
    </row>
    <row r="439" customFormat="false" ht="15" hidden="false" customHeight="false" outlineLevel="0" collapsed="false">
      <c r="A439" s="43" t="s">
        <v>1114</v>
      </c>
      <c r="B439" s="43" t="s">
        <v>1115</v>
      </c>
      <c r="C439" s="44" t="str">
        <f aca="false">IF(A439="","",IFERROR(INDEX(Assumptions!$B$41:$B$55,MATCH(TRUE(),INDEX(ISNUMBER(SEARCH(" "&amp;Assumptions!$A$41:$A$55&amp;" "," "&amp;SUBSTITUTE(SUBSTITUTE(SUBSTITUTE(SUBSTITUTE(B439,"-"," "),","," "),"/"," "),"."," ")&amp;" ")),0),0)),"Other"))</f>
        <v>Other</v>
      </c>
      <c r="D439" s="45" t="n">
        <f aca="false">IF(A439="","",BG439*(1-Assumptions!$B$18))</f>
        <v>4.5</v>
      </c>
      <c r="E439" s="46" t="n">
        <f aca="false">IF(A439="","",INDEX(Assumptions!$B$23:$B$26,MOD(VALUE(LEFT(A439,5)),4)+1))</f>
        <v>6</v>
      </c>
      <c r="F439" s="47" t="n">
        <v>228</v>
      </c>
      <c r="G439" s="48" t="n">
        <v>0</v>
      </c>
      <c r="H439" s="48" t="n">
        <v>0</v>
      </c>
      <c r="I439" s="48" t="n">
        <v>0</v>
      </c>
      <c r="J439" s="48" t="n">
        <v>0</v>
      </c>
      <c r="K439" s="48" t="n">
        <v>0</v>
      </c>
      <c r="L439" s="48" t="n">
        <v>0</v>
      </c>
      <c r="M439" s="48" t="n">
        <v>0</v>
      </c>
      <c r="N439" s="48" t="n">
        <v>0</v>
      </c>
      <c r="O439" s="48" t="n">
        <v>0</v>
      </c>
      <c r="P439" s="48" t="n">
        <v>0</v>
      </c>
      <c r="Q439" s="48" t="n">
        <v>0</v>
      </c>
      <c r="R439" s="48" t="n">
        <v>0</v>
      </c>
      <c r="S439" s="48" t="n">
        <v>0</v>
      </c>
      <c r="T439" s="48" t="n">
        <v>0</v>
      </c>
      <c r="U439" s="48" t="n">
        <v>0</v>
      </c>
      <c r="V439" s="48" t="n">
        <v>0</v>
      </c>
      <c r="W439" s="48" t="n">
        <v>0</v>
      </c>
      <c r="X439" s="48" t="n">
        <v>0</v>
      </c>
      <c r="Y439" s="48" t="n">
        <v>0</v>
      </c>
      <c r="Z439" s="48" t="n">
        <v>0</v>
      </c>
      <c r="AA439" s="48" t="n">
        <v>0</v>
      </c>
      <c r="AB439" s="48" t="n">
        <v>0</v>
      </c>
      <c r="AC439" s="48" t="n">
        <v>20</v>
      </c>
      <c r="AD439" s="48" t="n">
        <v>74</v>
      </c>
      <c r="AE439" s="48" t="n">
        <v>29</v>
      </c>
      <c r="AF439" s="48" t="n">
        <v>13</v>
      </c>
      <c r="AG439" s="48" t="n">
        <v>5</v>
      </c>
      <c r="AH439" s="48" t="n">
        <v>26</v>
      </c>
      <c r="AI439" s="48" t="n">
        <v>23</v>
      </c>
      <c r="AJ439" s="48" t="n">
        <v>110</v>
      </c>
      <c r="AK439" s="48" t="n">
        <v>6</v>
      </c>
      <c r="AL439" s="48" t="n">
        <v>14</v>
      </c>
      <c r="AM439" s="48" t="n">
        <v>6</v>
      </c>
      <c r="AN439" s="48" t="n">
        <v>9</v>
      </c>
      <c r="AO439" s="48" t="n">
        <v>38</v>
      </c>
      <c r="AP439" s="48" t="n">
        <v>7</v>
      </c>
      <c r="AQ439" s="48" t="n">
        <v>6</v>
      </c>
      <c r="AR439" s="48" t="n">
        <v>8</v>
      </c>
      <c r="AS439" s="48" t="n">
        <v>15</v>
      </c>
      <c r="AT439" s="48" t="n">
        <v>18</v>
      </c>
      <c r="AU439" s="48" t="n">
        <v>21</v>
      </c>
      <c r="AV439" s="48" t="n">
        <v>24</v>
      </c>
      <c r="AW439" s="48" t="n">
        <v>15</v>
      </c>
      <c r="AX439" s="48" t="n">
        <v>22</v>
      </c>
      <c r="AY439" s="48" t="n">
        <v>77</v>
      </c>
      <c r="AZ439" s="48" t="n">
        <v>29</v>
      </c>
      <c r="BA439" s="48" t="n">
        <v>27</v>
      </c>
      <c r="BB439" s="48" t="n">
        <v>20</v>
      </c>
      <c r="BC439" s="48" t="n">
        <v>19</v>
      </c>
      <c r="BD439" s="48" t="n">
        <v>7</v>
      </c>
      <c r="BE439" s="48" t="n">
        <v>16</v>
      </c>
      <c r="BF439" s="48" t="n">
        <v>36</v>
      </c>
      <c r="BG439" s="49" t="n">
        <v>7.5</v>
      </c>
    </row>
    <row r="440" customFormat="false" ht="15" hidden="false" customHeight="false" outlineLevel="0" collapsed="false">
      <c r="A440" s="43" t="s">
        <v>1116</v>
      </c>
      <c r="B440" s="43" t="s">
        <v>1117</v>
      </c>
      <c r="C440" s="44" t="str">
        <f aca="false">IF(A440="","",IFERROR(INDEX(Assumptions!$B$41:$B$55,MATCH(TRUE(),INDEX(ISNUMBER(SEARCH(" "&amp;Assumptions!$A$41:$A$55&amp;" "," "&amp;SUBSTITUTE(SUBSTITUTE(SUBSTITUTE(SUBSTITUTE(B440,"-"," "),","," "),"/"," "),"."," ")&amp;" ")),0),0)),"Other"))</f>
        <v>Other</v>
      </c>
      <c r="D440" s="45" t="n">
        <f aca="false">IF(A440="","",BG440*(1-Assumptions!$B$18))</f>
        <v>2.25</v>
      </c>
      <c r="E440" s="46" t="n">
        <f aca="false">IF(A440="","",INDEX(Assumptions!$B$23:$B$26,MOD(VALUE(LEFT(A440,5)),4)+1))</f>
        <v>8</v>
      </c>
      <c r="F440" s="47" t="n">
        <v>434</v>
      </c>
      <c r="G440" s="48" t="n">
        <v>21</v>
      </c>
      <c r="H440" s="48" t="n">
        <v>8</v>
      </c>
      <c r="I440" s="48" t="n">
        <v>53</v>
      </c>
      <c r="J440" s="48" t="n">
        <v>0</v>
      </c>
      <c r="K440" s="48" t="n">
        <v>3</v>
      </c>
      <c r="L440" s="48" t="n">
        <v>16</v>
      </c>
      <c r="M440" s="48" t="n">
        <v>15</v>
      </c>
      <c r="N440" s="48" t="n">
        <v>5</v>
      </c>
      <c r="O440" s="48" t="n">
        <v>1</v>
      </c>
      <c r="P440" s="48" t="n">
        <v>1</v>
      </c>
      <c r="Q440" s="48" t="n">
        <v>57</v>
      </c>
      <c r="R440" s="48" t="n">
        <v>25</v>
      </c>
      <c r="S440" s="48" t="n">
        <v>114</v>
      </c>
      <c r="T440" s="48" t="n">
        <v>18</v>
      </c>
      <c r="U440" s="48" t="n">
        <v>10</v>
      </c>
      <c r="V440" s="48" t="n">
        <v>6</v>
      </c>
      <c r="W440" s="48" t="n">
        <v>12</v>
      </c>
      <c r="X440" s="48" t="n">
        <v>13</v>
      </c>
      <c r="Y440" s="48" t="n">
        <v>8</v>
      </c>
      <c r="Z440" s="48" t="n">
        <v>0</v>
      </c>
      <c r="AA440" s="48" t="n">
        <v>5</v>
      </c>
      <c r="AB440" s="48" t="n">
        <v>2</v>
      </c>
      <c r="AC440" s="48" t="n">
        <v>48</v>
      </c>
      <c r="AD440" s="48" t="n">
        <v>7</v>
      </c>
      <c r="AE440" s="48" t="n">
        <v>4</v>
      </c>
      <c r="AF440" s="48" t="n">
        <v>11</v>
      </c>
      <c r="AG440" s="48" t="n">
        <v>8</v>
      </c>
      <c r="AH440" s="48" t="n">
        <v>57</v>
      </c>
      <c r="AI440" s="48" t="n">
        <v>2</v>
      </c>
      <c r="AJ440" s="48" t="n">
        <v>5</v>
      </c>
      <c r="AK440" s="48" t="n">
        <v>14</v>
      </c>
      <c r="AL440" s="48" t="n">
        <v>1</v>
      </c>
      <c r="AM440" s="48" t="n">
        <v>16</v>
      </c>
      <c r="AN440" s="48" t="n">
        <v>53</v>
      </c>
      <c r="AO440" s="48" t="n">
        <v>15</v>
      </c>
      <c r="AP440" s="48" t="n">
        <v>4</v>
      </c>
      <c r="AQ440" s="48" t="n">
        <v>12</v>
      </c>
      <c r="AR440" s="48" t="n">
        <v>18</v>
      </c>
      <c r="AS440" s="48" t="n">
        <v>259</v>
      </c>
      <c r="AT440" s="48" t="n">
        <v>13</v>
      </c>
      <c r="AU440" s="48" t="n">
        <v>28</v>
      </c>
      <c r="AV440" s="48" t="n">
        <v>94</v>
      </c>
      <c r="AW440" s="48" t="n">
        <v>29</v>
      </c>
      <c r="AX440" s="48" t="n">
        <v>121</v>
      </c>
      <c r="AY440" s="48" t="n">
        <v>43</v>
      </c>
      <c r="AZ440" s="48" t="n">
        <v>30</v>
      </c>
      <c r="BA440" s="48" t="n">
        <v>25</v>
      </c>
      <c r="BB440" s="48" t="n">
        <v>38</v>
      </c>
      <c r="BC440" s="48" t="n">
        <v>37</v>
      </c>
      <c r="BD440" s="48" t="n">
        <v>48</v>
      </c>
      <c r="BE440" s="48" t="n">
        <v>21</v>
      </c>
      <c r="BF440" s="48" t="n">
        <v>50</v>
      </c>
      <c r="BG440" s="49" t="n">
        <v>3.75</v>
      </c>
    </row>
    <row r="441" customFormat="false" ht="15" hidden="false" customHeight="false" outlineLevel="0" collapsed="false">
      <c r="A441" s="43" t="s">
        <v>1118</v>
      </c>
      <c r="B441" s="43" t="s">
        <v>1119</v>
      </c>
      <c r="C441" s="44" t="str">
        <f aca="false">IF(A441="","",IFERROR(INDEX(Assumptions!$B$41:$B$55,MATCH(TRUE(),INDEX(ISNUMBER(SEARCH(" "&amp;Assumptions!$A$41:$A$55&amp;" "," "&amp;SUBSTITUTE(SUBSTITUTE(SUBSTITUTE(SUBSTITUTE(B441,"-"," "),","," "),"/"," "),"."," ")&amp;" ")),0),0)),"Other"))</f>
        <v>Other</v>
      </c>
      <c r="D441" s="45" t="n">
        <f aca="false">IF(A441="","",BG441*(1-Assumptions!$B$18))</f>
        <v>4.77</v>
      </c>
      <c r="E441" s="46" t="n">
        <f aca="false">IF(A441="","",INDEX(Assumptions!$B$23:$B$26,MOD(VALUE(LEFT(A441,5)),4)+1))</f>
        <v>4</v>
      </c>
      <c r="F441" s="47" t="n">
        <v>162</v>
      </c>
      <c r="G441" s="48" t="n">
        <v>7</v>
      </c>
      <c r="H441" s="48" t="n">
        <v>10</v>
      </c>
      <c r="I441" s="48" t="n">
        <v>5</v>
      </c>
      <c r="J441" s="48" t="n">
        <v>0</v>
      </c>
      <c r="K441" s="48" t="n">
        <v>28</v>
      </c>
      <c r="L441" s="48" t="n">
        <v>6</v>
      </c>
      <c r="M441" s="48" t="n">
        <v>8</v>
      </c>
      <c r="N441" s="48" t="n">
        <v>3</v>
      </c>
      <c r="O441" s="48" t="n">
        <v>6</v>
      </c>
      <c r="P441" s="48" t="n">
        <v>10</v>
      </c>
      <c r="Q441" s="48" t="n">
        <v>9</v>
      </c>
      <c r="R441" s="48" t="n">
        <v>6</v>
      </c>
      <c r="S441" s="48" t="n">
        <v>10</v>
      </c>
      <c r="T441" s="48" t="n">
        <v>5</v>
      </c>
      <c r="U441" s="48" t="n">
        <v>2</v>
      </c>
      <c r="V441" s="48" t="n">
        <v>1</v>
      </c>
      <c r="W441" s="48" t="n">
        <v>7</v>
      </c>
      <c r="X441" s="48" t="n">
        <v>15</v>
      </c>
      <c r="Y441" s="48" t="n">
        <v>4</v>
      </c>
      <c r="Z441" s="48" t="n">
        <v>3</v>
      </c>
      <c r="AA441" s="48" t="n">
        <v>1</v>
      </c>
      <c r="AB441" s="48" t="n">
        <v>5</v>
      </c>
      <c r="AC441" s="48" t="n">
        <v>24</v>
      </c>
      <c r="AD441" s="48" t="n">
        <v>7</v>
      </c>
      <c r="AE441" s="48" t="n">
        <v>9</v>
      </c>
      <c r="AF441" s="48" t="n">
        <v>11</v>
      </c>
      <c r="AG441" s="48" t="n">
        <v>1</v>
      </c>
      <c r="AH441" s="48" t="n">
        <v>5</v>
      </c>
      <c r="AI441" s="48" t="n">
        <v>1</v>
      </c>
      <c r="AJ441" s="48" t="n">
        <v>0</v>
      </c>
      <c r="AK441" s="48" t="n">
        <v>19</v>
      </c>
      <c r="AL441" s="48" t="n">
        <v>3</v>
      </c>
      <c r="AM441" s="48" t="n">
        <v>4</v>
      </c>
      <c r="AN441" s="48" t="n">
        <v>9</v>
      </c>
      <c r="AO441" s="48" t="n">
        <v>4</v>
      </c>
      <c r="AP441" s="48" t="n">
        <v>25</v>
      </c>
      <c r="AQ441" s="48" t="n">
        <v>31</v>
      </c>
      <c r="AR441" s="48" t="n">
        <v>0</v>
      </c>
      <c r="AS441" s="48" t="n">
        <v>6</v>
      </c>
      <c r="AT441" s="48" t="n">
        <v>1</v>
      </c>
      <c r="AU441" s="48" t="n">
        <v>220</v>
      </c>
      <c r="AV441" s="48" t="n">
        <v>23</v>
      </c>
      <c r="AW441" s="48" t="n">
        <v>52</v>
      </c>
      <c r="AX441" s="48" t="n">
        <v>3</v>
      </c>
      <c r="AY441" s="48" t="n">
        <v>10</v>
      </c>
      <c r="AZ441" s="48" t="n">
        <v>2</v>
      </c>
      <c r="BA441" s="48" t="n">
        <v>1</v>
      </c>
      <c r="BB441" s="48" t="n">
        <v>12</v>
      </c>
      <c r="BC441" s="48" t="n">
        <v>16</v>
      </c>
      <c r="BD441" s="48" t="n">
        <v>54</v>
      </c>
      <c r="BE441" s="48" t="n">
        <v>52</v>
      </c>
      <c r="BF441" s="48" t="n">
        <v>10</v>
      </c>
      <c r="BG441" s="49" t="n">
        <v>7.95</v>
      </c>
    </row>
    <row r="442" customFormat="false" ht="15" hidden="false" customHeight="false" outlineLevel="0" collapsed="false">
      <c r="A442" s="43" t="s">
        <v>1120</v>
      </c>
      <c r="B442" s="43" t="s">
        <v>1121</v>
      </c>
      <c r="C442" s="44" t="str">
        <f aca="false">IF(A442="","",IFERROR(INDEX(Assumptions!$B$41:$B$55,MATCH(TRUE(),INDEX(ISNUMBER(SEARCH(" "&amp;Assumptions!$A$41:$A$55&amp;" "," "&amp;SUBSTITUTE(SUBSTITUTE(SUBSTITUTE(SUBSTITUTE(B442,"-"," "),","," "),"/"," "),"."," ")&amp;" ")),0),0)),"Other"))</f>
        <v>Bags</v>
      </c>
      <c r="D442" s="45" t="n">
        <f aca="false">IF(A442="","",BG442*(1-Assumptions!$B$18))</f>
        <v>0.51</v>
      </c>
      <c r="E442" s="46" t="n">
        <f aca="false">IF(A442="","",INDEX(Assumptions!$B$23:$B$26,MOD(VALUE(LEFT(A442,5)),4)+1))</f>
        <v>4</v>
      </c>
      <c r="F442" s="47" t="n">
        <v>1429</v>
      </c>
      <c r="G442" s="48" t="n">
        <v>0</v>
      </c>
      <c r="H442" s="48" t="n">
        <v>0</v>
      </c>
      <c r="I442" s="48" t="n">
        <v>0</v>
      </c>
      <c r="J442" s="48" t="n">
        <v>0</v>
      </c>
      <c r="K442" s="48" t="n">
        <v>0</v>
      </c>
      <c r="L442" s="48" t="n">
        <v>0</v>
      </c>
      <c r="M442" s="48" t="n">
        <v>0</v>
      </c>
      <c r="N442" s="48" t="n">
        <v>0</v>
      </c>
      <c r="O442" s="48" t="n">
        <v>0</v>
      </c>
      <c r="P442" s="48" t="n">
        <v>0</v>
      </c>
      <c r="Q442" s="48" t="n">
        <v>0</v>
      </c>
      <c r="R442" s="48" t="n">
        <v>0</v>
      </c>
      <c r="S442" s="48" t="n">
        <v>0</v>
      </c>
      <c r="T442" s="48" t="n">
        <v>0</v>
      </c>
      <c r="U442" s="48" t="n">
        <v>0</v>
      </c>
      <c r="V442" s="48" t="n">
        <v>0</v>
      </c>
      <c r="W442" s="48" t="n">
        <v>0</v>
      </c>
      <c r="X442" s="48" t="n">
        <v>0</v>
      </c>
      <c r="Y442" s="48" t="n">
        <v>170</v>
      </c>
      <c r="Z442" s="48" t="n">
        <v>144</v>
      </c>
      <c r="AA442" s="48" t="n">
        <v>154</v>
      </c>
      <c r="AB442" s="48" t="n">
        <v>108</v>
      </c>
      <c r="AC442" s="48" t="n">
        <v>518</v>
      </c>
      <c r="AD442" s="48" t="n">
        <v>133</v>
      </c>
      <c r="AE442" s="48" t="n">
        <v>45</v>
      </c>
      <c r="AF442" s="48" t="n">
        <v>291</v>
      </c>
      <c r="AG442" s="48" t="n">
        <v>204</v>
      </c>
      <c r="AH442" s="48" t="n">
        <v>128</v>
      </c>
      <c r="AI442" s="48" t="n">
        <v>96</v>
      </c>
      <c r="AJ442" s="48" t="n">
        <v>289</v>
      </c>
      <c r="AK442" s="48" t="n">
        <v>103</v>
      </c>
      <c r="AL442" s="48" t="n">
        <v>103</v>
      </c>
      <c r="AM442" s="48" t="n">
        <v>188</v>
      </c>
      <c r="AN442" s="48" t="n">
        <v>103</v>
      </c>
      <c r="AO442" s="48" t="n">
        <v>199</v>
      </c>
      <c r="AP442" s="48" t="n">
        <v>172</v>
      </c>
      <c r="AQ442" s="48" t="n">
        <v>80</v>
      </c>
      <c r="AR442" s="48" t="n">
        <v>152</v>
      </c>
      <c r="AS442" s="48" t="n">
        <v>51</v>
      </c>
      <c r="AT442" s="48" t="n">
        <v>218</v>
      </c>
      <c r="AU442" s="48" t="n">
        <v>125</v>
      </c>
      <c r="AV442" s="48" t="n">
        <v>96</v>
      </c>
      <c r="AW442" s="48" t="n">
        <v>171</v>
      </c>
      <c r="AX442" s="48" t="n">
        <v>145</v>
      </c>
      <c r="AY442" s="48" t="n">
        <v>114</v>
      </c>
      <c r="AZ442" s="48" t="n">
        <v>275</v>
      </c>
      <c r="BA442" s="48" t="n">
        <v>262</v>
      </c>
      <c r="BB442" s="48" t="n">
        <v>101</v>
      </c>
      <c r="BC442" s="48" t="n">
        <v>135</v>
      </c>
      <c r="BD442" s="48" t="n">
        <v>102</v>
      </c>
      <c r="BE442" s="48" t="n">
        <v>447</v>
      </c>
      <c r="BF442" s="48" t="n">
        <v>92</v>
      </c>
      <c r="BG442" s="49" t="n">
        <v>0.85</v>
      </c>
    </row>
    <row r="443" customFormat="false" ht="15" hidden="false" customHeight="false" outlineLevel="0" collapsed="false">
      <c r="A443" s="43" t="s">
        <v>1122</v>
      </c>
      <c r="B443" s="43" t="s">
        <v>1123</v>
      </c>
      <c r="C443" s="44" t="str">
        <f aca="false">IF(A443="","",IFERROR(INDEX(Assumptions!$B$41:$B$55,MATCH(TRUE(),INDEX(ISNUMBER(SEARCH(" "&amp;Assumptions!$A$41:$A$55&amp;" "," "&amp;SUBSTITUTE(SUBSTITUTE(SUBSTITUTE(SUBSTITUTE(B443,"-"," "),","," "),"/"," "),"."," ")&amp;" ")),0),0)),"Other"))</f>
        <v>Other</v>
      </c>
      <c r="D443" s="45" t="n">
        <f aca="false">IF(A443="","",BG443*(1-Assumptions!$B$18))</f>
        <v>1.17</v>
      </c>
      <c r="E443" s="46" t="n">
        <f aca="false">IF(A443="","",INDEX(Assumptions!$B$23:$B$26,MOD(VALUE(LEFT(A443,5)),4)+1))</f>
        <v>6</v>
      </c>
      <c r="F443" s="47" t="n">
        <v>109</v>
      </c>
      <c r="G443" s="48" t="n">
        <v>111</v>
      </c>
      <c r="H443" s="48" t="n">
        <v>111</v>
      </c>
      <c r="I443" s="48" t="n">
        <v>1</v>
      </c>
      <c r="J443" s="48" t="n">
        <v>0</v>
      </c>
      <c r="K443" s="48" t="n">
        <v>2</v>
      </c>
      <c r="L443" s="48" t="n">
        <v>13</v>
      </c>
      <c r="M443" s="48" t="n">
        <v>9</v>
      </c>
      <c r="N443" s="48" t="n">
        <v>19</v>
      </c>
      <c r="O443" s="48" t="n">
        <v>58</v>
      </c>
      <c r="P443" s="48" t="n">
        <v>24</v>
      </c>
      <c r="Q443" s="48" t="n">
        <v>20</v>
      </c>
      <c r="R443" s="48" t="n">
        <v>108</v>
      </c>
      <c r="S443" s="48" t="n">
        <v>38</v>
      </c>
      <c r="T443" s="48" t="n">
        <v>27</v>
      </c>
      <c r="U443" s="48" t="n">
        <v>77</v>
      </c>
      <c r="V443" s="48" t="n">
        <v>38</v>
      </c>
      <c r="W443" s="48" t="n">
        <v>66</v>
      </c>
      <c r="X443" s="48" t="n">
        <v>25</v>
      </c>
      <c r="Y443" s="48" t="n">
        <v>48</v>
      </c>
      <c r="Z443" s="48" t="n">
        <v>12</v>
      </c>
      <c r="AA443" s="48" t="n">
        <v>0</v>
      </c>
      <c r="AB443" s="48" t="n">
        <v>32</v>
      </c>
      <c r="AC443" s="48" t="n">
        <v>77</v>
      </c>
      <c r="AD443" s="48" t="n">
        <v>50</v>
      </c>
      <c r="AE443" s="48" t="n">
        <v>20</v>
      </c>
      <c r="AF443" s="48" t="n">
        <v>19</v>
      </c>
      <c r="AG443" s="48" t="n">
        <v>49</v>
      </c>
      <c r="AH443" s="48" t="n">
        <v>134</v>
      </c>
      <c r="AI443" s="48" t="n">
        <v>15</v>
      </c>
      <c r="AJ443" s="48" t="n">
        <v>129</v>
      </c>
      <c r="AK443" s="48" t="n">
        <v>33</v>
      </c>
      <c r="AL443" s="48" t="n">
        <v>15</v>
      </c>
      <c r="AM443" s="48" t="n">
        <v>24</v>
      </c>
      <c r="AN443" s="48" t="n">
        <v>55</v>
      </c>
      <c r="AO443" s="48" t="n">
        <v>81</v>
      </c>
      <c r="AP443" s="48" t="n">
        <v>39</v>
      </c>
      <c r="AQ443" s="48" t="n">
        <v>100</v>
      </c>
      <c r="AR443" s="48" t="n">
        <v>70</v>
      </c>
      <c r="AS443" s="48" t="n">
        <v>23</v>
      </c>
      <c r="AT443" s="48" t="n">
        <v>22</v>
      </c>
      <c r="AU443" s="48" t="n">
        <v>83</v>
      </c>
      <c r="AV443" s="48" t="n">
        <v>87</v>
      </c>
      <c r="AW443" s="48" t="n">
        <v>84</v>
      </c>
      <c r="AX443" s="48" t="n">
        <v>68</v>
      </c>
      <c r="AY443" s="48" t="n">
        <v>151</v>
      </c>
      <c r="AZ443" s="48" t="n">
        <v>38</v>
      </c>
      <c r="BA443" s="48" t="n">
        <v>32</v>
      </c>
      <c r="BB443" s="48" t="n">
        <v>60</v>
      </c>
      <c r="BC443" s="48" t="n">
        <v>96</v>
      </c>
      <c r="BD443" s="48" t="n">
        <v>131</v>
      </c>
      <c r="BE443" s="48" t="n">
        <v>91</v>
      </c>
      <c r="BF443" s="48" t="n">
        <v>130</v>
      </c>
      <c r="BG443" s="49" t="n">
        <v>1.95</v>
      </c>
    </row>
    <row r="444" customFormat="false" ht="15" hidden="false" customHeight="false" outlineLevel="0" collapsed="false">
      <c r="A444" s="43" t="s">
        <v>1124</v>
      </c>
      <c r="B444" s="43" t="s">
        <v>1125</v>
      </c>
      <c r="C444" s="44" t="str">
        <f aca="false">IF(A444="","",IFERROR(INDEX(Assumptions!$B$41:$B$55,MATCH(TRUE(),INDEX(ISNUMBER(SEARCH(" "&amp;Assumptions!$A$41:$A$55&amp;" "," "&amp;SUBSTITUTE(SUBSTITUTE(SUBSTITUTE(SUBSTITUTE(B444,"-"," "),","," "),"/"," "),"."," ")&amp;" ")),0),0)),"Other"))</f>
        <v>Other</v>
      </c>
      <c r="D444" s="45" t="n">
        <f aca="false">IF(A444="","",BG444*(1-Assumptions!$B$18))</f>
        <v>1.014</v>
      </c>
      <c r="E444" s="46" t="n">
        <f aca="false">IF(A444="","",INDEX(Assumptions!$B$23:$B$26,MOD(VALUE(LEFT(A444,5)),4)+1))</f>
        <v>6</v>
      </c>
      <c r="F444" s="47" t="n">
        <v>125</v>
      </c>
      <c r="G444" s="48" t="n">
        <v>41</v>
      </c>
      <c r="H444" s="48" t="n">
        <v>28</v>
      </c>
      <c r="I444" s="48" t="n">
        <v>3</v>
      </c>
      <c r="J444" s="48" t="n">
        <v>0</v>
      </c>
      <c r="K444" s="48" t="n">
        <v>229</v>
      </c>
      <c r="L444" s="48" t="n">
        <v>56</v>
      </c>
      <c r="M444" s="48" t="n">
        <v>99</v>
      </c>
      <c r="N444" s="48" t="n">
        <v>39</v>
      </c>
      <c r="O444" s="48" t="n">
        <v>23</v>
      </c>
      <c r="P444" s="48" t="n">
        <v>51</v>
      </c>
      <c r="Q444" s="48" t="n">
        <v>130</v>
      </c>
      <c r="R444" s="48" t="n">
        <v>33</v>
      </c>
      <c r="S444" s="48" t="n">
        <v>266</v>
      </c>
      <c r="T444" s="48" t="n">
        <v>104</v>
      </c>
      <c r="U444" s="48" t="n">
        <v>86</v>
      </c>
      <c r="V444" s="48" t="n">
        <v>57</v>
      </c>
      <c r="W444" s="48" t="n">
        <v>39</v>
      </c>
      <c r="X444" s="48" t="n">
        <v>109</v>
      </c>
      <c r="Y444" s="48" t="n">
        <v>36</v>
      </c>
      <c r="Z444" s="48" t="n">
        <v>75</v>
      </c>
      <c r="AA444" s="48" t="n">
        <v>33</v>
      </c>
      <c r="AB444" s="48" t="n">
        <v>53</v>
      </c>
      <c r="AC444" s="48" t="n">
        <v>108</v>
      </c>
      <c r="AD444" s="48" t="n">
        <v>41</v>
      </c>
      <c r="AE444" s="48" t="n">
        <v>32</v>
      </c>
      <c r="AF444" s="48" t="n">
        <v>107</v>
      </c>
      <c r="AG444" s="48" t="n">
        <v>81</v>
      </c>
      <c r="AH444" s="48" t="n">
        <v>47</v>
      </c>
      <c r="AI444" s="48" t="n">
        <v>35</v>
      </c>
      <c r="AJ444" s="48" t="n">
        <v>17</v>
      </c>
      <c r="AK444" s="48" t="n">
        <v>64</v>
      </c>
      <c r="AL444" s="48" t="n">
        <v>54</v>
      </c>
      <c r="AM444" s="48" t="n">
        <v>141</v>
      </c>
      <c r="AN444" s="48" t="n">
        <v>14</v>
      </c>
      <c r="AO444" s="48" t="n">
        <v>80</v>
      </c>
      <c r="AP444" s="48" t="n">
        <v>120</v>
      </c>
      <c r="AQ444" s="48" t="n">
        <v>39</v>
      </c>
      <c r="AR444" s="48" t="n">
        <v>6</v>
      </c>
      <c r="AS444" s="48" t="n">
        <v>27</v>
      </c>
      <c r="AT444" s="48" t="n">
        <v>28</v>
      </c>
      <c r="AU444" s="48" t="n">
        <v>10</v>
      </c>
      <c r="AV444" s="48" t="n">
        <v>48</v>
      </c>
      <c r="AW444" s="48" t="n">
        <v>34</v>
      </c>
      <c r="AX444" s="48" t="n">
        <v>125</v>
      </c>
      <c r="AY444" s="48" t="n">
        <v>50</v>
      </c>
      <c r="AZ444" s="48" t="n">
        <v>130</v>
      </c>
      <c r="BA444" s="48" t="n">
        <v>12</v>
      </c>
      <c r="BB444" s="48" t="n">
        <v>4</v>
      </c>
      <c r="BC444" s="48" t="n">
        <v>29</v>
      </c>
      <c r="BD444" s="48" t="n">
        <v>17</v>
      </c>
      <c r="BE444" s="48" t="n">
        <v>139</v>
      </c>
      <c r="BF444" s="48" t="n">
        <v>20</v>
      </c>
      <c r="BG444" s="49" t="n">
        <v>1.69</v>
      </c>
    </row>
    <row r="445" customFormat="false" ht="15" hidden="false" customHeight="false" outlineLevel="0" collapsed="false">
      <c r="A445" s="43" t="s">
        <v>1126</v>
      </c>
      <c r="B445" s="43" t="s">
        <v>1127</v>
      </c>
      <c r="C445" s="44" t="str">
        <f aca="false">IF(A445="","",IFERROR(INDEX(Assumptions!$B$41:$B$55,MATCH(TRUE(),INDEX(ISNUMBER(SEARCH(" "&amp;Assumptions!$A$41:$A$55&amp;" "," "&amp;SUBSTITUTE(SUBSTITUTE(SUBSTITUTE(SUBSTITUTE(B445,"-"," "),","," "),"/"," "),"."," ")&amp;" ")),0),0)),"Other"))</f>
        <v>Other</v>
      </c>
      <c r="D445" s="45" t="n">
        <f aca="false">IF(A445="","",BG445*(1-Assumptions!$B$18))</f>
        <v>1.53</v>
      </c>
      <c r="E445" s="46" t="n">
        <f aca="false">IF(A445="","",INDEX(Assumptions!$B$23:$B$26,MOD(VALUE(LEFT(A445,5)),4)+1))</f>
        <v>6</v>
      </c>
      <c r="F445" s="47" t="n">
        <v>82</v>
      </c>
      <c r="G445" s="48" t="n">
        <v>30</v>
      </c>
      <c r="H445" s="48" t="n">
        <v>74</v>
      </c>
      <c r="I445" s="48" t="n">
        <v>131</v>
      </c>
      <c r="J445" s="48" t="n">
        <v>0</v>
      </c>
      <c r="K445" s="48" t="n">
        <v>15</v>
      </c>
      <c r="L445" s="48" t="n">
        <v>7</v>
      </c>
      <c r="M445" s="48" t="n">
        <v>12</v>
      </c>
      <c r="N445" s="48" t="n">
        <v>79</v>
      </c>
      <c r="O445" s="48" t="n">
        <v>18</v>
      </c>
      <c r="P445" s="48" t="n">
        <v>20</v>
      </c>
      <c r="Q445" s="48" t="n">
        <v>79</v>
      </c>
      <c r="R445" s="48" t="n">
        <v>29</v>
      </c>
      <c r="S445" s="48" t="n">
        <v>15</v>
      </c>
      <c r="T445" s="48" t="n">
        <v>17</v>
      </c>
      <c r="U445" s="48" t="n">
        <v>135</v>
      </c>
      <c r="V445" s="48" t="n">
        <v>22</v>
      </c>
      <c r="W445" s="48" t="n">
        <v>13</v>
      </c>
      <c r="X445" s="48" t="n">
        <v>16</v>
      </c>
      <c r="Y445" s="48" t="n">
        <v>58</v>
      </c>
      <c r="Z445" s="48" t="n">
        <v>5</v>
      </c>
      <c r="AA445" s="48" t="n">
        <v>21</v>
      </c>
      <c r="AB445" s="48" t="n">
        <v>35</v>
      </c>
      <c r="AC445" s="48" t="n">
        <v>80</v>
      </c>
      <c r="AD445" s="48" t="n">
        <v>30</v>
      </c>
      <c r="AE445" s="48" t="n">
        <v>58</v>
      </c>
      <c r="AF445" s="48" t="n">
        <v>35</v>
      </c>
      <c r="AG445" s="48" t="n">
        <v>30</v>
      </c>
      <c r="AH445" s="48" t="n">
        <v>16</v>
      </c>
      <c r="AI445" s="48" t="n">
        <v>45</v>
      </c>
      <c r="AJ445" s="48" t="n">
        <v>87</v>
      </c>
      <c r="AK445" s="48" t="n">
        <v>29</v>
      </c>
      <c r="AL445" s="48" t="n">
        <v>10</v>
      </c>
      <c r="AM445" s="48" t="n">
        <v>47</v>
      </c>
      <c r="AN445" s="48" t="n">
        <v>25</v>
      </c>
      <c r="AO445" s="48" t="n">
        <v>118</v>
      </c>
      <c r="AP445" s="48" t="n">
        <v>15</v>
      </c>
      <c r="AQ445" s="48" t="n">
        <v>14</v>
      </c>
      <c r="AR445" s="48" t="n">
        <v>19</v>
      </c>
      <c r="AS445" s="48" t="n">
        <v>33</v>
      </c>
      <c r="AT445" s="48" t="n">
        <v>25</v>
      </c>
      <c r="AU445" s="48" t="n">
        <v>5</v>
      </c>
      <c r="AV445" s="48" t="n">
        <v>85</v>
      </c>
      <c r="AW445" s="48" t="n">
        <v>45</v>
      </c>
      <c r="AX445" s="48" t="n">
        <v>56</v>
      </c>
      <c r="AY445" s="48" t="n">
        <v>53</v>
      </c>
      <c r="AZ445" s="48" t="n">
        <v>75</v>
      </c>
      <c r="BA445" s="48" t="n">
        <v>28</v>
      </c>
      <c r="BB445" s="48" t="n">
        <v>85</v>
      </c>
      <c r="BC445" s="48" t="n">
        <v>25</v>
      </c>
      <c r="BD445" s="48" t="n">
        <v>59</v>
      </c>
      <c r="BE445" s="48" t="n">
        <v>35</v>
      </c>
      <c r="BF445" s="48" t="n">
        <v>24</v>
      </c>
      <c r="BG445" s="49" t="n">
        <v>2.55</v>
      </c>
    </row>
    <row r="446" customFormat="false" ht="15" hidden="false" customHeight="false" outlineLevel="0" collapsed="false">
      <c r="A446" s="43" t="s">
        <v>1128</v>
      </c>
      <c r="B446" s="43" t="s">
        <v>1129</v>
      </c>
      <c r="C446" s="44" t="str">
        <f aca="false">IF(A446="","",IFERROR(INDEX(Assumptions!$B$41:$B$55,MATCH(TRUE(),INDEX(ISNUMBER(SEARCH(" "&amp;Assumptions!$A$41:$A$55&amp;" "," "&amp;SUBSTITUTE(SUBSTITUTE(SUBSTITUTE(SUBSTITUTE(B446,"-"," "),","," "),"/"," "),"."," ")&amp;" ")),0),0)),"Other"))</f>
        <v>Other</v>
      </c>
      <c r="D446" s="45" t="n">
        <f aca="false">IF(A446="","",BG446*(1-Assumptions!$B$18))</f>
        <v>0.51</v>
      </c>
      <c r="E446" s="46" t="n">
        <f aca="false">IF(A446="","",INDEX(Assumptions!$B$23:$B$26,MOD(VALUE(LEFT(A446,5)),4)+1))</f>
        <v>8</v>
      </c>
      <c r="F446" s="47" t="n">
        <v>1248</v>
      </c>
      <c r="G446" s="48" t="n">
        <v>220</v>
      </c>
      <c r="H446" s="48" t="n">
        <v>108</v>
      </c>
      <c r="I446" s="48" t="n">
        <v>10</v>
      </c>
      <c r="J446" s="48" t="n">
        <v>0</v>
      </c>
      <c r="K446" s="48" t="n">
        <v>16</v>
      </c>
      <c r="L446" s="48" t="n">
        <v>10</v>
      </c>
      <c r="M446" s="48" t="n">
        <v>1</v>
      </c>
      <c r="N446" s="48" t="n">
        <v>3</v>
      </c>
      <c r="O446" s="48" t="n">
        <v>63</v>
      </c>
      <c r="P446" s="48" t="n">
        <v>100</v>
      </c>
      <c r="Q446" s="48" t="n">
        <v>101</v>
      </c>
      <c r="R446" s="48" t="n">
        <v>62</v>
      </c>
      <c r="S446" s="48" t="n">
        <v>82</v>
      </c>
      <c r="T446" s="48" t="n">
        <v>81</v>
      </c>
      <c r="U446" s="48" t="n">
        <v>86</v>
      </c>
      <c r="V446" s="48" t="n">
        <v>66</v>
      </c>
      <c r="W446" s="48" t="n">
        <v>141</v>
      </c>
      <c r="X446" s="48" t="n">
        <v>44</v>
      </c>
      <c r="Y446" s="48" t="n">
        <v>36</v>
      </c>
      <c r="Z446" s="48" t="n">
        <v>61</v>
      </c>
      <c r="AA446" s="48" t="n">
        <v>12</v>
      </c>
      <c r="AB446" s="48" t="n">
        <v>77</v>
      </c>
      <c r="AC446" s="48" t="n">
        <v>61</v>
      </c>
      <c r="AD446" s="48" t="n">
        <v>38</v>
      </c>
      <c r="AE446" s="48" t="n">
        <v>28</v>
      </c>
      <c r="AF446" s="48" t="n">
        <v>26</v>
      </c>
      <c r="AG446" s="48" t="n">
        <v>99</v>
      </c>
      <c r="AH446" s="48" t="n">
        <v>25</v>
      </c>
      <c r="AI446" s="48" t="n">
        <v>13</v>
      </c>
      <c r="AJ446" s="48" t="n">
        <v>37</v>
      </c>
      <c r="AK446" s="48" t="n">
        <v>65</v>
      </c>
      <c r="AL446" s="48" t="n">
        <v>50</v>
      </c>
      <c r="AM446" s="48" t="n">
        <v>44</v>
      </c>
      <c r="AN446" s="48" t="n">
        <v>39</v>
      </c>
      <c r="AO446" s="48" t="n">
        <v>13</v>
      </c>
      <c r="AP446" s="48" t="n">
        <v>53</v>
      </c>
      <c r="AQ446" s="48" t="n">
        <v>60</v>
      </c>
      <c r="AR446" s="48" t="n">
        <v>62</v>
      </c>
      <c r="AS446" s="48" t="n">
        <v>79</v>
      </c>
      <c r="AT446" s="48" t="n">
        <v>127</v>
      </c>
      <c r="AU446" s="48" t="n">
        <v>97</v>
      </c>
      <c r="AV446" s="48" t="n">
        <v>159</v>
      </c>
      <c r="AW446" s="48" t="n">
        <v>259</v>
      </c>
      <c r="AX446" s="48" t="n">
        <v>139</v>
      </c>
      <c r="AY446" s="48" t="n">
        <v>80</v>
      </c>
      <c r="AZ446" s="48" t="n">
        <v>2130</v>
      </c>
      <c r="BA446" s="48" t="n">
        <v>293</v>
      </c>
      <c r="BB446" s="48" t="n">
        <v>223</v>
      </c>
      <c r="BC446" s="48" t="n">
        <v>267</v>
      </c>
      <c r="BD446" s="48" t="n">
        <v>232</v>
      </c>
      <c r="BE446" s="48" t="n">
        <v>176</v>
      </c>
      <c r="BF446" s="48" t="n">
        <v>135</v>
      </c>
      <c r="BG446" s="49" t="n">
        <v>0.85</v>
      </c>
    </row>
    <row r="447" customFormat="false" ht="15" hidden="false" customHeight="false" outlineLevel="0" collapsed="false">
      <c r="A447" s="43" t="s">
        <v>1130</v>
      </c>
      <c r="B447" s="43" t="s">
        <v>1131</v>
      </c>
      <c r="C447" s="44" t="str">
        <f aca="false">IF(A447="","",IFERROR(INDEX(Assumptions!$B$41:$B$55,MATCH(TRUE(),INDEX(ISNUMBER(SEARCH(" "&amp;Assumptions!$A$41:$A$55&amp;" "," "&amp;SUBSTITUTE(SUBSTITUTE(SUBSTITUTE(SUBSTITUTE(B447,"-"," "),","," "),"/"," "),"."," ")&amp;" ")),0),0)),"Other"))</f>
        <v>Other</v>
      </c>
      <c r="D447" s="45" t="n">
        <f aca="false">IF(A447="","",BG447*(1-Assumptions!$B$18))</f>
        <v>0.99</v>
      </c>
      <c r="E447" s="46" t="n">
        <f aca="false">IF(A447="","",INDEX(Assumptions!$B$23:$B$26,MOD(VALUE(LEFT(A447,5)),4)+1))</f>
        <v>2</v>
      </c>
      <c r="F447" s="47" t="n">
        <v>242</v>
      </c>
      <c r="G447" s="48" t="n">
        <v>33</v>
      </c>
      <c r="H447" s="48" t="n">
        <v>19</v>
      </c>
      <c r="I447" s="48" t="n">
        <v>17</v>
      </c>
      <c r="J447" s="48" t="n">
        <v>0</v>
      </c>
      <c r="K447" s="48" t="n">
        <v>66</v>
      </c>
      <c r="L447" s="48" t="n">
        <v>26</v>
      </c>
      <c r="M447" s="48" t="n">
        <v>39</v>
      </c>
      <c r="N447" s="48" t="n">
        <v>51</v>
      </c>
      <c r="O447" s="48" t="n">
        <v>10</v>
      </c>
      <c r="P447" s="48" t="n">
        <v>54</v>
      </c>
      <c r="Q447" s="48" t="n">
        <v>33</v>
      </c>
      <c r="R447" s="48" t="n">
        <v>197</v>
      </c>
      <c r="S447" s="48" t="n">
        <v>31</v>
      </c>
      <c r="T447" s="48" t="n">
        <v>128</v>
      </c>
      <c r="U447" s="48" t="n">
        <v>22</v>
      </c>
      <c r="V447" s="48" t="n">
        <v>104</v>
      </c>
      <c r="W447" s="48" t="n">
        <v>44</v>
      </c>
      <c r="X447" s="48" t="n">
        <v>73</v>
      </c>
      <c r="Y447" s="48" t="n">
        <v>102</v>
      </c>
      <c r="Z447" s="48" t="n">
        <v>44</v>
      </c>
      <c r="AA447" s="48" t="n">
        <v>60</v>
      </c>
      <c r="AB447" s="48" t="n">
        <v>39</v>
      </c>
      <c r="AC447" s="48" t="n">
        <v>60</v>
      </c>
      <c r="AD447" s="48" t="n">
        <v>208</v>
      </c>
      <c r="AE447" s="48" t="n">
        <v>29</v>
      </c>
      <c r="AF447" s="48" t="n">
        <v>57</v>
      </c>
      <c r="AG447" s="48" t="n">
        <v>61</v>
      </c>
      <c r="AH447" s="48" t="n">
        <v>16</v>
      </c>
      <c r="AI447" s="48" t="n">
        <v>62</v>
      </c>
      <c r="AJ447" s="48" t="n">
        <v>13</v>
      </c>
      <c r="AK447" s="48" t="n">
        <v>49</v>
      </c>
      <c r="AL447" s="48" t="n">
        <v>33</v>
      </c>
      <c r="AM447" s="48" t="n">
        <v>31</v>
      </c>
      <c r="AN447" s="48" t="n">
        <v>118</v>
      </c>
      <c r="AO447" s="48" t="n">
        <v>36</v>
      </c>
      <c r="AP447" s="48" t="n">
        <v>87</v>
      </c>
      <c r="AQ447" s="48" t="n">
        <v>57</v>
      </c>
      <c r="AR447" s="48" t="n">
        <v>121</v>
      </c>
      <c r="AS447" s="48" t="n">
        <v>58</v>
      </c>
      <c r="AT447" s="48" t="n">
        <v>50</v>
      </c>
      <c r="AU447" s="48" t="n">
        <v>47</v>
      </c>
      <c r="AV447" s="48" t="n">
        <v>28</v>
      </c>
      <c r="AW447" s="48" t="n">
        <v>70</v>
      </c>
      <c r="AX447" s="48" t="n">
        <v>43</v>
      </c>
      <c r="AY447" s="48" t="n">
        <v>70</v>
      </c>
      <c r="AZ447" s="48" t="n">
        <v>97</v>
      </c>
      <c r="BA447" s="48" t="n">
        <v>98</v>
      </c>
      <c r="BB447" s="48" t="n">
        <v>41</v>
      </c>
      <c r="BC447" s="48" t="n">
        <v>67</v>
      </c>
      <c r="BD447" s="48" t="n">
        <v>91</v>
      </c>
      <c r="BE447" s="48" t="n">
        <v>154</v>
      </c>
      <c r="BF447" s="48" t="n">
        <v>3</v>
      </c>
      <c r="BG447" s="49" t="n">
        <v>1.65</v>
      </c>
    </row>
    <row r="448" customFormat="false" ht="15" hidden="false" customHeight="false" outlineLevel="0" collapsed="false">
      <c r="A448" s="43" t="s">
        <v>1132</v>
      </c>
      <c r="B448" s="43" t="s">
        <v>1133</v>
      </c>
      <c r="C448" s="44" t="str">
        <f aca="false">IF(A448="","",IFERROR(INDEX(Assumptions!$B$41:$B$55,MATCH(TRUE(),INDEX(ISNUMBER(SEARCH(" "&amp;Assumptions!$A$41:$A$55&amp;" "," "&amp;SUBSTITUTE(SUBSTITUTE(SUBSTITUTE(SUBSTITUTE(B448,"-"," "),","," "),"/"," "),"."," ")&amp;" ")),0),0)),"Other"))</f>
        <v>Other</v>
      </c>
      <c r="D448" s="45" t="n">
        <f aca="false">IF(A448="","",BG448*(1-Assumptions!$B$18))</f>
        <v>2.55</v>
      </c>
      <c r="E448" s="46" t="n">
        <f aca="false">IF(A448="","",INDEX(Assumptions!$B$23:$B$26,MOD(VALUE(LEFT(A448,5)),4)+1))</f>
        <v>4</v>
      </c>
      <c r="F448" s="47" t="n">
        <v>289</v>
      </c>
      <c r="G448" s="48" t="n">
        <v>32</v>
      </c>
      <c r="H448" s="48" t="n">
        <v>8</v>
      </c>
      <c r="I448" s="48" t="n">
        <v>0</v>
      </c>
      <c r="J448" s="48" t="n">
        <v>0</v>
      </c>
      <c r="K448" s="48" t="n">
        <v>26</v>
      </c>
      <c r="L448" s="48" t="n">
        <v>182</v>
      </c>
      <c r="M448" s="48" t="n">
        <v>7</v>
      </c>
      <c r="N448" s="48" t="n">
        <v>12</v>
      </c>
      <c r="O448" s="48" t="n">
        <v>8</v>
      </c>
      <c r="P448" s="48" t="n">
        <v>5</v>
      </c>
      <c r="Q448" s="48" t="n">
        <v>18</v>
      </c>
      <c r="R448" s="48" t="n">
        <v>46</v>
      </c>
      <c r="S448" s="48" t="n">
        <v>32</v>
      </c>
      <c r="T448" s="48" t="n">
        <v>12</v>
      </c>
      <c r="U448" s="48" t="n">
        <v>31</v>
      </c>
      <c r="V448" s="48" t="n">
        <v>21</v>
      </c>
      <c r="W448" s="48" t="n">
        <v>23</v>
      </c>
      <c r="X448" s="48" t="n">
        <v>29</v>
      </c>
      <c r="Y448" s="48" t="n">
        <v>30</v>
      </c>
      <c r="Z448" s="48" t="n">
        <v>19</v>
      </c>
      <c r="AA448" s="48" t="n">
        <v>18</v>
      </c>
      <c r="AB448" s="48" t="n">
        <v>30</v>
      </c>
      <c r="AC448" s="48" t="n">
        <v>27</v>
      </c>
      <c r="AD448" s="48" t="n">
        <v>25</v>
      </c>
      <c r="AE448" s="48" t="n">
        <v>43</v>
      </c>
      <c r="AF448" s="48" t="n">
        <v>10</v>
      </c>
      <c r="AG448" s="48" t="n">
        <v>17</v>
      </c>
      <c r="AH448" s="48" t="n">
        <v>15</v>
      </c>
      <c r="AI448" s="48" t="n">
        <v>19</v>
      </c>
      <c r="AJ448" s="48" t="n">
        <v>31</v>
      </c>
      <c r="AK448" s="48" t="n">
        <v>12</v>
      </c>
      <c r="AL448" s="48" t="n">
        <v>16</v>
      </c>
      <c r="AM448" s="48" t="n">
        <v>35</v>
      </c>
      <c r="AN448" s="48" t="n">
        <v>7</v>
      </c>
      <c r="AO448" s="48" t="n">
        <v>20</v>
      </c>
      <c r="AP448" s="48" t="n">
        <v>20</v>
      </c>
      <c r="AQ448" s="48" t="n">
        <v>21</v>
      </c>
      <c r="AR448" s="48" t="n">
        <v>17</v>
      </c>
      <c r="AS448" s="48" t="n">
        <v>15</v>
      </c>
      <c r="AT448" s="48" t="n">
        <v>22</v>
      </c>
      <c r="AU448" s="48" t="n">
        <v>22</v>
      </c>
      <c r="AV448" s="48" t="n">
        <v>16</v>
      </c>
      <c r="AW448" s="48" t="n">
        <v>17</v>
      </c>
      <c r="AX448" s="48" t="n">
        <v>74</v>
      </c>
      <c r="AY448" s="48" t="n">
        <v>39</v>
      </c>
      <c r="AZ448" s="48" t="n">
        <v>18</v>
      </c>
      <c r="BA448" s="48" t="n">
        <v>14</v>
      </c>
      <c r="BB448" s="48" t="n">
        <v>7</v>
      </c>
      <c r="BC448" s="48" t="n">
        <v>15</v>
      </c>
      <c r="BD448" s="48" t="n">
        <v>31</v>
      </c>
      <c r="BE448" s="48" t="n">
        <v>12</v>
      </c>
      <c r="BF448" s="48" t="n">
        <v>26</v>
      </c>
      <c r="BG448" s="49" t="n">
        <v>4.25</v>
      </c>
    </row>
    <row r="449" customFormat="false" ht="15" hidden="false" customHeight="false" outlineLevel="0" collapsed="false">
      <c r="A449" s="43" t="s">
        <v>1134</v>
      </c>
      <c r="B449" s="43" t="s">
        <v>1135</v>
      </c>
      <c r="C449" s="44" t="str">
        <f aca="false">IF(A449="","",IFERROR(INDEX(Assumptions!$B$41:$B$55,MATCH(TRUE(),INDEX(ISNUMBER(SEARCH(" "&amp;Assumptions!$A$41:$A$55&amp;" "," "&amp;SUBSTITUTE(SUBSTITUTE(SUBSTITUTE(SUBSTITUTE(B449,"-"," "),","," "),"/"," "),"."," ")&amp;" ")),0),0)),"Other"))</f>
        <v>Other</v>
      </c>
      <c r="D449" s="45" t="n">
        <f aca="false">IF(A449="","",BG449*(1-Assumptions!$B$18))</f>
        <v>1.77</v>
      </c>
      <c r="E449" s="46" t="n">
        <f aca="false">IF(A449="","",INDEX(Assumptions!$B$23:$B$26,MOD(VALUE(LEFT(A449,5)),4)+1))</f>
        <v>2</v>
      </c>
      <c r="F449" s="47" t="n">
        <v>140</v>
      </c>
      <c r="G449" s="48" t="n">
        <v>71</v>
      </c>
      <c r="H449" s="48" t="n">
        <v>37</v>
      </c>
      <c r="I449" s="48" t="n">
        <v>4</v>
      </c>
      <c r="J449" s="48" t="n">
        <v>0</v>
      </c>
      <c r="K449" s="48" t="n">
        <v>33</v>
      </c>
      <c r="L449" s="48" t="n">
        <v>33</v>
      </c>
      <c r="M449" s="48" t="n">
        <v>79</v>
      </c>
      <c r="N449" s="48" t="n">
        <v>108</v>
      </c>
      <c r="O449" s="48" t="n">
        <v>13</v>
      </c>
      <c r="P449" s="48" t="n">
        <v>11</v>
      </c>
      <c r="Q449" s="48" t="n">
        <v>28</v>
      </c>
      <c r="R449" s="48" t="n">
        <v>21</v>
      </c>
      <c r="S449" s="48" t="n">
        <v>22</v>
      </c>
      <c r="T449" s="48" t="n">
        <v>14</v>
      </c>
      <c r="U449" s="48" t="n">
        <v>6</v>
      </c>
      <c r="V449" s="48" t="n">
        <v>17</v>
      </c>
      <c r="W449" s="48" t="n">
        <v>9</v>
      </c>
      <c r="X449" s="48" t="n">
        <v>25</v>
      </c>
      <c r="Y449" s="48" t="n">
        <v>49</v>
      </c>
      <c r="Z449" s="48" t="n">
        <v>20</v>
      </c>
      <c r="AA449" s="48" t="n">
        <v>17</v>
      </c>
      <c r="AB449" s="48" t="n">
        <v>32</v>
      </c>
      <c r="AC449" s="48" t="n">
        <v>25</v>
      </c>
      <c r="AD449" s="48" t="n">
        <v>32</v>
      </c>
      <c r="AE449" s="48" t="n">
        <v>19</v>
      </c>
      <c r="AF449" s="48" t="n">
        <v>1</v>
      </c>
      <c r="AG449" s="48" t="n">
        <v>21</v>
      </c>
      <c r="AH449" s="48" t="n">
        <v>45</v>
      </c>
      <c r="AI449" s="48" t="n">
        <v>36</v>
      </c>
      <c r="AJ449" s="48" t="n">
        <v>36</v>
      </c>
      <c r="AK449" s="48" t="n">
        <v>7</v>
      </c>
      <c r="AL449" s="48" t="n">
        <v>13</v>
      </c>
      <c r="AM449" s="48" t="n">
        <v>69</v>
      </c>
      <c r="AN449" s="48" t="n">
        <v>98</v>
      </c>
      <c r="AO449" s="48" t="n">
        <v>0</v>
      </c>
      <c r="AP449" s="48" t="n">
        <v>104</v>
      </c>
      <c r="AQ449" s="48" t="n">
        <v>25</v>
      </c>
      <c r="AR449" s="48" t="n">
        <v>91</v>
      </c>
      <c r="AS449" s="48" t="n">
        <v>10</v>
      </c>
      <c r="AT449" s="48" t="n">
        <v>12</v>
      </c>
      <c r="AU449" s="48" t="n">
        <v>29</v>
      </c>
      <c r="AV449" s="48" t="n">
        <v>24</v>
      </c>
      <c r="AW449" s="48" t="n">
        <v>25</v>
      </c>
      <c r="AX449" s="48" t="n">
        <v>47</v>
      </c>
      <c r="AY449" s="48" t="n">
        <v>56</v>
      </c>
      <c r="AZ449" s="48" t="n">
        <v>107</v>
      </c>
      <c r="BA449" s="48" t="n">
        <v>93</v>
      </c>
      <c r="BB449" s="48" t="n">
        <v>92</v>
      </c>
      <c r="BC449" s="48" t="n">
        <v>46</v>
      </c>
      <c r="BD449" s="48" t="n">
        <v>14</v>
      </c>
      <c r="BE449" s="48" t="n">
        <v>0</v>
      </c>
      <c r="BF449" s="48" t="n">
        <v>0</v>
      </c>
      <c r="BG449" s="49" t="n">
        <v>2.95</v>
      </c>
    </row>
    <row r="450" customFormat="false" ht="15" hidden="false" customHeight="false" outlineLevel="0" collapsed="false">
      <c r="A450" s="43" t="s">
        <v>1136</v>
      </c>
      <c r="B450" s="43" t="s">
        <v>1137</v>
      </c>
      <c r="C450" s="44" t="str">
        <f aca="false">IF(A450="","",IFERROR(INDEX(Assumptions!$B$41:$B$55,MATCH(TRUE(),INDEX(ISNUMBER(SEARCH(" "&amp;Assumptions!$A$41:$A$55&amp;" "," "&amp;SUBSTITUTE(SUBSTITUTE(SUBSTITUTE(SUBSTITUTE(B450,"-"," "),","," "),"/"," "),"."," ")&amp;" ")),0),0)),"Other"))</f>
        <v>Other</v>
      </c>
      <c r="D450" s="45" t="n">
        <f aca="false">IF(A450="","",BG450*(1-Assumptions!$B$18))</f>
        <v>4.95</v>
      </c>
      <c r="E450" s="46" t="n">
        <f aca="false">IF(A450="","",INDEX(Assumptions!$B$23:$B$26,MOD(VALUE(LEFT(A450,5)),4)+1))</f>
        <v>4</v>
      </c>
      <c r="F450" s="47" t="n">
        <v>711</v>
      </c>
      <c r="G450" s="48" t="n">
        <v>0</v>
      </c>
      <c r="H450" s="48" t="n">
        <v>0</v>
      </c>
      <c r="I450" s="48" t="n">
        <v>0</v>
      </c>
      <c r="J450" s="48" t="n">
        <v>0</v>
      </c>
      <c r="K450" s="48" t="n">
        <v>0</v>
      </c>
      <c r="L450" s="48" t="n">
        <v>0</v>
      </c>
      <c r="M450" s="48" t="n">
        <v>0</v>
      </c>
      <c r="N450" s="48" t="n">
        <v>0</v>
      </c>
      <c r="O450" s="48" t="n">
        <v>0</v>
      </c>
      <c r="P450" s="48" t="n">
        <v>0</v>
      </c>
      <c r="Q450" s="48" t="n">
        <v>0</v>
      </c>
      <c r="R450" s="48" t="n">
        <v>0</v>
      </c>
      <c r="S450" s="48" t="n">
        <v>0</v>
      </c>
      <c r="T450" s="48" t="n">
        <v>0</v>
      </c>
      <c r="U450" s="48" t="n">
        <v>0</v>
      </c>
      <c r="V450" s="48" t="n">
        <v>0</v>
      </c>
      <c r="W450" s="48" t="n">
        <v>0</v>
      </c>
      <c r="X450" s="48" t="n">
        <v>0</v>
      </c>
      <c r="Y450" s="48" t="n">
        <v>0</v>
      </c>
      <c r="Z450" s="48" t="n">
        <v>15</v>
      </c>
      <c r="AA450" s="48" t="n">
        <v>6</v>
      </c>
      <c r="AB450" s="48" t="n">
        <v>8</v>
      </c>
      <c r="AC450" s="48" t="n">
        <v>28</v>
      </c>
      <c r="AD450" s="48" t="n">
        <v>29</v>
      </c>
      <c r="AE450" s="48" t="n">
        <v>6</v>
      </c>
      <c r="AF450" s="48" t="n">
        <v>22</v>
      </c>
      <c r="AG450" s="48" t="n">
        <v>7</v>
      </c>
      <c r="AH450" s="48" t="n">
        <v>5</v>
      </c>
      <c r="AI450" s="48" t="n">
        <v>3</v>
      </c>
      <c r="AJ450" s="48" t="n">
        <v>0</v>
      </c>
      <c r="AK450" s="48" t="n">
        <v>8</v>
      </c>
      <c r="AL450" s="48" t="n">
        <v>6</v>
      </c>
      <c r="AM450" s="48" t="n">
        <v>39</v>
      </c>
      <c r="AN450" s="48" t="n">
        <v>6</v>
      </c>
      <c r="AO450" s="48" t="n">
        <v>18</v>
      </c>
      <c r="AP450" s="48" t="n">
        <v>18</v>
      </c>
      <c r="AQ450" s="48" t="n">
        <v>5</v>
      </c>
      <c r="AR450" s="48" t="n">
        <v>3</v>
      </c>
      <c r="AS450" s="48" t="n">
        <v>3</v>
      </c>
      <c r="AT450" s="48" t="n">
        <v>26</v>
      </c>
      <c r="AU450" s="48" t="n">
        <v>13</v>
      </c>
      <c r="AV450" s="48" t="n">
        <v>13</v>
      </c>
      <c r="AW450" s="48" t="n">
        <v>17</v>
      </c>
      <c r="AX450" s="48" t="n">
        <v>136</v>
      </c>
      <c r="AY450" s="48" t="n">
        <v>17</v>
      </c>
      <c r="AZ450" s="48" t="n">
        <v>127</v>
      </c>
      <c r="BA450" s="48" t="n">
        <v>19</v>
      </c>
      <c r="BB450" s="48" t="n">
        <v>142</v>
      </c>
      <c r="BC450" s="48" t="n">
        <v>6</v>
      </c>
      <c r="BD450" s="48" t="n">
        <v>4</v>
      </c>
      <c r="BE450" s="48" t="n">
        <v>7</v>
      </c>
      <c r="BF450" s="48" t="n">
        <v>8</v>
      </c>
      <c r="BG450" s="49" t="n">
        <v>8.25</v>
      </c>
    </row>
    <row r="451" customFormat="false" ht="15" hidden="false" customHeight="false" outlineLevel="0" collapsed="false">
      <c r="A451" s="43" t="s">
        <v>1138</v>
      </c>
      <c r="B451" s="43" t="s">
        <v>1139</v>
      </c>
      <c r="C451" s="44" t="str">
        <f aca="false">IF(A451="","",IFERROR(INDEX(Assumptions!$B$41:$B$55,MATCH(TRUE(),INDEX(ISNUMBER(SEARCH(" "&amp;Assumptions!$A$41:$A$55&amp;" "," "&amp;SUBSTITUTE(SUBSTITUTE(SUBSTITUTE(SUBSTITUTE(B451,"-"," "),","," "),"/"," "),"."," ")&amp;" ")),0),0)),"Other"))</f>
        <v>Other</v>
      </c>
      <c r="D451" s="45" t="n">
        <f aca="false">IF(A451="","",BG451*(1-Assumptions!$B$18))</f>
        <v>2.97</v>
      </c>
      <c r="E451" s="46" t="n">
        <f aca="false">IF(A451="","",INDEX(Assumptions!$B$23:$B$26,MOD(VALUE(LEFT(A451,5)),4)+1))</f>
        <v>6</v>
      </c>
      <c r="F451" s="47" t="n">
        <v>42</v>
      </c>
      <c r="G451" s="48" t="n">
        <v>0</v>
      </c>
      <c r="H451" s="48" t="n">
        <v>0</v>
      </c>
      <c r="I451" s="48" t="n">
        <v>0</v>
      </c>
      <c r="J451" s="48" t="n">
        <v>0</v>
      </c>
      <c r="K451" s="48" t="n">
        <v>0</v>
      </c>
      <c r="L451" s="48" t="n">
        <v>0</v>
      </c>
      <c r="M451" s="48" t="n">
        <v>0</v>
      </c>
      <c r="N451" s="48" t="n">
        <v>0</v>
      </c>
      <c r="O451" s="48" t="n">
        <v>0</v>
      </c>
      <c r="P451" s="48" t="n">
        <v>0</v>
      </c>
      <c r="Q451" s="48" t="n">
        <v>0</v>
      </c>
      <c r="R451" s="48" t="n">
        <v>0</v>
      </c>
      <c r="S451" s="48" t="n">
        <v>15</v>
      </c>
      <c r="T451" s="48" t="n">
        <v>33</v>
      </c>
      <c r="U451" s="48" t="n">
        <v>29</v>
      </c>
      <c r="V451" s="48" t="n">
        <v>12</v>
      </c>
      <c r="W451" s="48" t="n">
        <v>92</v>
      </c>
      <c r="X451" s="48" t="n">
        <v>19</v>
      </c>
      <c r="Y451" s="48" t="n">
        <v>36</v>
      </c>
      <c r="Z451" s="48" t="n">
        <v>22</v>
      </c>
      <c r="AA451" s="48" t="n">
        <v>8</v>
      </c>
      <c r="AB451" s="48" t="n">
        <v>30</v>
      </c>
      <c r="AC451" s="48" t="n">
        <v>15</v>
      </c>
      <c r="AD451" s="48" t="n">
        <v>26</v>
      </c>
      <c r="AE451" s="48" t="n">
        <v>13</v>
      </c>
      <c r="AF451" s="48" t="n">
        <v>8</v>
      </c>
      <c r="AG451" s="48" t="n">
        <v>24</v>
      </c>
      <c r="AH451" s="48" t="n">
        <v>9</v>
      </c>
      <c r="AI451" s="48" t="n">
        <v>9</v>
      </c>
      <c r="AJ451" s="48" t="n">
        <v>11</v>
      </c>
      <c r="AK451" s="48" t="n">
        <v>12</v>
      </c>
      <c r="AL451" s="48" t="n">
        <v>17</v>
      </c>
      <c r="AM451" s="48" t="n">
        <v>5</v>
      </c>
      <c r="AN451" s="48" t="n">
        <v>4</v>
      </c>
      <c r="AO451" s="48" t="n">
        <v>23</v>
      </c>
      <c r="AP451" s="48" t="n">
        <v>11</v>
      </c>
      <c r="AQ451" s="48" t="n">
        <v>14</v>
      </c>
      <c r="AR451" s="48" t="n">
        <v>10</v>
      </c>
      <c r="AS451" s="48" t="n">
        <v>33</v>
      </c>
      <c r="AT451" s="48" t="n">
        <v>21</v>
      </c>
      <c r="AU451" s="48" t="n">
        <v>14</v>
      </c>
      <c r="AV451" s="48" t="n">
        <v>88</v>
      </c>
      <c r="AW451" s="48" t="n">
        <v>7</v>
      </c>
      <c r="AX451" s="48" t="n">
        <v>37</v>
      </c>
      <c r="AY451" s="48" t="n">
        <v>99</v>
      </c>
      <c r="AZ451" s="48" t="n">
        <v>13</v>
      </c>
      <c r="BA451" s="48" t="n">
        <v>28</v>
      </c>
      <c r="BB451" s="48" t="n">
        <v>30</v>
      </c>
      <c r="BC451" s="48" t="n">
        <v>17</v>
      </c>
      <c r="BD451" s="48" t="n">
        <v>48</v>
      </c>
      <c r="BE451" s="48" t="n">
        <v>103</v>
      </c>
      <c r="BF451" s="48" t="n">
        <v>37</v>
      </c>
      <c r="BG451" s="49" t="n">
        <v>4.95</v>
      </c>
    </row>
    <row r="452" customFormat="false" ht="15" hidden="false" customHeight="false" outlineLevel="0" collapsed="false">
      <c r="A452" s="43" t="s">
        <v>1140</v>
      </c>
      <c r="B452" s="43" t="s">
        <v>1141</v>
      </c>
      <c r="C452" s="44" t="str">
        <f aca="false">IF(A452="","",IFERROR(INDEX(Assumptions!$B$41:$B$55,MATCH(TRUE(),INDEX(ISNUMBER(SEARCH(" "&amp;Assumptions!$A$41:$A$55&amp;" "," "&amp;SUBSTITUTE(SUBSTITUTE(SUBSTITUTE(SUBSTITUTE(B452,"-"," "),","," "),"/"," "),"."," ")&amp;" ")),0),0)),"Other"))</f>
        <v>Other</v>
      </c>
      <c r="D452" s="45" t="n">
        <f aca="false">IF(A452="","",BG452*(1-Assumptions!$B$18))</f>
        <v>3.45</v>
      </c>
      <c r="E452" s="46" t="n">
        <f aca="false">IF(A452="","",INDEX(Assumptions!$B$23:$B$26,MOD(VALUE(LEFT(A452,5)),4)+1))</f>
        <v>8</v>
      </c>
      <c r="F452" s="47" t="n">
        <v>351</v>
      </c>
      <c r="G452" s="48" t="n">
        <v>0</v>
      </c>
      <c r="H452" s="48" t="n">
        <v>0</v>
      </c>
      <c r="I452" s="48" t="n">
        <v>0</v>
      </c>
      <c r="J452" s="48" t="n">
        <v>0</v>
      </c>
      <c r="K452" s="48" t="n">
        <v>0</v>
      </c>
      <c r="L452" s="48" t="n">
        <v>0</v>
      </c>
      <c r="M452" s="48" t="n">
        <v>0</v>
      </c>
      <c r="N452" s="48" t="n">
        <v>0</v>
      </c>
      <c r="O452" s="48" t="n">
        <v>0</v>
      </c>
      <c r="P452" s="48" t="n">
        <v>0</v>
      </c>
      <c r="Q452" s="48" t="n">
        <v>0</v>
      </c>
      <c r="R452" s="48" t="n">
        <v>0</v>
      </c>
      <c r="S452" s="48" t="n">
        <v>0</v>
      </c>
      <c r="T452" s="48" t="n">
        <v>0</v>
      </c>
      <c r="U452" s="48" t="n">
        <v>0</v>
      </c>
      <c r="V452" s="48" t="n">
        <v>0</v>
      </c>
      <c r="W452" s="48" t="n">
        <v>0</v>
      </c>
      <c r="X452" s="48" t="n">
        <v>0</v>
      </c>
      <c r="Y452" s="48" t="n">
        <v>0</v>
      </c>
      <c r="Z452" s="48" t="n">
        <v>14</v>
      </c>
      <c r="AA452" s="48" t="n">
        <v>2</v>
      </c>
      <c r="AB452" s="48" t="n">
        <v>29</v>
      </c>
      <c r="AC452" s="48" t="n">
        <v>6</v>
      </c>
      <c r="AD452" s="48" t="n">
        <v>136</v>
      </c>
      <c r="AE452" s="48" t="n">
        <v>4</v>
      </c>
      <c r="AF452" s="48" t="n">
        <v>2</v>
      </c>
      <c r="AG452" s="48" t="n">
        <v>6</v>
      </c>
      <c r="AH452" s="48" t="n">
        <v>409</v>
      </c>
      <c r="AI452" s="48" t="n">
        <v>2</v>
      </c>
      <c r="AJ452" s="48" t="n">
        <v>0</v>
      </c>
      <c r="AK452" s="48" t="n">
        <v>0</v>
      </c>
      <c r="AL452" s="48" t="n">
        <v>0</v>
      </c>
      <c r="AM452" s="48" t="n">
        <v>108</v>
      </c>
      <c r="AN452" s="48" t="n">
        <v>301</v>
      </c>
      <c r="AO452" s="48" t="n">
        <v>51</v>
      </c>
      <c r="AP452" s="48" t="n">
        <v>1</v>
      </c>
      <c r="AQ452" s="48" t="n">
        <v>3</v>
      </c>
      <c r="AR452" s="48" t="n">
        <v>2</v>
      </c>
      <c r="AS452" s="48" t="n">
        <v>409</v>
      </c>
      <c r="AT452" s="48" t="n">
        <v>0</v>
      </c>
      <c r="AU452" s="48" t="n">
        <v>30</v>
      </c>
      <c r="AV452" s="48" t="n">
        <v>0</v>
      </c>
      <c r="AW452" s="48" t="n">
        <v>1</v>
      </c>
      <c r="AX452" s="48" t="n">
        <v>0</v>
      </c>
      <c r="AY452" s="48" t="n">
        <v>0</v>
      </c>
      <c r="AZ452" s="48" t="n">
        <v>0</v>
      </c>
      <c r="BA452" s="48" t="n">
        <v>5</v>
      </c>
      <c r="BB452" s="48" t="n">
        <v>0</v>
      </c>
      <c r="BC452" s="48" t="n">
        <v>0</v>
      </c>
      <c r="BD452" s="48" t="n">
        <v>1</v>
      </c>
      <c r="BE452" s="48" t="n">
        <v>0</v>
      </c>
      <c r="BF452" s="48" t="n">
        <v>1</v>
      </c>
      <c r="BG452" s="49" t="n">
        <v>5.75</v>
      </c>
    </row>
    <row r="453" customFormat="false" ht="15" hidden="false" customHeight="false" outlineLevel="0" collapsed="false">
      <c r="A453" s="43" t="s">
        <v>1142</v>
      </c>
      <c r="B453" s="43" t="s">
        <v>1143</v>
      </c>
      <c r="C453" s="44" t="str">
        <f aca="false">IF(A453="","",IFERROR(INDEX(Assumptions!$B$41:$B$55,MATCH(TRUE(),INDEX(ISNUMBER(SEARCH(" "&amp;Assumptions!$A$41:$A$55&amp;" "," "&amp;SUBSTITUTE(SUBSTITUTE(SUBSTITUTE(SUBSTITUTE(B453,"-"," "),","," "),"/"," "),"."," ")&amp;" ")),0),0)),"Other"))</f>
        <v>Other</v>
      </c>
      <c r="D453" s="45" t="n">
        <f aca="false">IF(A453="","",BG453*(1-Assumptions!$B$18))</f>
        <v>2.25</v>
      </c>
      <c r="E453" s="46" t="n">
        <f aca="false">IF(A453="","",INDEX(Assumptions!$B$23:$B$26,MOD(VALUE(LEFT(A453,5)),4)+1))</f>
        <v>4</v>
      </c>
      <c r="F453" s="47" t="n">
        <v>208</v>
      </c>
      <c r="G453" s="48" t="n">
        <v>4</v>
      </c>
      <c r="H453" s="48" t="n">
        <v>1</v>
      </c>
      <c r="I453" s="48" t="n">
        <v>1</v>
      </c>
      <c r="J453" s="48" t="n">
        <v>0</v>
      </c>
      <c r="K453" s="48" t="n">
        <v>0</v>
      </c>
      <c r="L453" s="48" t="n">
        <v>42</v>
      </c>
      <c r="M453" s="48" t="n">
        <v>6</v>
      </c>
      <c r="N453" s="48" t="n">
        <v>28</v>
      </c>
      <c r="O453" s="48" t="n">
        <v>0</v>
      </c>
      <c r="P453" s="48" t="n">
        <v>6</v>
      </c>
      <c r="Q453" s="48" t="n">
        <v>9</v>
      </c>
      <c r="R453" s="48" t="n">
        <v>21</v>
      </c>
      <c r="S453" s="48" t="n">
        <v>16</v>
      </c>
      <c r="T453" s="48" t="n">
        <v>0</v>
      </c>
      <c r="U453" s="48" t="n">
        <v>1</v>
      </c>
      <c r="V453" s="48" t="n">
        <v>14</v>
      </c>
      <c r="W453" s="48" t="n">
        <v>12</v>
      </c>
      <c r="X453" s="48" t="n">
        <v>12</v>
      </c>
      <c r="Y453" s="48" t="n">
        <v>1</v>
      </c>
      <c r="Z453" s="48" t="n">
        <v>17</v>
      </c>
      <c r="AA453" s="48" t="n">
        <v>0</v>
      </c>
      <c r="AB453" s="48" t="n">
        <v>13</v>
      </c>
      <c r="AC453" s="48" t="n">
        <v>0</v>
      </c>
      <c r="AD453" s="48" t="n">
        <v>78</v>
      </c>
      <c r="AE453" s="48" t="n">
        <v>756</v>
      </c>
      <c r="AF453" s="48" t="n">
        <v>3</v>
      </c>
      <c r="AG453" s="48" t="n">
        <v>12</v>
      </c>
      <c r="AH453" s="48" t="n">
        <v>19</v>
      </c>
      <c r="AI453" s="48" t="n">
        <v>3</v>
      </c>
      <c r="AJ453" s="48" t="n">
        <v>0</v>
      </c>
      <c r="AK453" s="48" t="n">
        <v>9</v>
      </c>
      <c r="AL453" s="48" t="n">
        <v>1</v>
      </c>
      <c r="AM453" s="48" t="n">
        <v>12</v>
      </c>
      <c r="AN453" s="48" t="n">
        <v>7</v>
      </c>
      <c r="AO453" s="48" t="n">
        <v>0</v>
      </c>
      <c r="AP453" s="48" t="n">
        <v>0</v>
      </c>
      <c r="AQ453" s="48" t="n">
        <v>1</v>
      </c>
      <c r="AR453" s="48" t="n">
        <v>1</v>
      </c>
      <c r="AS453" s="48" t="n">
        <v>13</v>
      </c>
      <c r="AT453" s="48" t="n">
        <v>28</v>
      </c>
      <c r="AU453" s="48" t="n">
        <v>27</v>
      </c>
      <c r="AV453" s="48" t="n">
        <v>18</v>
      </c>
      <c r="AW453" s="48" t="n">
        <v>14</v>
      </c>
      <c r="AX453" s="48" t="n">
        <v>42</v>
      </c>
      <c r="AY453" s="48" t="n">
        <v>14</v>
      </c>
      <c r="AZ453" s="48" t="n">
        <v>28</v>
      </c>
      <c r="BA453" s="48" t="n">
        <v>18</v>
      </c>
      <c r="BB453" s="48" t="n">
        <v>7</v>
      </c>
      <c r="BC453" s="48" t="n">
        <v>1</v>
      </c>
      <c r="BD453" s="48" t="n">
        <v>9</v>
      </c>
      <c r="BE453" s="48" t="n">
        <v>4</v>
      </c>
      <c r="BF453" s="48" t="n">
        <v>24</v>
      </c>
      <c r="BG453" s="49" t="n">
        <v>3.75</v>
      </c>
    </row>
    <row r="454" customFormat="false" ht="15" hidden="false" customHeight="false" outlineLevel="0" collapsed="false">
      <c r="A454" s="43" t="s">
        <v>1144</v>
      </c>
      <c r="B454" s="43" t="s">
        <v>1145</v>
      </c>
      <c r="C454" s="44" t="str">
        <f aca="false">IF(A454="","",IFERROR(INDEX(Assumptions!$B$41:$B$55,MATCH(TRUE(),INDEX(ISNUMBER(SEARCH(" "&amp;Assumptions!$A$41:$A$55&amp;" "," "&amp;SUBSTITUTE(SUBSTITUTE(SUBSTITUTE(SUBSTITUTE(B454,"-"," "),","," "),"/"," "),"."," ")&amp;" ")),0),0)),"Other"))</f>
        <v>Other</v>
      </c>
      <c r="D454" s="45" t="n">
        <f aca="false">IF(A454="","",BG454*(1-Assumptions!$B$18))</f>
        <v>1.248</v>
      </c>
      <c r="E454" s="46" t="n">
        <f aca="false">IF(A454="","",INDEX(Assumptions!$B$23:$B$26,MOD(VALUE(LEFT(A454,5)),4)+1))</f>
        <v>6</v>
      </c>
      <c r="F454" s="47" t="n">
        <v>98</v>
      </c>
      <c r="G454" s="48" t="n">
        <v>0</v>
      </c>
      <c r="H454" s="48" t="n">
        <v>0</v>
      </c>
      <c r="I454" s="48" t="n">
        <v>0</v>
      </c>
      <c r="J454" s="48" t="n">
        <v>0</v>
      </c>
      <c r="K454" s="48" t="n">
        <v>0</v>
      </c>
      <c r="L454" s="48" t="n">
        <v>0</v>
      </c>
      <c r="M454" s="48" t="n">
        <v>0</v>
      </c>
      <c r="N454" s="48" t="n">
        <v>0</v>
      </c>
      <c r="O454" s="48" t="n">
        <v>0</v>
      </c>
      <c r="P454" s="48" t="n">
        <v>0</v>
      </c>
      <c r="Q454" s="48" t="n">
        <v>0</v>
      </c>
      <c r="R454" s="48" t="n">
        <v>0</v>
      </c>
      <c r="S454" s="48" t="n">
        <v>0</v>
      </c>
      <c r="T454" s="48" t="n">
        <v>0</v>
      </c>
      <c r="U454" s="48" t="n">
        <v>0</v>
      </c>
      <c r="V454" s="48" t="n">
        <v>120</v>
      </c>
      <c r="W454" s="48" t="n">
        <v>283</v>
      </c>
      <c r="X454" s="48" t="n">
        <v>51</v>
      </c>
      <c r="Y454" s="48" t="n">
        <v>88</v>
      </c>
      <c r="Z454" s="48" t="n">
        <v>75</v>
      </c>
      <c r="AA454" s="48" t="n">
        <v>37</v>
      </c>
      <c r="AB454" s="48" t="n">
        <v>51</v>
      </c>
      <c r="AC454" s="48" t="n">
        <v>97</v>
      </c>
      <c r="AD454" s="48" t="n">
        <v>101</v>
      </c>
      <c r="AE454" s="48" t="n">
        <v>31</v>
      </c>
      <c r="AF454" s="48" t="n">
        <v>43</v>
      </c>
      <c r="AG454" s="48" t="n">
        <v>100</v>
      </c>
      <c r="AH454" s="48" t="n">
        <v>14</v>
      </c>
      <c r="AI454" s="48" t="n">
        <v>25</v>
      </c>
      <c r="AJ454" s="48" t="n">
        <v>31</v>
      </c>
      <c r="AK454" s="48" t="n">
        <v>33</v>
      </c>
      <c r="AL454" s="48" t="n">
        <v>24</v>
      </c>
      <c r="AM454" s="48" t="n">
        <v>33</v>
      </c>
      <c r="AN454" s="48" t="n">
        <v>134</v>
      </c>
      <c r="AO454" s="48" t="n">
        <v>24</v>
      </c>
      <c r="AP454" s="48" t="n">
        <v>40</v>
      </c>
      <c r="AQ454" s="48" t="n">
        <v>34</v>
      </c>
      <c r="AR454" s="48" t="n">
        <v>54</v>
      </c>
      <c r="AS454" s="48" t="n">
        <v>61</v>
      </c>
      <c r="AT454" s="48" t="n">
        <v>30</v>
      </c>
      <c r="AU454" s="48" t="n">
        <v>52</v>
      </c>
      <c r="AV454" s="48" t="n">
        <v>203</v>
      </c>
      <c r="AW454" s="48" t="n">
        <v>28</v>
      </c>
      <c r="AX454" s="48" t="n">
        <v>23</v>
      </c>
      <c r="AY454" s="48" t="n">
        <v>55</v>
      </c>
      <c r="AZ454" s="48" t="n">
        <v>145</v>
      </c>
      <c r="BA454" s="48" t="n">
        <v>51</v>
      </c>
      <c r="BB454" s="48" t="n">
        <v>46</v>
      </c>
      <c r="BC454" s="48" t="n">
        <v>93</v>
      </c>
      <c r="BD454" s="48" t="n">
        <v>64</v>
      </c>
      <c r="BE454" s="48" t="n">
        <v>72</v>
      </c>
      <c r="BF454" s="48" t="n">
        <v>111</v>
      </c>
      <c r="BG454" s="49" t="n">
        <v>2.08</v>
      </c>
    </row>
    <row r="455" customFormat="false" ht="15" hidden="false" customHeight="false" outlineLevel="0" collapsed="false">
      <c r="A455" s="43" t="s">
        <v>1146</v>
      </c>
      <c r="B455" s="43" t="s">
        <v>1147</v>
      </c>
      <c r="C455" s="44" t="str">
        <f aca="false">IF(A455="","",IFERROR(INDEX(Assumptions!$B$41:$B$55,MATCH(TRUE(),INDEX(ISNUMBER(SEARCH(" "&amp;Assumptions!$A$41:$A$55&amp;" "," "&amp;SUBSTITUTE(SUBSTITUTE(SUBSTITUTE(SUBSTITUTE(B455,"-"," "),","," "),"/"," "),"."," ")&amp;" ")),0),0)),"Other"))</f>
        <v>Other</v>
      </c>
      <c r="D455" s="45" t="n">
        <f aca="false">IF(A455="","",BG455*(1-Assumptions!$B$18))</f>
        <v>0.75</v>
      </c>
      <c r="E455" s="46" t="n">
        <f aca="false">IF(A455="","",INDEX(Assumptions!$B$23:$B$26,MOD(VALUE(LEFT(A455,5)),4)+1))</f>
        <v>4</v>
      </c>
      <c r="F455" s="47" t="n">
        <v>466</v>
      </c>
      <c r="G455" s="48" t="n">
        <v>119</v>
      </c>
      <c r="H455" s="48" t="n">
        <v>135</v>
      </c>
      <c r="I455" s="48" t="n">
        <v>4</v>
      </c>
      <c r="J455" s="48" t="n">
        <v>0</v>
      </c>
      <c r="K455" s="48" t="n">
        <v>120</v>
      </c>
      <c r="L455" s="48" t="n">
        <v>84</v>
      </c>
      <c r="M455" s="48" t="n">
        <v>15</v>
      </c>
      <c r="N455" s="48" t="n">
        <v>55</v>
      </c>
      <c r="O455" s="48" t="n">
        <v>64</v>
      </c>
      <c r="P455" s="48" t="n">
        <v>93</v>
      </c>
      <c r="Q455" s="48" t="n">
        <v>32</v>
      </c>
      <c r="R455" s="48" t="n">
        <v>6</v>
      </c>
      <c r="S455" s="48" t="n">
        <v>59</v>
      </c>
      <c r="T455" s="48" t="n">
        <v>5</v>
      </c>
      <c r="U455" s="48" t="n">
        <v>33</v>
      </c>
      <c r="V455" s="48" t="n">
        <v>67</v>
      </c>
      <c r="W455" s="48" t="n">
        <v>310</v>
      </c>
      <c r="X455" s="48" t="n">
        <v>108</v>
      </c>
      <c r="Y455" s="48" t="n">
        <v>77</v>
      </c>
      <c r="Z455" s="48" t="n">
        <v>22</v>
      </c>
      <c r="AA455" s="48" t="n">
        <v>57</v>
      </c>
      <c r="AB455" s="48" t="n">
        <v>92</v>
      </c>
      <c r="AC455" s="48" t="n">
        <v>415</v>
      </c>
      <c r="AD455" s="48" t="n">
        <v>81</v>
      </c>
      <c r="AE455" s="48" t="n">
        <v>122</v>
      </c>
      <c r="AF455" s="48" t="n">
        <v>108</v>
      </c>
      <c r="AG455" s="48" t="n">
        <v>12</v>
      </c>
      <c r="AH455" s="48" t="n">
        <v>10</v>
      </c>
      <c r="AI455" s="48" t="n">
        <v>51</v>
      </c>
      <c r="AJ455" s="48" t="n">
        <v>44</v>
      </c>
      <c r="AK455" s="48" t="n">
        <v>55</v>
      </c>
      <c r="AL455" s="48" t="n">
        <v>11</v>
      </c>
      <c r="AM455" s="48" t="n">
        <v>30</v>
      </c>
      <c r="AN455" s="48" t="n">
        <v>93</v>
      </c>
      <c r="AO455" s="48" t="n">
        <v>97</v>
      </c>
      <c r="AP455" s="48" t="n">
        <v>130</v>
      </c>
      <c r="AQ455" s="48" t="n">
        <v>168</v>
      </c>
      <c r="AR455" s="48" t="n">
        <v>74</v>
      </c>
      <c r="AS455" s="48" t="n">
        <v>49</v>
      </c>
      <c r="AT455" s="48" t="n">
        <v>90</v>
      </c>
      <c r="AU455" s="48" t="n">
        <v>24</v>
      </c>
      <c r="AV455" s="48" t="n">
        <v>35</v>
      </c>
      <c r="AW455" s="48" t="n">
        <v>117</v>
      </c>
      <c r="AX455" s="48" t="n">
        <v>112</v>
      </c>
      <c r="AY455" s="48" t="n">
        <v>33</v>
      </c>
      <c r="AZ455" s="48" t="n">
        <v>75</v>
      </c>
      <c r="BA455" s="48" t="n">
        <v>72</v>
      </c>
      <c r="BB455" s="48" t="n">
        <v>25</v>
      </c>
      <c r="BC455" s="48" t="n">
        <v>154</v>
      </c>
      <c r="BD455" s="48" t="n">
        <v>44</v>
      </c>
      <c r="BE455" s="48" t="n">
        <v>80</v>
      </c>
      <c r="BF455" s="48" t="n">
        <v>74</v>
      </c>
      <c r="BG455" s="49" t="n">
        <v>1.25</v>
      </c>
    </row>
    <row r="456" customFormat="false" ht="15" hidden="false" customHeight="false" outlineLevel="0" collapsed="false">
      <c r="A456" s="43" t="s">
        <v>1148</v>
      </c>
      <c r="B456" s="43" t="s">
        <v>1149</v>
      </c>
      <c r="C456" s="44" t="str">
        <f aca="false">IF(A456="","",IFERROR(INDEX(Assumptions!$B$41:$B$55,MATCH(TRUE(),INDEX(ISNUMBER(SEARCH(" "&amp;Assumptions!$A$41:$A$55&amp;" "," "&amp;SUBSTITUTE(SUBSTITUTE(SUBSTITUTE(SUBSTITUTE(B456,"-"," "),","," "),"/"," "),"."," ")&amp;" ")),0),0)),"Other"))</f>
        <v>Other</v>
      </c>
      <c r="D456" s="45" t="n">
        <f aca="false">IF(A456="","",BG456*(1-Assumptions!$B$18))</f>
        <v>0.51</v>
      </c>
      <c r="E456" s="46" t="n">
        <f aca="false">IF(A456="","",INDEX(Assumptions!$B$23:$B$26,MOD(VALUE(LEFT(A456,5)),4)+1))</f>
        <v>6</v>
      </c>
      <c r="F456" s="47" t="n">
        <v>1923</v>
      </c>
      <c r="G456" s="48" t="n">
        <v>192</v>
      </c>
      <c r="H456" s="48" t="n">
        <v>148</v>
      </c>
      <c r="I456" s="48" t="n">
        <v>2</v>
      </c>
      <c r="J456" s="48" t="n">
        <v>0</v>
      </c>
      <c r="K456" s="48" t="n">
        <v>134</v>
      </c>
      <c r="L456" s="48" t="n">
        <v>84</v>
      </c>
      <c r="M456" s="48" t="n">
        <v>40</v>
      </c>
      <c r="N456" s="48" t="n">
        <v>25</v>
      </c>
      <c r="O456" s="48" t="n">
        <v>52</v>
      </c>
      <c r="P456" s="48" t="n">
        <v>38</v>
      </c>
      <c r="Q456" s="48" t="n">
        <v>72</v>
      </c>
      <c r="R456" s="48" t="n">
        <v>74</v>
      </c>
      <c r="S456" s="48" t="n">
        <v>29</v>
      </c>
      <c r="T456" s="48" t="n">
        <v>168</v>
      </c>
      <c r="U456" s="48" t="n">
        <v>60</v>
      </c>
      <c r="V456" s="48" t="n">
        <v>116</v>
      </c>
      <c r="W456" s="48" t="n">
        <v>48</v>
      </c>
      <c r="X456" s="48" t="n">
        <v>148</v>
      </c>
      <c r="Y456" s="48" t="n">
        <v>97</v>
      </c>
      <c r="Z456" s="48" t="n">
        <v>51</v>
      </c>
      <c r="AA456" s="48" t="n">
        <v>1</v>
      </c>
      <c r="AB456" s="48" t="n">
        <v>120</v>
      </c>
      <c r="AC456" s="48" t="n">
        <v>336</v>
      </c>
      <c r="AD456" s="48" t="n">
        <v>168</v>
      </c>
      <c r="AE456" s="48" t="n">
        <v>12</v>
      </c>
      <c r="AF456" s="48" t="n">
        <v>38</v>
      </c>
      <c r="AG456" s="48" t="n">
        <v>49</v>
      </c>
      <c r="AH456" s="48" t="n">
        <v>168</v>
      </c>
      <c r="AI456" s="48" t="n">
        <v>146</v>
      </c>
      <c r="AJ456" s="48" t="n">
        <v>325</v>
      </c>
      <c r="AK456" s="48" t="n">
        <v>98</v>
      </c>
      <c r="AL456" s="48" t="n">
        <v>61</v>
      </c>
      <c r="AM456" s="48" t="n">
        <v>1</v>
      </c>
      <c r="AN456" s="48" t="n">
        <v>276</v>
      </c>
      <c r="AO456" s="48" t="n">
        <v>97</v>
      </c>
      <c r="AP456" s="48" t="n">
        <v>336</v>
      </c>
      <c r="AQ456" s="48" t="n">
        <v>84</v>
      </c>
      <c r="AR456" s="48" t="n">
        <v>96</v>
      </c>
      <c r="AS456" s="48" t="n">
        <v>53</v>
      </c>
      <c r="AT456" s="48" t="n">
        <v>122</v>
      </c>
      <c r="AU456" s="48" t="n">
        <v>36</v>
      </c>
      <c r="AV456" s="48" t="n">
        <v>270</v>
      </c>
      <c r="AW456" s="48" t="n">
        <v>110</v>
      </c>
      <c r="AX456" s="48" t="n">
        <v>209</v>
      </c>
      <c r="AY456" s="48" t="n">
        <v>125</v>
      </c>
      <c r="AZ456" s="48" t="n">
        <v>257</v>
      </c>
      <c r="BA456" s="48" t="n">
        <v>221</v>
      </c>
      <c r="BB456" s="48" t="n">
        <v>115</v>
      </c>
      <c r="BC456" s="48" t="n">
        <v>261</v>
      </c>
      <c r="BD456" s="48" t="n">
        <v>272</v>
      </c>
      <c r="BE456" s="48" t="n">
        <v>111</v>
      </c>
      <c r="BF456" s="48" t="n">
        <v>97</v>
      </c>
      <c r="BG456" s="49" t="n">
        <v>0.85</v>
      </c>
    </row>
    <row r="457" customFormat="false" ht="15" hidden="false" customHeight="false" outlineLevel="0" collapsed="false">
      <c r="A457" s="43" t="s">
        <v>1150</v>
      </c>
      <c r="B457" s="43" t="s">
        <v>1151</v>
      </c>
      <c r="C457" s="44" t="str">
        <f aca="false">IF(A457="","",IFERROR(INDEX(Assumptions!$B$41:$B$55,MATCH(TRUE(),INDEX(ISNUMBER(SEARCH(" "&amp;Assumptions!$A$41:$A$55&amp;" "," "&amp;SUBSTITUTE(SUBSTITUTE(SUBSTITUTE(SUBSTITUTE(B457,"-"," "),","," "),"/"," "),"."," ")&amp;" ")),0),0)),"Other"))</f>
        <v>Other</v>
      </c>
      <c r="D457" s="45" t="n">
        <f aca="false">IF(A457="","",BG457*(1-Assumptions!$B$18))</f>
        <v>99</v>
      </c>
      <c r="E457" s="46" t="n">
        <f aca="false">IF(A457="","",INDEX(Assumptions!$B$23:$B$26,MOD(VALUE(LEFT(A457,5)),4)+1))</f>
        <v>8</v>
      </c>
      <c r="F457" s="47" t="n">
        <v>10</v>
      </c>
      <c r="G457" s="48" t="n">
        <v>2</v>
      </c>
      <c r="H457" s="48" t="n">
        <v>0</v>
      </c>
      <c r="I457" s="48" t="n">
        <v>0</v>
      </c>
      <c r="J457" s="48" t="n">
        <v>0</v>
      </c>
      <c r="K457" s="48" t="n">
        <v>0</v>
      </c>
      <c r="L457" s="48" t="n">
        <v>2</v>
      </c>
      <c r="M457" s="48" t="n">
        <v>0</v>
      </c>
      <c r="N457" s="48" t="n">
        <v>1</v>
      </c>
      <c r="O457" s="48" t="n">
        <v>0</v>
      </c>
      <c r="P457" s="48" t="n">
        <v>5</v>
      </c>
      <c r="Q457" s="48" t="n">
        <v>0</v>
      </c>
      <c r="R457" s="48" t="n">
        <v>2</v>
      </c>
      <c r="S457" s="48" t="n">
        <v>2</v>
      </c>
      <c r="T457" s="48" t="n">
        <v>0</v>
      </c>
      <c r="U457" s="48" t="n">
        <v>2</v>
      </c>
      <c r="V457" s="48" t="n">
        <v>0</v>
      </c>
      <c r="W457" s="48" t="n">
        <v>1</v>
      </c>
      <c r="X457" s="48" t="n">
        <v>0</v>
      </c>
      <c r="Y457" s="48" t="n">
        <v>0</v>
      </c>
      <c r="Z457" s="48" t="n">
        <v>0</v>
      </c>
      <c r="AA457" s="48" t="n">
        <v>2</v>
      </c>
      <c r="AB457" s="48" t="n">
        <v>0</v>
      </c>
      <c r="AC457" s="48" t="n">
        <v>0</v>
      </c>
      <c r="AD457" s="48" t="n">
        <v>2</v>
      </c>
      <c r="AE457" s="48" t="n">
        <v>1</v>
      </c>
      <c r="AF457" s="48" t="n">
        <v>0</v>
      </c>
      <c r="AG457" s="48" t="n">
        <v>0</v>
      </c>
      <c r="AH457" s="48" t="n">
        <v>0</v>
      </c>
      <c r="AI457" s="48" t="n">
        <v>0</v>
      </c>
      <c r="AJ457" s="48" t="n">
        <v>1</v>
      </c>
      <c r="AK457" s="48" t="n">
        <v>0</v>
      </c>
      <c r="AL457" s="48" t="n">
        <v>0</v>
      </c>
      <c r="AM457" s="48" t="n">
        <v>0</v>
      </c>
      <c r="AN457" s="48" t="n">
        <v>0</v>
      </c>
      <c r="AO457" s="48" t="n">
        <v>0</v>
      </c>
      <c r="AP457" s="48" t="n">
        <v>0</v>
      </c>
      <c r="AQ457" s="48" t="n">
        <v>0</v>
      </c>
      <c r="AR457" s="48" t="n">
        <v>1</v>
      </c>
      <c r="AS457" s="48" t="n">
        <v>0</v>
      </c>
      <c r="AT457" s="48" t="n">
        <v>1</v>
      </c>
      <c r="AU457" s="48" t="n">
        <v>0</v>
      </c>
      <c r="AV457" s="48" t="n">
        <v>3</v>
      </c>
      <c r="AW457" s="48" t="n">
        <v>0</v>
      </c>
      <c r="AX457" s="48" t="n">
        <v>0</v>
      </c>
      <c r="AY457" s="48" t="n">
        <v>2</v>
      </c>
      <c r="AZ457" s="48" t="n">
        <v>0</v>
      </c>
      <c r="BA457" s="48" t="n">
        <v>0</v>
      </c>
      <c r="BB457" s="48" t="n">
        <v>3</v>
      </c>
      <c r="BC457" s="48" t="n">
        <v>0</v>
      </c>
      <c r="BD457" s="48" t="n">
        <v>1</v>
      </c>
      <c r="BE457" s="48" t="n">
        <v>0</v>
      </c>
      <c r="BF457" s="48" t="n">
        <v>0</v>
      </c>
      <c r="BG457" s="49" t="n">
        <v>165</v>
      </c>
    </row>
    <row r="458" customFormat="false" ht="15" hidden="false" customHeight="false" outlineLevel="0" collapsed="false">
      <c r="A458" s="43" t="s">
        <v>1152</v>
      </c>
      <c r="B458" s="43" t="s">
        <v>1153</v>
      </c>
      <c r="C458" s="44" t="str">
        <f aca="false">IF(A458="","",IFERROR(INDEX(Assumptions!$B$41:$B$55,MATCH(TRUE(),INDEX(ISNUMBER(SEARCH(" "&amp;Assumptions!$A$41:$A$55&amp;" "," "&amp;SUBSTITUTE(SUBSTITUTE(SUBSTITUTE(SUBSTITUTE(B458,"-"," "),","," "),"/"," "),"."," ")&amp;" ")),0),0)),"Other"))</f>
        <v>Other</v>
      </c>
      <c r="D458" s="45" t="n">
        <f aca="false">IF(A458="","",BG458*(1-Assumptions!$B$18))</f>
        <v>3.57</v>
      </c>
      <c r="E458" s="46" t="n">
        <f aca="false">IF(A458="","",INDEX(Assumptions!$B$23:$B$26,MOD(VALUE(LEFT(A458,5)),4)+1))</f>
        <v>6</v>
      </c>
      <c r="F458" s="47" t="n">
        <v>33</v>
      </c>
      <c r="G458" s="48" t="n">
        <v>0</v>
      </c>
      <c r="H458" s="48" t="n">
        <v>0</v>
      </c>
      <c r="I458" s="48" t="n">
        <v>0</v>
      </c>
      <c r="J458" s="48" t="n">
        <v>0</v>
      </c>
      <c r="K458" s="48" t="n">
        <v>0</v>
      </c>
      <c r="L458" s="48" t="n">
        <v>0</v>
      </c>
      <c r="M458" s="48" t="n">
        <v>0</v>
      </c>
      <c r="N458" s="48" t="n">
        <v>0</v>
      </c>
      <c r="O458" s="48" t="n">
        <v>0</v>
      </c>
      <c r="P458" s="48" t="n">
        <v>0</v>
      </c>
      <c r="Q458" s="48" t="n">
        <v>0</v>
      </c>
      <c r="R458" s="48" t="n">
        <v>0</v>
      </c>
      <c r="S458" s="48" t="n">
        <v>0</v>
      </c>
      <c r="T458" s="48" t="n">
        <v>0</v>
      </c>
      <c r="U458" s="48" t="n">
        <v>0</v>
      </c>
      <c r="V458" s="48" t="n">
        <v>0</v>
      </c>
      <c r="W458" s="48" t="n">
        <v>0</v>
      </c>
      <c r="X458" s="48" t="n">
        <v>0</v>
      </c>
      <c r="Y458" s="48" t="n">
        <v>0</v>
      </c>
      <c r="Z458" s="48" t="n">
        <v>0</v>
      </c>
      <c r="AA458" s="48" t="n">
        <v>0</v>
      </c>
      <c r="AB458" s="48" t="n">
        <v>0</v>
      </c>
      <c r="AC458" s="48" t="n">
        <v>0</v>
      </c>
      <c r="AD458" s="48" t="n">
        <v>0</v>
      </c>
      <c r="AE458" s="48" t="n">
        <v>0</v>
      </c>
      <c r="AF458" s="48" t="n">
        <v>0</v>
      </c>
      <c r="AG458" s="48" t="n">
        <v>0</v>
      </c>
      <c r="AH458" s="48" t="n">
        <v>0</v>
      </c>
      <c r="AI458" s="48" t="n">
        <v>0</v>
      </c>
      <c r="AJ458" s="48" t="n">
        <v>0</v>
      </c>
      <c r="AK458" s="48" t="n">
        <v>0</v>
      </c>
      <c r="AL458" s="48" t="n">
        <v>0</v>
      </c>
      <c r="AM458" s="48" t="n">
        <v>0</v>
      </c>
      <c r="AN458" s="48" t="n">
        <v>0</v>
      </c>
      <c r="AO458" s="48" t="n">
        <v>0</v>
      </c>
      <c r="AP458" s="48" t="n">
        <v>0</v>
      </c>
      <c r="AQ458" s="48" t="n">
        <v>0</v>
      </c>
      <c r="AR458" s="48" t="n">
        <v>0</v>
      </c>
      <c r="AS458" s="48" t="n">
        <v>0</v>
      </c>
      <c r="AT458" s="48" t="n">
        <v>0</v>
      </c>
      <c r="AU458" s="48" t="n">
        <v>0</v>
      </c>
      <c r="AV458" s="48" t="n">
        <v>0</v>
      </c>
      <c r="AW458" s="48" t="n">
        <v>0</v>
      </c>
      <c r="AX458" s="48" t="n">
        <v>372</v>
      </c>
      <c r="AY458" s="48" t="n">
        <v>51</v>
      </c>
      <c r="AZ458" s="48" t="n">
        <v>54</v>
      </c>
      <c r="BA458" s="48" t="n">
        <v>21</v>
      </c>
      <c r="BB458" s="48" t="n">
        <v>160</v>
      </c>
      <c r="BC458" s="48" t="n">
        <v>67</v>
      </c>
      <c r="BD458" s="48" t="n">
        <v>60</v>
      </c>
      <c r="BE458" s="48" t="n">
        <v>38</v>
      </c>
      <c r="BF458" s="48" t="n">
        <v>33</v>
      </c>
      <c r="BG458" s="49" t="n">
        <v>5.95</v>
      </c>
    </row>
    <row r="459" customFormat="false" ht="15" hidden="false" customHeight="false" outlineLevel="0" collapsed="false">
      <c r="A459" s="43" t="s">
        <v>1154</v>
      </c>
      <c r="B459" s="43" t="s">
        <v>1155</v>
      </c>
      <c r="C459" s="44" t="str">
        <f aca="false">IF(A459="","",IFERROR(INDEX(Assumptions!$B$41:$B$55,MATCH(TRUE(),INDEX(ISNUMBER(SEARCH(" "&amp;Assumptions!$A$41:$A$55&amp;" "," "&amp;SUBSTITUTE(SUBSTITUTE(SUBSTITUTE(SUBSTITUTE(B459,"-"," "),","," "),"/"," "),"."," ")&amp;" ")),0),0)),"Other"))</f>
        <v>Cards/Gifts</v>
      </c>
      <c r="D459" s="45" t="n">
        <f aca="false">IF(A459="","",BG459*(1-Assumptions!$B$18))</f>
        <v>0.252</v>
      </c>
      <c r="E459" s="46" t="n">
        <f aca="false">IF(A459="","",INDEX(Assumptions!$B$23:$B$26,MOD(VALUE(LEFT(A459,5)),4)+1))</f>
        <v>6</v>
      </c>
      <c r="F459" s="47" t="n">
        <v>6166</v>
      </c>
      <c r="G459" s="48" t="n">
        <v>0</v>
      </c>
      <c r="H459" s="48" t="n">
        <v>0</v>
      </c>
      <c r="I459" s="48" t="n">
        <v>0</v>
      </c>
      <c r="J459" s="48" t="n">
        <v>0</v>
      </c>
      <c r="K459" s="48" t="n">
        <v>0</v>
      </c>
      <c r="L459" s="48" t="n">
        <v>0</v>
      </c>
      <c r="M459" s="48" t="n">
        <v>0</v>
      </c>
      <c r="N459" s="48" t="n">
        <v>0</v>
      </c>
      <c r="O459" s="48" t="n">
        <v>0</v>
      </c>
      <c r="P459" s="48" t="n">
        <v>0</v>
      </c>
      <c r="Q459" s="48" t="n">
        <v>135</v>
      </c>
      <c r="R459" s="48" t="n">
        <v>258</v>
      </c>
      <c r="S459" s="48" t="n">
        <v>227</v>
      </c>
      <c r="T459" s="48" t="n">
        <v>107</v>
      </c>
      <c r="U459" s="48" t="n">
        <v>155</v>
      </c>
      <c r="V459" s="48" t="n">
        <v>126</v>
      </c>
      <c r="W459" s="48" t="n">
        <v>203</v>
      </c>
      <c r="X459" s="48" t="n">
        <v>194</v>
      </c>
      <c r="Y459" s="48" t="n">
        <v>688</v>
      </c>
      <c r="Z459" s="48" t="n">
        <v>107</v>
      </c>
      <c r="AA459" s="48" t="n">
        <v>677</v>
      </c>
      <c r="AB459" s="48" t="n">
        <v>364</v>
      </c>
      <c r="AC459" s="48" t="n">
        <v>146</v>
      </c>
      <c r="AD459" s="48" t="n">
        <v>221</v>
      </c>
      <c r="AE459" s="48" t="n">
        <v>141</v>
      </c>
      <c r="AF459" s="48" t="n">
        <v>591</v>
      </c>
      <c r="AG459" s="48" t="n">
        <v>175</v>
      </c>
      <c r="AH459" s="48" t="n">
        <v>103</v>
      </c>
      <c r="AI459" s="48" t="n">
        <v>164</v>
      </c>
      <c r="AJ459" s="48" t="n">
        <v>100</v>
      </c>
      <c r="AK459" s="48" t="n">
        <v>91</v>
      </c>
      <c r="AL459" s="48" t="n">
        <v>733</v>
      </c>
      <c r="AM459" s="48" t="n">
        <v>649</v>
      </c>
      <c r="AN459" s="48" t="n">
        <v>218</v>
      </c>
      <c r="AO459" s="48" t="n">
        <v>169</v>
      </c>
      <c r="AP459" s="48" t="n">
        <v>698</v>
      </c>
      <c r="AQ459" s="48" t="n">
        <v>113</v>
      </c>
      <c r="AR459" s="48" t="n">
        <v>21</v>
      </c>
      <c r="AS459" s="48" t="n">
        <v>228</v>
      </c>
      <c r="AT459" s="48" t="n">
        <v>606</v>
      </c>
      <c r="AU459" s="48" t="n">
        <v>152</v>
      </c>
      <c r="AV459" s="48" t="n">
        <v>222</v>
      </c>
      <c r="AW459" s="48" t="n">
        <v>222</v>
      </c>
      <c r="AX459" s="48" t="n">
        <v>272</v>
      </c>
      <c r="AY459" s="48" t="n">
        <v>157</v>
      </c>
      <c r="AZ459" s="48" t="n">
        <v>196</v>
      </c>
      <c r="BA459" s="48" t="n">
        <v>652</v>
      </c>
      <c r="BB459" s="48" t="n">
        <v>554</v>
      </c>
      <c r="BC459" s="48" t="n">
        <v>345</v>
      </c>
      <c r="BD459" s="48" t="n">
        <v>808</v>
      </c>
      <c r="BE459" s="48" t="n">
        <v>71</v>
      </c>
      <c r="BF459" s="48" t="n">
        <v>273</v>
      </c>
      <c r="BG459" s="49" t="n">
        <v>0.42</v>
      </c>
    </row>
    <row r="460" customFormat="false" ht="15" hidden="false" customHeight="false" outlineLevel="0" collapsed="false">
      <c r="A460" s="43" t="s">
        <v>1156</v>
      </c>
      <c r="B460" s="43" t="s">
        <v>1157</v>
      </c>
      <c r="C460" s="44" t="str">
        <f aca="false">IF(A460="","",IFERROR(INDEX(Assumptions!$B$41:$B$55,MATCH(TRUE(),INDEX(ISNUMBER(SEARCH(" "&amp;Assumptions!$A$41:$A$55&amp;" "," "&amp;SUBSTITUTE(SUBSTITUTE(SUBSTITUTE(SUBSTITUTE(B460,"-"," "),","," "),"/"," "),"."," ")&amp;" ")),0),0)),"Other"))</f>
        <v>Other</v>
      </c>
      <c r="D460" s="45" t="n">
        <f aca="false">IF(A460="","",BG460*(1-Assumptions!$B$18))</f>
        <v>0.87</v>
      </c>
      <c r="E460" s="46" t="n">
        <f aca="false">IF(A460="","",INDEX(Assumptions!$B$23:$B$26,MOD(VALUE(LEFT(A460,5)),4)+1))</f>
        <v>2</v>
      </c>
      <c r="F460" s="47" t="n">
        <v>263</v>
      </c>
      <c r="G460" s="48" t="n">
        <v>42</v>
      </c>
      <c r="H460" s="48" t="n">
        <v>0</v>
      </c>
      <c r="I460" s="48" t="n">
        <v>1</v>
      </c>
      <c r="J460" s="48" t="n">
        <v>0</v>
      </c>
      <c r="K460" s="48" t="n">
        <v>0</v>
      </c>
      <c r="L460" s="48" t="n">
        <v>0</v>
      </c>
      <c r="M460" s="48" t="n">
        <v>0</v>
      </c>
      <c r="N460" s="48" t="n">
        <v>0</v>
      </c>
      <c r="O460" s="48" t="n">
        <v>0</v>
      </c>
      <c r="P460" s="48" t="n">
        <v>1</v>
      </c>
      <c r="Q460" s="48" t="n">
        <v>0</v>
      </c>
      <c r="R460" s="48" t="n">
        <v>1</v>
      </c>
      <c r="S460" s="48" t="n">
        <v>119</v>
      </c>
      <c r="T460" s="48" t="n">
        <v>45</v>
      </c>
      <c r="U460" s="48" t="n">
        <v>105</v>
      </c>
      <c r="V460" s="48" t="n">
        <v>47</v>
      </c>
      <c r="W460" s="48" t="n">
        <v>66</v>
      </c>
      <c r="X460" s="48" t="n">
        <v>180</v>
      </c>
      <c r="Y460" s="48" t="n">
        <v>116</v>
      </c>
      <c r="Z460" s="48" t="n">
        <v>49</v>
      </c>
      <c r="AA460" s="48" t="n">
        <v>53</v>
      </c>
      <c r="AB460" s="48" t="n">
        <v>195</v>
      </c>
      <c r="AC460" s="48" t="n">
        <v>81</v>
      </c>
      <c r="AD460" s="48" t="n">
        <v>156</v>
      </c>
      <c r="AE460" s="48" t="n">
        <v>49</v>
      </c>
      <c r="AF460" s="48" t="n">
        <v>57</v>
      </c>
      <c r="AG460" s="48" t="n">
        <v>87</v>
      </c>
      <c r="AH460" s="48" t="n">
        <v>92</v>
      </c>
      <c r="AI460" s="48" t="n">
        <v>131</v>
      </c>
      <c r="AJ460" s="48" t="n">
        <v>20</v>
      </c>
      <c r="AK460" s="48" t="n">
        <v>55</v>
      </c>
      <c r="AL460" s="48" t="n">
        <v>53</v>
      </c>
      <c r="AM460" s="48" t="n">
        <v>23</v>
      </c>
      <c r="AN460" s="48" t="n">
        <v>50</v>
      </c>
      <c r="AO460" s="48" t="n">
        <v>64</v>
      </c>
      <c r="AP460" s="48" t="n">
        <v>119</v>
      </c>
      <c r="AQ460" s="48" t="n">
        <v>191</v>
      </c>
      <c r="AR460" s="48" t="n">
        <v>182</v>
      </c>
      <c r="AS460" s="48" t="n">
        <v>19</v>
      </c>
      <c r="AT460" s="48" t="n">
        <v>50</v>
      </c>
      <c r="AU460" s="48" t="n">
        <v>16</v>
      </c>
      <c r="AV460" s="48" t="n">
        <v>66</v>
      </c>
      <c r="AW460" s="48" t="n">
        <v>87</v>
      </c>
      <c r="AX460" s="48" t="n">
        <v>35</v>
      </c>
      <c r="AY460" s="48" t="n">
        <v>89</v>
      </c>
      <c r="AZ460" s="48" t="n">
        <v>73</v>
      </c>
      <c r="BA460" s="48" t="n">
        <v>35</v>
      </c>
      <c r="BB460" s="48" t="n">
        <v>96</v>
      </c>
      <c r="BC460" s="48" t="n">
        <v>65</v>
      </c>
      <c r="BD460" s="48" t="n">
        <v>57</v>
      </c>
      <c r="BE460" s="48" t="n">
        <v>208</v>
      </c>
      <c r="BF460" s="48" t="n">
        <v>90</v>
      </c>
      <c r="BG460" s="49" t="n">
        <v>1.45</v>
      </c>
    </row>
    <row r="461" customFormat="false" ht="15" hidden="false" customHeight="false" outlineLevel="0" collapsed="false">
      <c r="A461" s="43" t="s">
        <v>1158</v>
      </c>
      <c r="B461" s="43" t="s">
        <v>1159</v>
      </c>
      <c r="C461" s="44" t="str">
        <f aca="false">IF(A461="","",IFERROR(INDEX(Assumptions!$B$41:$B$55,MATCH(TRUE(),INDEX(ISNUMBER(SEARCH(" "&amp;Assumptions!$A$41:$A$55&amp;" "," "&amp;SUBSTITUTE(SUBSTITUTE(SUBSTITUTE(SUBSTITUTE(B461,"-"," "),","," "),"/"," "),"."," ")&amp;" ")),0),0)),"Other"))</f>
        <v>Other</v>
      </c>
      <c r="D461" s="45" t="n">
        <f aca="false">IF(A461="","",BG461*(1-Assumptions!$B$18))</f>
        <v>2.55</v>
      </c>
      <c r="E461" s="46" t="n">
        <f aca="false">IF(A461="","",INDEX(Assumptions!$B$23:$B$26,MOD(VALUE(LEFT(A461,5)),4)+1))</f>
        <v>8</v>
      </c>
      <c r="F461" s="47" t="n">
        <v>68</v>
      </c>
      <c r="G461" s="48" t="n">
        <v>43</v>
      </c>
      <c r="H461" s="48" t="n">
        <v>13</v>
      </c>
      <c r="I461" s="48" t="n">
        <v>12</v>
      </c>
      <c r="J461" s="48" t="n">
        <v>0</v>
      </c>
      <c r="K461" s="48" t="n">
        <v>24</v>
      </c>
      <c r="L461" s="48" t="n">
        <v>6</v>
      </c>
      <c r="M461" s="48" t="n">
        <v>48</v>
      </c>
      <c r="N461" s="48" t="n">
        <v>5</v>
      </c>
      <c r="O461" s="48" t="n">
        <v>31</v>
      </c>
      <c r="P461" s="48" t="n">
        <v>13</v>
      </c>
      <c r="Q461" s="48" t="n">
        <v>115</v>
      </c>
      <c r="R461" s="48" t="n">
        <v>0</v>
      </c>
      <c r="S461" s="48" t="n">
        <v>1</v>
      </c>
      <c r="T461" s="48" t="n">
        <v>10</v>
      </c>
      <c r="U461" s="48" t="n">
        <v>8</v>
      </c>
      <c r="V461" s="48" t="n">
        <v>44</v>
      </c>
      <c r="W461" s="48" t="n">
        <v>60</v>
      </c>
      <c r="X461" s="48" t="n">
        <v>5</v>
      </c>
      <c r="Y461" s="48" t="n">
        <v>12</v>
      </c>
      <c r="Z461" s="48" t="n">
        <v>3</v>
      </c>
      <c r="AA461" s="48" t="n">
        <v>0</v>
      </c>
      <c r="AB461" s="48" t="n">
        <v>5</v>
      </c>
      <c r="AC461" s="48" t="n">
        <v>3</v>
      </c>
      <c r="AD461" s="48" t="n">
        <v>50</v>
      </c>
      <c r="AE461" s="48" t="n">
        <v>36</v>
      </c>
      <c r="AF461" s="48" t="n">
        <v>4</v>
      </c>
      <c r="AG461" s="48" t="n">
        <v>28</v>
      </c>
      <c r="AH461" s="48" t="n">
        <v>9</v>
      </c>
      <c r="AI461" s="48" t="n">
        <v>5</v>
      </c>
      <c r="AJ461" s="48" t="n">
        <v>0</v>
      </c>
      <c r="AK461" s="48" t="n">
        <v>25</v>
      </c>
      <c r="AL461" s="48" t="n">
        <v>4</v>
      </c>
      <c r="AM461" s="48" t="n">
        <v>0</v>
      </c>
      <c r="AN461" s="48" t="n">
        <v>24</v>
      </c>
      <c r="AO461" s="48" t="n">
        <v>25</v>
      </c>
      <c r="AP461" s="48" t="n">
        <v>14</v>
      </c>
      <c r="AQ461" s="48" t="n">
        <v>14</v>
      </c>
      <c r="AR461" s="48" t="n">
        <v>4</v>
      </c>
      <c r="AS461" s="48" t="n">
        <v>8</v>
      </c>
      <c r="AT461" s="48" t="n">
        <v>5</v>
      </c>
      <c r="AU461" s="48" t="n">
        <v>1</v>
      </c>
      <c r="AV461" s="48" t="n">
        <v>31</v>
      </c>
      <c r="AW461" s="48" t="n">
        <v>57</v>
      </c>
      <c r="AX461" s="48" t="n">
        <v>101</v>
      </c>
      <c r="AY461" s="48" t="n">
        <v>77</v>
      </c>
      <c r="AZ461" s="48" t="n">
        <v>10</v>
      </c>
      <c r="BA461" s="48" t="n">
        <v>4</v>
      </c>
      <c r="BB461" s="48" t="n">
        <v>112</v>
      </c>
      <c r="BC461" s="48" t="n">
        <v>24</v>
      </c>
      <c r="BD461" s="48" t="n">
        <v>8</v>
      </c>
      <c r="BE461" s="48" t="n">
        <v>35</v>
      </c>
      <c r="BF461" s="48" t="n">
        <v>10</v>
      </c>
      <c r="BG461" s="49" t="n">
        <v>4.25</v>
      </c>
    </row>
    <row r="462" customFormat="false" ht="15" hidden="false" customHeight="false" outlineLevel="0" collapsed="false">
      <c r="A462" s="43" t="s">
        <v>1160</v>
      </c>
      <c r="B462" s="43" t="s">
        <v>1161</v>
      </c>
      <c r="C462" s="44" t="str">
        <f aca="false">IF(A462="","",IFERROR(INDEX(Assumptions!$B$41:$B$55,MATCH(TRUE(),INDEX(ISNUMBER(SEARCH(" "&amp;Assumptions!$A$41:$A$55&amp;" "," "&amp;SUBSTITUTE(SUBSTITUTE(SUBSTITUTE(SUBSTITUTE(B462,"-"," "),","," "),"/"," "),"."," ")&amp;" ")),0),0)),"Other"))</f>
        <v>Other</v>
      </c>
      <c r="D462" s="45" t="n">
        <f aca="false">IF(A462="","",BG462*(1-Assumptions!$B$18))</f>
        <v>3.81</v>
      </c>
      <c r="E462" s="46" t="n">
        <f aca="false">IF(A462="","",INDEX(Assumptions!$B$23:$B$26,MOD(VALUE(LEFT(A462,5)),4)+1))</f>
        <v>4</v>
      </c>
      <c r="F462" s="47" t="n">
        <v>223</v>
      </c>
      <c r="G462" s="48" t="n">
        <v>17</v>
      </c>
      <c r="H462" s="48" t="n">
        <v>25</v>
      </c>
      <c r="I462" s="48" t="n">
        <v>4</v>
      </c>
      <c r="J462" s="48" t="n">
        <v>0</v>
      </c>
      <c r="K462" s="48" t="n">
        <v>9</v>
      </c>
      <c r="L462" s="48" t="n">
        <v>23</v>
      </c>
      <c r="M462" s="48" t="n">
        <v>13</v>
      </c>
      <c r="N462" s="48" t="n">
        <v>11</v>
      </c>
      <c r="O462" s="48" t="n">
        <v>7</v>
      </c>
      <c r="P462" s="48" t="n">
        <v>4</v>
      </c>
      <c r="Q462" s="48" t="n">
        <v>20</v>
      </c>
      <c r="R462" s="48" t="n">
        <v>14</v>
      </c>
      <c r="S462" s="48" t="n">
        <v>17</v>
      </c>
      <c r="T462" s="48" t="n">
        <v>22</v>
      </c>
      <c r="U462" s="48" t="n">
        <v>23</v>
      </c>
      <c r="V462" s="48" t="n">
        <v>13</v>
      </c>
      <c r="W462" s="48" t="n">
        <v>13</v>
      </c>
      <c r="X462" s="48" t="n">
        <v>16</v>
      </c>
      <c r="Y462" s="48" t="n">
        <v>5</v>
      </c>
      <c r="Z462" s="48" t="n">
        <v>9</v>
      </c>
      <c r="AA462" s="48" t="n">
        <v>2</v>
      </c>
      <c r="AB462" s="48" t="n">
        <v>12</v>
      </c>
      <c r="AC462" s="48" t="n">
        <v>19</v>
      </c>
      <c r="AD462" s="48" t="n">
        <v>81</v>
      </c>
      <c r="AE462" s="48" t="n">
        <v>19</v>
      </c>
      <c r="AF462" s="48" t="n">
        <v>40</v>
      </c>
      <c r="AG462" s="48" t="n">
        <v>15</v>
      </c>
      <c r="AH462" s="48" t="n">
        <v>18</v>
      </c>
      <c r="AI462" s="48" t="n">
        <v>7</v>
      </c>
      <c r="AJ462" s="48" t="n">
        <v>4</v>
      </c>
      <c r="AK462" s="48" t="n">
        <v>6</v>
      </c>
      <c r="AL462" s="48" t="n">
        <v>7</v>
      </c>
      <c r="AM462" s="48" t="n">
        <v>42</v>
      </c>
      <c r="AN462" s="48" t="n">
        <v>4</v>
      </c>
      <c r="AO462" s="48" t="n">
        <v>24</v>
      </c>
      <c r="AP462" s="48" t="n">
        <v>8</v>
      </c>
      <c r="AQ462" s="48" t="n">
        <v>16</v>
      </c>
      <c r="AR462" s="48" t="n">
        <v>16</v>
      </c>
      <c r="AS462" s="48" t="n">
        <v>5</v>
      </c>
      <c r="AT462" s="48" t="n">
        <v>6</v>
      </c>
      <c r="AU462" s="48" t="n">
        <v>8</v>
      </c>
      <c r="AV462" s="48" t="n">
        <v>9</v>
      </c>
      <c r="AW462" s="48" t="n">
        <v>4</v>
      </c>
      <c r="AX462" s="48" t="n">
        <v>11</v>
      </c>
      <c r="AY462" s="48" t="n">
        <v>30</v>
      </c>
      <c r="AZ462" s="48" t="n">
        <v>8</v>
      </c>
      <c r="BA462" s="48" t="n">
        <v>16</v>
      </c>
      <c r="BB462" s="48" t="n">
        <v>10</v>
      </c>
      <c r="BC462" s="48" t="n">
        <v>8</v>
      </c>
      <c r="BD462" s="48" t="n">
        <v>9</v>
      </c>
      <c r="BE462" s="48" t="n">
        <v>36</v>
      </c>
      <c r="BF462" s="48" t="n">
        <v>9</v>
      </c>
      <c r="BG462" s="49" t="n">
        <v>6.35</v>
      </c>
    </row>
    <row r="463" customFormat="false" ht="15" hidden="false" customHeight="false" outlineLevel="0" collapsed="false">
      <c r="A463" s="43" t="s">
        <v>1162</v>
      </c>
      <c r="B463" s="43" t="s">
        <v>1163</v>
      </c>
      <c r="C463" s="44" t="str">
        <f aca="false">IF(A463="","",IFERROR(INDEX(Assumptions!$B$41:$B$55,MATCH(TRUE(),INDEX(ISNUMBER(SEARCH(" "&amp;Assumptions!$A$41:$A$55&amp;" "," "&amp;SUBSTITUTE(SUBSTITUTE(SUBSTITUTE(SUBSTITUTE(B463,"-"," "),","," "),"/"," "),"."," ")&amp;" ")),0),0)),"Other"))</f>
        <v>Kitchen</v>
      </c>
      <c r="D463" s="45" t="n">
        <f aca="false">IF(A463="","",BG463*(1-Assumptions!$B$18))</f>
        <v>0.87</v>
      </c>
      <c r="E463" s="46" t="n">
        <f aca="false">IF(A463="","",INDEX(Assumptions!$B$23:$B$26,MOD(VALUE(LEFT(A463,5)),4)+1))</f>
        <v>6</v>
      </c>
      <c r="F463" s="47" t="n">
        <v>528</v>
      </c>
      <c r="G463" s="48" t="n">
        <v>200</v>
      </c>
      <c r="H463" s="48" t="n">
        <v>54</v>
      </c>
      <c r="I463" s="48" t="n">
        <v>36</v>
      </c>
      <c r="J463" s="48" t="n">
        <v>0</v>
      </c>
      <c r="K463" s="48" t="n">
        <v>27</v>
      </c>
      <c r="L463" s="48" t="n">
        <v>20</v>
      </c>
      <c r="M463" s="48" t="n">
        <v>38</v>
      </c>
      <c r="N463" s="48" t="n">
        <v>34</v>
      </c>
      <c r="O463" s="48" t="n">
        <v>148</v>
      </c>
      <c r="P463" s="48" t="n">
        <v>22</v>
      </c>
      <c r="Q463" s="48" t="n">
        <v>113</v>
      </c>
      <c r="R463" s="48" t="n">
        <v>85</v>
      </c>
      <c r="S463" s="48" t="n">
        <v>45</v>
      </c>
      <c r="T463" s="48" t="n">
        <v>12</v>
      </c>
      <c r="U463" s="48" t="n">
        <v>90</v>
      </c>
      <c r="V463" s="48" t="n">
        <v>36</v>
      </c>
      <c r="W463" s="48" t="n">
        <v>68</v>
      </c>
      <c r="X463" s="48" t="n">
        <v>37</v>
      </c>
      <c r="Y463" s="48" t="n">
        <v>57</v>
      </c>
      <c r="Z463" s="48" t="n">
        <v>2</v>
      </c>
      <c r="AA463" s="48" t="n">
        <v>6</v>
      </c>
      <c r="AB463" s="48" t="n">
        <v>47</v>
      </c>
      <c r="AC463" s="48" t="n">
        <v>49</v>
      </c>
      <c r="AD463" s="48" t="n">
        <v>81</v>
      </c>
      <c r="AE463" s="48" t="n">
        <v>34</v>
      </c>
      <c r="AF463" s="48" t="n">
        <v>82</v>
      </c>
      <c r="AG463" s="48" t="n">
        <v>50</v>
      </c>
      <c r="AH463" s="48" t="n">
        <v>45</v>
      </c>
      <c r="AI463" s="48" t="n">
        <v>21</v>
      </c>
      <c r="AJ463" s="48" t="n">
        <v>25</v>
      </c>
      <c r="AK463" s="48" t="n">
        <v>34</v>
      </c>
      <c r="AL463" s="48" t="n">
        <v>66</v>
      </c>
      <c r="AM463" s="48" t="n">
        <v>95</v>
      </c>
      <c r="AN463" s="48" t="n">
        <v>44</v>
      </c>
      <c r="AO463" s="48" t="n">
        <v>26</v>
      </c>
      <c r="AP463" s="48" t="n">
        <v>84</v>
      </c>
      <c r="AQ463" s="48" t="n">
        <v>49</v>
      </c>
      <c r="AR463" s="48" t="n">
        <v>16</v>
      </c>
      <c r="AS463" s="48" t="n">
        <v>24</v>
      </c>
      <c r="AT463" s="48" t="n">
        <v>21</v>
      </c>
      <c r="AU463" s="48" t="n">
        <v>112</v>
      </c>
      <c r="AV463" s="48" t="n">
        <v>142</v>
      </c>
      <c r="AW463" s="48" t="n">
        <v>17</v>
      </c>
      <c r="AX463" s="48" t="n">
        <v>99</v>
      </c>
      <c r="AY463" s="48" t="n">
        <v>180</v>
      </c>
      <c r="AZ463" s="48" t="n">
        <v>25</v>
      </c>
      <c r="BA463" s="48" t="n">
        <v>30</v>
      </c>
      <c r="BB463" s="48" t="n">
        <v>27</v>
      </c>
      <c r="BC463" s="48" t="n">
        <v>67</v>
      </c>
      <c r="BD463" s="48" t="n">
        <v>442</v>
      </c>
      <c r="BE463" s="48" t="n">
        <v>29</v>
      </c>
      <c r="BF463" s="48" t="n">
        <v>241</v>
      </c>
      <c r="BG463" s="49" t="n">
        <v>1.45</v>
      </c>
    </row>
    <row r="464" customFormat="false" ht="15" hidden="false" customHeight="false" outlineLevel="0" collapsed="false">
      <c r="A464" s="43" t="s">
        <v>1164</v>
      </c>
      <c r="B464" s="43" t="s">
        <v>1165</v>
      </c>
      <c r="C464" s="44" t="str">
        <f aca="false">IF(A464="","",IFERROR(INDEX(Assumptions!$B$41:$B$55,MATCH(TRUE(),INDEX(ISNUMBER(SEARCH(" "&amp;Assumptions!$A$41:$A$55&amp;" "," "&amp;SUBSTITUTE(SUBSTITUTE(SUBSTITUTE(SUBSTITUTE(B464,"-"," "),","," "),"/"," "),"."," ")&amp;" ")),0),0)),"Other"))</f>
        <v>Other</v>
      </c>
      <c r="D464" s="45" t="n">
        <f aca="false">IF(A464="","",BG464*(1-Assumptions!$B$18))</f>
        <v>3.45</v>
      </c>
      <c r="E464" s="46" t="n">
        <f aca="false">IF(A464="","",INDEX(Assumptions!$B$23:$B$26,MOD(VALUE(LEFT(A464,5)),4)+1))</f>
        <v>2</v>
      </c>
      <c r="F464" s="47" t="n">
        <v>238</v>
      </c>
      <c r="G464" s="48" t="n">
        <v>0</v>
      </c>
      <c r="H464" s="48" t="n">
        <v>0</v>
      </c>
      <c r="I464" s="48" t="n">
        <v>0</v>
      </c>
      <c r="J464" s="48" t="n">
        <v>0</v>
      </c>
      <c r="K464" s="48" t="n">
        <v>0</v>
      </c>
      <c r="L464" s="48" t="n">
        <v>0</v>
      </c>
      <c r="M464" s="48" t="n">
        <v>0</v>
      </c>
      <c r="N464" s="48" t="n">
        <v>0</v>
      </c>
      <c r="O464" s="48" t="n">
        <v>0</v>
      </c>
      <c r="P464" s="48" t="n">
        <v>0</v>
      </c>
      <c r="Q464" s="48" t="n">
        <v>0</v>
      </c>
      <c r="R464" s="48" t="n">
        <v>0</v>
      </c>
      <c r="S464" s="48" t="n">
        <v>0</v>
      </c>
      <c r="T464" s="48" t="n">
        <v>0</v>
      </c>
      <c r="U464" s="48" t="n">
        <v>0</v>
      </c>
      <c r="V464" s="48" t="n">
        <v>0</v>
      </c>
      <c r="W464" s="48" t="n">
        <v>0</v>
      </c>
      <c r="X464" s="48" t="n">
        <v>0</v>
      </c>
      <c r="Y464" s="48" t="n">
        <v>0</v>
      </c>
      <c r="Z464" s="48" t="n">
        <v>21</v>
      </c>
      <c r="AA464" s="48" t="n">
        <v>21</v>
      </c>
      <c r="AB464" s="48" t="n">
        <v>19</v>
      </c>
      <c r="AC464" s="48" t="n">
        <v>13</v>
      </c>
      <c r="AD464" s="48" t="n">
        <v>50</v>
      </c>
      <c r="AE464" s="48" t="n">
        <v>18</v>
      </c>
      <c r="AF464" s="48" t="n">
        <v>7</v>
      </c>
      <c r="AG464" s="48" t="n">
        <v>6</v>
      </c>
      <c r="AH464" s="48" t="n">
        <v>5</v>
      </c>
      <c r="AI464" s="48" t="n">
        <v>0</v>
      </c>
      <c r="AJ464" s="48" t="n">
        <v>2</v>
      </c>
      <c r="AK464" s="48" t="n">
        <v>0</v>
      </c>
      <c r="AL464" s="48" t="n">
        <v>4</v>
      </c>
      <c r="AM464" s="48" t="n">
        <v>14</v>
      </c>
      <c r="AN464" s="48" t="n">
        <v>19</v>
      </c>
      <c r="AO464" s="48" t="n">
        <v>12</v>
      </c>
      <c r="AP464" s="48" t="n">
        <v>70</v>
      </c>
      <c r="AQ464" s="48" t="n">
        <v>7</v>
      </c>
      <c r="AR464" s="48" t="n">
        <v>5</v>
      </c>
      <c r="AS464" s="48" t="n">
        <v>7</v>
      </c>
      <c r="AT464" s="48" t="n">
        <v>19</v>
      </c>
      <c r="AU464" s="48" t="n">
        <v>21</v>
      </c>
      <c r="AV464" s="48" t="n">
        <v>8</v>
      </c>
      <c r="AW464" s="48" t="n">
        <v>89</v>
      </c>
      <c r="AX464" s="48" t="n">
        <v>139</v>
      </c>
      <c r="AY464" s="48" t="n">
        <v>27</v>
      </c>
      <c r="AZ464" s="48" t="n">
        <v>127</v>
      </c>
      <c r="BA464" s="48" t="n">
        <v>77</v>
      </c>
      <c r="BB464" s="48" t="n">
        <v>129</v>
      </c>
      <c r="BC464" s="48" t="n">
        <v>12</v>
      </c>
      <c r="BD464" s="48" t="n">
        <v>13</v>
      </c>
      <c r="BE464" s="48" t="n">
        <v>55</v>
      </c>
      <c r="BF464" s="48" t="n">
        <v>15</v>
      </c>
      <c r="BG464" s="49" t="n">
        <v>5.75</v>
      </c>
    </row>
    <row r="465" customFormat="false" ht="15" hidden="false" customHeight="false" outlineLevel="0" collapsed="false">
      <c r="A465" s="43" t="s">
        <v>1166</v>
      </c>
      <c r="B465" s="43" t="s">
        <v>1167</v>
      </c>
      <c r="C465" s="44" t="str">
        <f aca="false">IF(A465="","",IFERROR(INDEX(Assumptions!$B$41:$B$55,MATCH(TRUE(),INDEX(ISNUMBER(SEARCH(" "&amp;Assumptions!$A$41:$A$55&amp;" "," "&amp;SUBSTITUTE(SUBSTITUTE(SUBSTITUTE(SUBSTITUTE(B465,"-"," "),","," "),"/"," "),"."," ")&amp;" ")),0),0)),"Other"))</f>
        <v>Other</v>
      </c>
      <c r="D465" s="45" t="n">
        <f aca="false">IF(A465="","",BG465*(1-Assumptions!$B$18))</f>
        <v>5.97</v>
      </c>
      <c r="E465" s="46" t="n">
        <f aca="false">IF(A465="","",INDEX(Assumptions!$B$23:$B$26,MOD(VALUE(LEFT(A465,5)),4)+1))</f>
        <v>2</v>
      </c>
      <c r="F465" s="47" t="n">
        <v>398</v>
      </c>
      <c r="G465" s="48" t="n">
        <v>1</v>
      </c>
      <c r="H465" s="48" t="n">
        <v>15</v>
      </c>
      <c r="I465" s="48" t="n">
        <v>0</v>
      </c>
      <c r="J465" s="48" t="n">
        <v>0</v>
      </c>
      <c r="K465" s="48" t="n">
        <v>5</v>
      </c>
      <c r="L465" s="48" t="n">
        <v>30</v>
      </c>
      <c r="M465" s="48" t="n">
        <v>10</v>
      </c>
      <c r="N465" s="48" t="n">
        <v>8</v>
      </c>
      <c r="O465" s="48" t="n">
        <v>11</v>
      </c>
      <c r="P465" s="48" t="n">
        <v>5</v>
      </c>
      <c r="Q465" s="48" t="n">
        <v>20</v>
      </c>
      <c r="R465" s="48" t="n">
        <v>21</v>
      </c>
      <c r="S465" s="48" t="n">
        <v>2</v>
      </c>
      <c r="T465" s="48" t="n">
        <v>0</v>
      </c>
      <c r="U465" s="48" t="n">
        <v>11</v>
      </c>
      <c r="V465" s="48" t="n">
        <v>4</v>
      </c>
      <c r="W465" s="48" t="n">
        <v>7</v>
      </c>
      <c r="X465" s="48" t="n">
        <v>10</v>
      </c>
      <c r="Y465" s="48" t="n">
        <v>9</v>
      </c>
      <c r="Z465" s="48" t="n">
        <v>16</v>
      </c>
      <c r="AA465" s="48" t="n">
        <v>3</v>
      </c>
      <c r="AB465" s="48" t="n">
        <v>18</v>
      </c>
      <c r="AC465" s="48" t="n">
        <v>19</v>
      </c>
      <c r="AD465" s="48" t="n">
        <v>18</v>
      </c>
      <c r="AE465" s="48" t="n">
        <v>8</v>
      </c>
      <c r="AF465" s="48" t="n">
        <v>30</v>
      </c>
      <c r="AG465" s="48" t="n">
        <v>2</v>
      </c>
      <c r="AH465" s="48" t="n">
        <v>16</v>
      </c>
      <c r="AI465" s="48" t="n">
        <v>2</v>
      </c>
      <c r="AJ465" s="48" t="n">
        <v>9</v>
      </c>
      <c r="AK465" s="48" t="n">
        <v>5</v>
      </c>
      <c r="AL465" s="48" t="n">
        <v>17</v>
      </c>
      <c r="AM465" s="48" t="n">
        <v>9</v>
      </c>
      <c r="AN465" s="48" t="n">
        <v>8</v>
      </c>
      <c r="AO465" s="48" t="n">
        <v>1</v>
      </c>
      <c r="AP465" s="48" t="n">
        <v>3</v>
      </c>
      <c r="AQ465" s="48" t="n">
        <v>20</v>
      </c>
      <c r="AR465" s="48" t="n">
        <v>2</v>
      </c>
      <c r="AS465" s="48" t="n">
        <v>14</v>
      </c>
      <c r="AT465" s="48" t="n">
        <v>1</v>
      </c>
      <c r="AU465" s="48" t="n">
        <v>2</v>
      </c>
      <c r="AV465" s="48" t="n">
        <v>7</v>
      </c>
      <c r="AW465" s="48" t="n">
        <v>5</v>
      </c>
      <c r="AX465" s="48" t="n">
        <v>17</v>
      </c>
      <c r="AY465" s="48" t="n">
        <v>1</v>
      </c>
      <c r="AZ465" s="48" t="n">
        <v>7</v>
      </c>
      <c r="BA465" s="48" t="n">
        <v>3</v>
      </c>
      <c r="BB465" s="48" t="n">
        <v>9</v>
      </c>
      <c r="BC465" s="48" t="n">
        <v>41</v>
      </c>
      <c r="BD465" s="48" t="n">
        <v>12</v>
      </c>
      <c r="BE465" s="48" t="n">
        <v>16</v>
      </c>
      <c r="BF465" s="48" t="n">
        <v>8</v>
      </c>
      <c r="BG465" s="49" t="n">
        <v>9.95</v>
      </c>
    </row>
    <row r="466" customFormat="false" ht="15" hidden="false" customHeight="false" outlineLevel="0" collapsed="false">
      <c r="A466" s="43" t="s">
        <v>1168</v>
      </c>
      <c r="B466" s="43" t="s">
        <v>1169</v>
      </c>
      <c r="C466" s="44" t="str">
        <f aca="false">IF(A466="","",IFERROR(INDEX(Assumptions!$B$41:$B$55,MATCH(TRUE(),INDEX(ISNUMBER(SEARCH(" "&amp;Assumptions!$A$41:$A$55&amp;" "," "&amp;SUBSTITUTE(SUBSTITUTE(SUBSTITUTE(SUBSTITUTE(B466,"-"," "),","," "),"/"," "),"."," ")&amp;" ")),0),0)),"Other"))</f>
        <v>Other</v>
      </c>
      <c r="D466" s="45" t="n">
        <f aca="false">IF(A466="","",BG466*(1-Assumptions!$B$18))</f>
        <v>4.95</v>
      </c>
      <c r="E466" s="46" t="n">
        <f aca="false">IF(A466="","",INDEX(Assumptions!$B$23:$B$26,MOD(VALUE(LEFT(A466,5)),4)+1))</f>
        <v>4</v>
      </c>
      <c r="F466" s="47" t="n">
        <v>129</v>
      </c>
      <c r="G466" s="48" t="n">
        <v>15</v>
      </c>
      <c r="H466" s="48" t="n">
        <v>17</v>
      </c>
      <c r="I466" s="48" t="n">
        <v>3</v>
      </c>
      <c r="J466" s="48" t="n">
        <v>0</v>
      </c>
      <c r="K466" s="48" t="n">
        <v>0</v>
      </c>
      <c r="L466" s="48" t="n">
        <v>1</v>
      </c>
      <c r="M466" s="48" t="n">
        <v>0</v>
      </c>
      <c r="N466" s="48" t="n">
        <v>0</v>
      </c>
      <c r="O466" s="48" t="n">
        <v>0</v>
      </c>
      <c r="P466" s="48" t="n">
        <v>0</v>
      </c>
      <c r="Q466" s="48" t="n">
        <v>0</v>
      </c>
      <c r="R466" s="48" t="n">
        <v>0</v>
      </c>
      <c r="S466" s="48" t="n">
        <v>0</v>
      </c>
      <c r="T466" s="48" t="n">
        <v>0</v>
      </c>
      <c r="U466" s="48" t="n">
        <v>0</v>
      </c>
      <c r="V466" s="48" t="n">
        <v>0</v>
      </c>
      <c r="W466" s="48" t="n">
        <v>0</v>
      </c>
      <c r="X466" s="48" t="n">
        <v>0</v>
      </c>
      <c r="Y466" s="48" t="n">
        <v>0</v>
      </c>
      <c r="Z466" s="48" t="n">
        <v>1</v>
      </c>
      <c r="AA466" s="48" t="n">
        <v>0</v>
      </c>
      <c r="AB466" s="48" t="n">
        <v>0</v>
      </c>
      <c r="AC466" s="48" t="n">
        <v>0</v>
      </c>
      <c r="AD466" s="48" t="n">
        <v>0</v>
      </c>
      <c r="AE466" s="48" t="n">
        <v>0</v>
      </c>
      <c r="AF466" s="48" t="n">
        <v>0</v>
      </c>
      <c r="AG466" s="48" t="n">
        <v>1</v>
      </c>
      <c r="AH466" s="48" t="n">
        <v>0</v>
      </c>
      <c r="AI466" s="48" t="n">
        <v>0</v>
      </c>
      <c r="AJ466" s="48" t="n">
        <v>0</v>
      </c>
      <c r="AK466" s="48" t="n">
        <v>7</v>
      </c>
      <c r="AL466" s="48" t="n">
        <v>0</v>
      </c>
      <c r="AM466" s="48" t="n">
        <v>10</v>
      </c>
      <c r="AN466" s="48" t="n">
        <v>1</v>
      </c>
      <c r="AO466" s="48" t="n">
        <v>1</v>
      </c>
      <c r="AP466" s="48" t="n">
        <v>2</v>
      </c>
      <c r="AQ466" s="48" t="n">
        <v>36</v>
      </c>
      <c r="AR466" s="48" t="n">
        <v>20</v>
      </c>
      <c r="AS466" s="48" t="n">
        <v>2</v>
      </c>
      <c r="AT466" s="48" t="n">
        <v>20</v>
      </c>
      <c r="AU466" s="48" t="n">
        <v>229</v>
      </c>
      <c r="AV466" s="48" t="n">
        <v>21</v>
      </c>
      <c r="AW466" s="48" t="n">
        <v>37</v>
      </c>
      <c r="AX466" s="48" t="n">
        <v>59</v>
      </c>
      <c r="AY466" s="48" t="n">
        <v>35</v>
      </c>
      <c r="AZ466" s="48" t="n">
        <v>21</v>
      </c>
      <c r="BA466" s="48" t="n">
        <v>44</v>
      </c>
      <c r="BB466" s="48" t="n">
        <v>21</v>
      </c>
      <c r="BC466" s="48" t="n">
        <v>10</v>
      </c>
      <c r="BD466" s="48" t="n">
        <v>17</v>
      </c>
      <c r="BE466" s="48" t="n">
        <v>38</v>
      </c>
      <c r="BF466" s="48" t="n">
        <v>4</v>
      </c>
      <c r="BG466" s="49" t="n">
        <v>8.25</v>
      </c>
    </row>
    <row r="467" customFormat="false" ht="15" hidden="false" customHeight="false" outlineLevel="0" collapsed="false">
      <c r="A467" s="43" t="s">
        <v>1170</v>
      </c>
      <c r="B467" s="43" t="s">
        <v>1171</v>
      </c>
      <c r="C467" s="44" t="str">
        <f aca="false">IF(A467="","",IFERROR(INDEX(Assumptions!$B$41:$B$55,MATCH(TRUE(),INDEX(ISNUMBER(SEARCH(" "&amp;Assumptions!$A$41:$A$55&amp;" "," "&amp;SUBSTITUTE(SUBSTITUTE(SUBSTITUTE(SUBSTITUTE(B467,"-"," "),","," "),"/"," "),"."," ")&amp;" ")),0),0)),"Other"))</f>
        <v>Other</v>
      </c>
      <c r="D467" s="45" t="n">
        <f aca="false">IF(A467="","",BG467*(1-Assumptions!$B$18))</f>
        <v>1.248</v>
      </c>
      <c r="E467" s="46" t="n">
        <f aca="false">IF(A467="","",INDEX(Assumptions!$B$23:$B$26,MOD(VALUE(LEFT(A467,5)),4)+1))</f>
        <v>4</v>
      </c>
      <c r="F467" s="47" t="n">
        <v>741</v>
      </c>
      <c r="G467" s="48" t="n">
        <v>0</v>
      </c>
      <c r="H467" s="48" t="n">
        <v>0</v>
      </c>
      <c r="I467" s="48" t="n">
        <v>0</v>
      </c>
      <c r="J467" s="48" t="n">
        <v>0</v>
      </c>
      <c r="K467" s="48" t="n">
        <v>0</v>
      </c>
      <c r="L467" s="48" t="n">
        <v>0</v>
      </c>
      <c r="M467" s="48" t="n">
        <v>0</v>
      </c>
      <c r="N467" s="48" t="n">
        <v>0</v>
      </c>
      <c r="O467" s="48" t="n">
        <v>0</v>
      </c>
      <c r="P467" s="48" t="n">
        <v>0</v>
      </c>
      <c r="Q467" s="48" t="n">
        <v>0</v>
      </c>
      <c r="R467" s="48" t="n">
        <v>0</v>
      </c>
      <c r="S467" s="48" t="n">
        <v>0</v>
      </c>
      <c r="T467" s="48" t="n">
        <v>0</v>
      </c>
      <c r="U467" s="48" t="n">
        <v>0</v>
      </c>
      <c r="V467" s="48" t="n">
        <v>0</v>
      </c>
      <c r="W467" s="48" t="n">
        <v>1</v>
      </c>
      <c r="X467" s="48" t="n">
        <v>0</v>
      </c>
      <c r="Y467" s="48" t="n">
        <v>0</v>
      </c>
      <c r="Z467" s="48" t="n">
        <v>3</v>
      </c>
      <c r="AA467" s="48" t="n">
        <v>0</v>
      </c>
      <c r="AB467" s="48" t="n">
        <v>0</v>
      </c>
      <c r="AC467" s="48" t="n">
        <v>0</v>
      </c>
      <c r="AD467" s="48" t="n">
        <v>12</v>
      </c>
      <c r="AE467" s="48" t="n">
        <v>0</v>
      </c>
      <c r="AF467" s="48" t="n">
        <v>2</v>
      </c>
      <c r="AG467" s="48" t="n">
        <v>0</v>
      </c>
      <c r="AH467" s="48" t="n">
        <v>0</v>
      </c>
      <c r="AI467" s="48" t="n">
        <v>1</v>
      </c>
      <c r="AJ467" s="48" t="n">
        <v>0</v>
      </c>
      <c r="AK467" s="48" t="n">
        <v>13</v>
      </c>
      <c r="AL467" s="48" t="n">
        <v>12</v>
      </c>
      <c r="AM467" s="48" t="n">
        <v>0</v>
      </c>
      <c r="AN467" s="48" t="n">
        <v>244</v>
      </c>
      <c r="AO467" s="48" t="n">
        <v>277</v>
      </c>
      <c r="AP467" s="48" t="n">
        <v>0</v>
      </c>
      <c r="AQ467" s="48" t="n">
        <v>0</v>
      </c>
      <c r="AR467" s="48" t="n">
        <v>2</v>
      </c>
      <c r="AS467" s="48" t="n">
        <v>16</v>
      </c>
      <c r="AT467" s="48" t="n">
        <v>24</v>
      </c>
      <c r="AU467" s="48" t="n">
        <v>250</v>
      </c>
      <c r="AV467" s="48" t="n">
        <v>139</v>
      </c>
      <c r="AW467" s="48" t="n">
        <v>27</v>
      </c>
      <c r="AX467" s="48" t="n">
        <v>211</v>
      </c>
      <c r="AY467" s="48" t="n">
        <v>121</v>
      </c>
      <c r="AZ467" s="48" t="n">
        <v>328</v>
      </c>
      <c r="BA467" s="48" t="n">
        <v>80</v>
      </c>
      <c r="BB467" s="48" t="n">
        <v>378</v>
      </c>
      <c r="BC467" s="48" t="n">
        <v>71</v>
      </c>
      <c r="BD467" s="48" t="n">
        <v>169</v>
      </c>
      <c r="BE467" s="48" t="n">
        <v>64</v>
      </c>
      <c r="BF467" s="48" t="n">
        <v>124</v>
      </c>
      <c r="BG467" s="49" t="n">
        <v>2.08</v>
      </c>
    </row>
    <row r="468" customFormat="false" ht="15" hidden="false" customHeight="false" outlineLevel="0" collapsed="false">
      <c r="A468" s="43" t="s">
        <v>1172</v>
      </c>
      <c r="B468" s="43" t="s">
        <v>1173</v>
      </c>
      <c r="C468" s="44" t="str">
        <f aca="false">IF(A468="","",IFERROR(INDEX(Assumptions!$B$41:$B$55,MATCH(TRUE(),INDEX(ISNUMBER(SEARCH(" "&amp;Assumptions!$A$41:$A$55&amp;" "," "&amp;SUBSTITUTE(SUBSTITUTE(SUBSTITUTE(SUBSTITUTE(B468,"-"," "),","," "),"/"," "),"."," ")&amp;" ")),0),0)),"Other"))</f>
        <v>Other</v>
      </c>
      <c r="D468" s="45" t="n">
        <f aca="false">IF(A468="","",BG468*(1-Assumptions!$B$18))</f>
        <v>1.26</v>
      </c>
      <c r="E468" s="46" t="n">
        <f aca="false">IF(A468="","",INDEX(Assumptions!$B$23:$B$26,MOD(VALUE(LEFT(A468,5)),4)+1))</f>
        <v>2</v>
      </c>
      <c r="F468" s="47" t="n">
        <v>333</v>
      </c>
      <c r="G468" s="48" t="n">
        <v>39</v>
      </c>
      <c r="H468" s="48" t="n">
        <v>42</v>
      </c>
      <c r="I468" s="48" t="n">
        <v>1</v>
      </c>
      <c r="J468" s="48" t="n">
        <v>0</v>
      </c>
      <c r="K468" s="48" t="n">
        <v>24</v>
      </c>
      <c r="L468" s="48" t="n">
        <v>44</v>
      </c>
      <c r="M468" s="48" t="n">
        <v>228</v>
      </c>
      <c r="N468" s="48" t="n">
        <v>27</v>
      </c>
      <c r="O468" s="48" t="n">
        <v>19</v>
      </c>
      <c r="P468" s="48" t="n">
        <v>22</v>
      </c>
      <c r="Q468" s="48" t="n">
        <v>172</v>
      </c>
      <c r="R468" s="48" t="n">
        <v>201</v>
      </c>
      <c r="S468" s="48" t="n">
        <v>27</v>
      </c>
      <c r="T468" s="48" t="n">
        <v>182</v>
      </c>
      <c r="U468" s="48" t="n">
        <v>19</v>
      </c>
      <c r="V468" s="48" t="n">
        <v>22</v>
      </c>
      <c r="W468" s="48" t="n">
        <v>177</v>
      </c>
      <c r="X468" s="48" t="n">
        <v>4</v>
      </c>
      <c r="Y468" s="48" t="n">
        <v>30</v>
      </c>
      <c r="Z468" s="48" t="n">
        <v>25</v>
      </c>
      <c r="AA468" s="48" t="n">
        <v>12</v>
      </c>
      <c r="AB468" s="48" t="n">
        <v>26</v>
      </c>
      <c r="AC468" s="48" t="n">
        <v>8</v>
      </c>
      <c r="AD468" s="48" t="n">
        <v>25</v>
      </c>
      <c r="AE468" s="48" t="n">
        <v>7</v>
      </c>
      <c r="AF468" s="48" t="n">
        <v>12</v>
      </c>
      <c r="AG468" s="48" t="n">
        <v>19</v>
      </c>
      <c r="AH468" s="48" t="n">
        <v>6</v>
      </c>
      <c r="AI468" s="48" t="n">
        <v>15</v>
      </c>
      <c r="AJ468" s="48" t="n">
        <v>9</v>
      </c>
      <c r="AK468" s="48" t="n">
        <v>16</v>
      </c>
      <c r="AL468" s="48" t="n">
        <v>4</v>
      </c>
      <c r="AM468" s="48" t="n">
        <v>10</v>
      </c>
      <c r="AN468" s="48" t="n">
        <v>159</v>
      </c>
      <c r="AO468" s="48" t="n">
        <v>39</v>
      </c>
      <c r="AP468" s="48" t="n">
        <v>14</v>
      </c>
      <c r="AQ468" s="48" t="n">
        <v>36</v>
      </c>
      <c r="AR468" s="48" t="n">
        <v>41</v>
      </c>
      <c r="AS468" s="48" t="n">
        <v>16</v>
      </c>
      <c r="AT468" s="48" t="n">
        <v>19</v>
      </c>
      <c r="AU468" s="48" t="n">
        <v>20</v>
      </c>
      <c r="AV468" s="48" t="n">
        <v>180</v>
      </c>
      <c r="AW468" s="48" t="n">
        <v>21</v>
      </c>
      <c r="AX468" s="48" t="n">
        <v>51</v>
      </c>
      <c r="AY468" s="48" t="n">
        <v>30</v>
      </c>
      <c r="AZ468" s="48" t="n">
        <v>29</v>
      </c>
      <c r="BA468" s="48" t="n">
        <v>51</v>
      </c>
      <c r="BB468" s="48" t="n">
        <v>74</v>
      </c>
      <c r="BC468" s="48" t="n">
        <v>100</v>
      </c>
      <c r="BD468" s="48" t="n">
        <v>70</v>
      </c>
      <c r="BE468" s="48" t="n">
        <v>21</v>
      </c>
      <c r="BF468" s="48" t="n">
        <v>28</v>
      </c>
      <c r="BG468" s="49" t="n">
        <v>2.1</v>
      </c>
    </row>
    <row r="469" customFormat="false" ht="15" hidden="false" customHeight="false" outlineLevel="0" collapsed="false">
      <c r="A469" s="43" t="s">
        <v>1174</v>
      </c>
      <c r="B469" s="43" t="s">
        <v>1175</v>
      </c>
      <c r="C469" s="44" t="str">
        <f aca="false">IF(A469="","",IFERROR(INDEX(Assumptions!$B$41:$B$55,MATCH(TRUE(),INDEX(ISNUMBER(SEARCH(" "&amp;Assumptions!$A$41:$A$55&amp;" "," "&amp;SUBSTITUTE(SUBSTITUTE(SUBSTITUTE(SUBSTITUTE(B469,"-"," "),","," "),"/"," "),"."," ")&amp;" ")),0),0)),"Other"))</f>
        <v>Other</v>
      </c>
      <c r="D469" s="45" t="n">
        <f aca="false">IF(A469="","",BG469*(1-Assumptions!$B$18))</f>
        <v>0.99</v>
      </c>
      <c r="E469" s="46" t="n">
        <f aca="false">IF(A469="","",INDEX(Assumptions!$B$23:$B$26,MOD(VALUE(LEFT(A469,5)),4)+1))</f>
        <v>2</v>
      </c>
      <c r="F469" s="47" t="n">
        <v>237</v>
      </c>
      <c r="G469" s="48" t="n">
        <v>91</v>
      </c>
      <c r="H469" s="48" t="n">
        <v>70</v>
      </c>
      <c r="I469" s="48" t="n">
        <v>0</v>
      </c>
      <c r="J469" s="48" t="n">
        <v>0</v>
      </c>
      <c r="K469" s="48" t="n">
        <v>14</v>
      </c>
      <c r="L469" s="48" t="n">
        <v>39</v>
      </c>
      <c r="M469" s="48" t="n">
        <v>30</v>
      </c>
      <c r="N469" s="48" t="n">
        <v>95</v>
      </c>
      <c r="O469" s="48" t="n">
        <v>114</v>
      </c>
      <c r="P469" s="48" t="n">
        <v>56</v>
      </c>
      <c r="Q469" s="48" t="n">
        <v>54</v>
      </c>
      <c r="R469" s="48" t="n">
        <v>63</v>
      </c>
      <c r="S469" s="48" t="n">
        <v>55</v>
      </c>
      <c r="T469" s="48" t="n">
        <v>45</v>
      </c>
      <c r="U469" s="48" t="n">
        <v>71</v>
      </c>
      <c r="V469" s="48" t="n">
        <v>39</v>
      </c>
      <c r="W469" s="48" t="n">
        <v>88</v>
      </c>
      <c r="X469" s="48" t="n">
        <v>101</v>
      </c>
      <c r="Y469" s="48" t="n">
        <v>58</v>
      </c>
      <c r="Z469" s="48" t="n">
        <v>43</v>
      </c>
      <c r="AA469" s="48" t="n">
        <v>78</v>
      </c>
      <c r="AB469" s="48" t="n">
        <v>53</v>
      </c>
      <c r="AC469" s="48" t="n">
        <v>255</v>
      </c>
      <c r="AD469" s="48" t="n">
        <v>63</v>
      </c>
      <c r="AE469" s="48" t="n">
        <v>39</v>
      </c>
      <c r="AF469" s="48" t="n">
        <v>105</v>
      </c>
      <c r="AG469" s="48" t="n">
        <v>44</v>
      </c>
      <c r="AH469" s="48" t="n">
        <v>31</v>
      </c>
      <c r="AI469" s="48" t="n">
        <v>36</v>
      </c>
      <c r="AJ469" s="48" t="n">
        <v>60</v>
      </c>
      <c r="AK469" s="48" t="n">
        <v>0</v>
      </c>
      <c r="AL469" s="48" t="n">
        <v>46</v>
      </c>
      <c r="AM469" s="48" t="n">
        <v>36</v>
      </c>
      <c r="AN469" s="48" t="n">
        <v>290</v>
      </c>
      <c r="AO469" s="48" t="n">
        <v>24</v>
      </c>
      <c r="AP469" s="48" t="n">
        <v>25</v>
      </c>
      <c r="AQ469" s="48" t="n">
        <v>54</v>
      </c>
      <c r="AR469" s="48" t="n">
        <v>91</v>
      </c>
      <c r="AS469" s="48" t="n">
        <v>50</v>
      </c>
      <c r="AT469" s="48" t="n">
        <v>79</v>
      </c>
      <c r="AU469" s="48" t="n">
        <v>32</v>
      </c>
      <c r="AV469" s="48" t="n">
        <v>33</v>
      </c>
      <c r="AW469" s="48" t="n">
        <v>56</v>
      </c>
      <c r="AX469" s="48" t="n">
        <v>58</v>
      </c>
      <c r="AY469" s="48" t="n">
        <v>32</v>
      </c>
      <c r="AZ469" s="48" t="n">
        <v>12</v>
      </c>
      <c r="BA469" s="48" t="n">
        <v>24</v>
      </c>
      <c r="BB469" s="48" t="n">
        <v>33</v>
      </c>
      <c r="BC469" s="48" t="n">
        <v>18</v>
      </c>
      <c r="BD469" s="48" t="n">
        <v>13</v>
      </c>
      <c r="BE469" s="48" t="n">
        <v>125</v>
      </c>
      <c r="BF469" s="48" t="n">
        <v>57</v>
      </c>
      <c r="BG469" s="49" t="n">
        <v>1.65</v>
      </c>
    </row>
    <row r="470" customFormat="false" ht="15" hidden="false" customHeight="false" outlineLevel="0" collapsed="false">
      <c r="A470" s="43" t="s">
        <v>1176</v>
      </c>
      <c r="B470" s="43" t="s">
        <v>1177</v>
      </c>
      <c r="C470" s="44" t="str">
        <f aca="false">IF(A470="","",IFERROR(INDEX(Assumptions!$B$41:$B$55,MATCH(TRUE(),INDEX(ISNUMBER(SEARCH(" "&amp;Assumptions!$A$41:$A$55&amp;" "," "&amp;SUBSTITUTE(SUBSTITUTE(SUBSTITUTE(SUBSTITUTE(B470,"-"," "),","," "),"/"," "),"."," ")&amp;" ")),0),0)),"Other"))</f>
        <v>Other</v>
      </c>
      <c r="D470" s="45" t="n">
        <f aca="false">IF(A470="","",BG470*(1-Assumptions!$B$18))</f>
        <v>2.25</v>
      </c>
      <c r="E470" s="46" t="n">
        <f aca="false">IF(A470="","",INDEX(Assumptions!$B$23:$B$26,MOD(VALUE(LEFT(A470,5)),4)+1))</f>
        <v>6</v>
      </c>
      <c r="F470" s="47" t="n">
        <v>297</v>
      </c>
      <c r="G470" s="48" t="n">
        <v>0</v>
      </c>
      <c r="H470" s="48" t="n">
        <v>0</v>
      </c>
      <c r="I470" s="48" t="n">
        <v>0</v>
      </c>
      <c r="J470" s="48" t="n">
        <v>0</v>
      </c>
      <c r="K470" s="48" t="n">
        <v>0</v>
      </c>
      <c r="L470" s="48" t="n">
        <v>0</v>
      </c>
      <c r="M470" s="48" t="n">
        <v>0</v>
      </c>
      <c r="N470" s="48" t="n">
        <v>0</v>
      </c>
      <c r="O470" s="48" t="n">
        <v>0</v>
      </c>
      <c r="P470" s="48" t="n">
        <v>0</v>
      </c>
      <c r="Q470" s="48" t="n">
        <v>0</v>
      </c>
      <c r="R470" s="48" t="n">
        <v>0</v>
      </c>
      <c r="S470" s="48" t="n">
        <v>0</v>
      </c>
      <c r="T470" s="48" t="n">
        <v>0</v>
      </c>
      <c r="U470" s="48" t="n">
        <v>0</v>
      </c>
      <c r="V470" s="48" t="n">
        <v>0</v>
      </c>
      <c r="W470" s="48" t="n">
        <v>0</v>
      </c>
      <c r="X470" s="48" t="n">
        <v>0</v>
      </c>
      <c r="Y470" s="48" t="n">
        <v>0</v>
      </c>
      <c r="Z470" s="48" t="n">
        <v>0</v>
      </c>
      <c r="AA470" s="48" t="n">
        <v>4</v>
      </c>
      <c r="AB470" s="48" t="n">
        <v>64</v>
      </c>
      <c r="AC470" s="48" t="n">
        <v>69</v>
      </c>
      <c r="AD470" s="48" t="n">
        <v>89</v>
      </c>
      <c r="AE470" s="48" t="n">
        <v>110</v>
      </c>
      <c r="AF470" s="48" t="n">
        <v>43</v>
      </c>
      <c r="AG470" s="48" t="n">
        <v>32</v>
      </c>
      <c r="AH470" s="48" t="n">
        <v>39</v>
      </c>
      <c r="AI470" s="48" t="n">
        <v>2</v>
      </c>
      <c r="AJ470" s="48" t="n">
        <v>17</v>
      </c>
      <c r="AK470" s="48" t="n">
        <v>23</v>
      </c>
      <c r="AL470" s="48" t="n">
        <v>21</v>
      </c>
      <c r="AM470" s="48" t="n">
        <v>76</v>
      </c>
      <c r="AN470" s="48" t="n">
        <v>13</v>
      </c>
      <c r="AO470" s="48" t="n">
        <v>7</v>
      </c>
      <c r="AP470" s="48" t="n">
        <v>39</v>
      </c>
      <c r="AQ470" s="48" t="n">
        <v>56</v>
      </c>
      <c r="AR470" s="48" t="n">
        <v>0</v>
      </c>
      <c r="AS470" s="48" t="n">
        <v>11</v>
      </c>
      <c r="AT470" s="48" t="n">
        <v>30</v>
      </c>
      <c r="AU470" s="48" t="n">
        <v>56</v>
      </c>
      <c r="AV470" s="48" t="n">
        <v>55</v>
      </c>
      <c r="AW470" s="48" t="n">
        <v>172</v>
      </c>
      <c r="AX470" s="48" t="n">
        <v>19</v>
      </c>
      <c r="AY470" s="48" t="n">
        <v>52</v>
      </c>
      <c r="AZ470" s="48" t="n">
        <v>81</v>
      </c>
      <c r="BA470" s="48" t="n">
        <v>11</v>
      </c>
      <c r="BB470" s="48" t="n">
        <v>71</v>
      </c>
      <c r="BC470" s="48" t="n">
        <v>22</v>
      </c>
      <c r="BD470" s="48" t="n">
        <v>35</v>
      </c>
      <c r="BE470" s="48" t="n">
        <v>20</v>
      </c>
      <c r="BF470" s="48" t="n">
        <v>67</v>
      </c>
      <c r="BG470" s="49" t="n">
        <v>3.75</v>
      </c>
    </row>
    <row r="471" customFormat="false" ht="15" hidden="false" customHeight="false" outlineLevel="0" collapsed="false">
      <c r="A471" s="43" t="s">
        <v>1178</v>
      </c>
      <c r="B471" s="43" t="s">
        <v>1179</v>
      </c>
      <c r="C471" s="44" t="str">
        <f aca="false">IF(A471="","",IFERROR(INDEX(Assumptions!$B$41:$B$55,MATCH(TRUE(),INDEX(ISNUMBER(SEARCH(" "&amp;Assumptions!$A$41:$A$55&amp;" "," "&amp;SUBSTITUTE(SUBSTITUTE(SUBSTITUTE(SUBSTITUTE(B471,"-"," "),","," "),"/"," "),"."," ")&amp;" ")),0),0)),"Other"))</f>
        <v>Other</v>
      </c>
      <c r="D471" s="45" t="n">
        <f aca="false">IF(A471="","",BG471*(1-Assumptions!$B$18))</f>
        <v>0.75</v>
      </c>
      <c r="E471" s="46" t="n">
        <f aca="false">IF(A471="","",INDEX(Assumptions!$B$23:$B$26,MOD(VALUE(LEFT(A471,5)),4)+1))</f>
        <v>2</v>
      </c>
      <c r="F471" s="47" t="n">
        <v>290</v>
      </c>
      <c r="G471" s="48" t="n">
        <v>39</v>
      </c>
      <c r="H471" s="48" t="n">
        <v>204</v>
      </c>
      <c r="I471" s="48" t="n">
        <v>15</v>
      </c>
      <c r="J471" s="48" t="n">
        <v>0</v>
      </c>
      <c r="K471" s="48" t="n">
        <v>24</v>
      </c>
      <c r="L471" s="48" t="n">
        <v>42</v>
      </c>
      <c r="M471" s="48" t="n">
        <v>138</v>
      </c>
      <c r="N471" s="48" t="n">
        <v>35</v>
      </c>
      <c r="O471" s="48" t="n">
        <v>68</v>
      </c>
      <c r="P471" s="48" t="n">
        <v>279</v>
      </c>
      <c r="Q471" s="48" t="n">
        <v>91</v>
      </c>
      <c r="R471" s="48" t="n">
        <v>211</v>
      </c>
      <c r="S471" s="48" t="n">
        <v>51</v>
      </c>
      <c r="T471" s="48" t="n">
        <v>94</v>
      </c>
      <c r="U471" s="48" t="n">
        <v>264</v>
      </c>
      <c r="V471" s="48" t="n">
        <v>12</v>
      </c>
      <c r="W471" s="48" t="n">
        <v>43</v>
      </c>
      <c r="X471" s="48" t="n">
        <v>76</v>
      </c>
      <c r="Y471" s="48" t="n">
        <v>49</v>
      </c>
      <c r="Z471" s="48" t="n">
        <v>28</v>
      </c>
      <c r="AA471" s="48" t="n">
        <v>24</v>
      </c>
      <c r="AB471" s="48" t="n">
        <v>15</v>
      </c>
      <c r="AC471" s="48" t="n">
        <v>57</v>
      </c>
      <c r="AD471" s="48" t="n">
        <v>191</v>
      </c>
      <c r="AE471" s="48" t="n">
        <v>34</v>
      </c>
      <c r="AF471" s="48" t="n">
        <v>80</v>
      </c>
      <c r="AG471" s="48" t="n">
        <v>242</v>
      </c>
      <c r="AH471" s="48" t="n">
        <v>56</v>
      </c>
      <c r="AI471" s="48" t="n">
        <v>45</v>
      </c>
      <c r="AJ471" s="48" t="n">
        <v>75</v>
      </c>
      <c r="AK471" s="48" t="n">
        <v>7</v>
      </c>
      <c r="AL471" s="48" t="n">
        <v>38</v>
      </c>
      <c r="AM471" s="48" t="n">
        <v>77</v>
      </c>
      <c r="AN471" s="48" t="n">
        <v>66</v>
      </c>
      <c r="AO471" s="48" t="n">
        <v>15</v>
      </c>
      <c r="AP471" s="48" t="n">
        <v>48</v>
      </c>
      <c r="AQ471" s="48" t="n">
        <v>50</v>
      </c>
      <c r="AR471" s="48" t="n">
        <v>12</v>
      </c>
      <c r="AS471" s="48" t="n">
        <v>91</v>
      </c>
      <c r="AT471" s="48" t="n">
        <v>108</v>
      </c>
      <c r="AU471" s="48" t="n">
        <v>36</v>
      </c>
      <c r="AV471" s="48" t="n">
        <v>62</v>
      </c>
      <c r="AW471" s="48" t="n">
        <v>40</v>
      </c>
      <c r="AX471" s="48" t="n">
        <v>74</v>
      </c>
      <c r="AY471" s="48" t="n">
        <v>54</v>
      </c>
      <c r="AZ471" s="48" t="n">
        <v>53</v>
      </c>
      <c r="BA471" s="48" t="n">
        <v>36</v>
      </c>
      <c r="BB471" s="48" t="n">
        <v>22</v>
      </c>
      <c r="BC471" s="48" t="n">
        <v>88</v>
      </c>
      <c r="BD471" s="48" t="n">
        <v>73</v>
      </c>
      <c r="BE471" s="48" t="n">
        <v>51</v>
      </c>
      <c r="BF471" s="48" t="n">
        <v>93</v>
      </c>
      <c r="BG471" s="49" t="n">
        <v>1.25</v>
      </c>
    </row>
    <row r="472" customFormat="false" ht="15" hidden="false" customHeight="false" outlineLevel="0" collapsed="false">
      <c r="A472" s="43" t="s">
        <v>1180</v>
      </c>
      <c r="B472" s="43" t="s">
        <v>1181</v>
      </c>
      <c r="C472" s="44" t="str">
        <f aca="false">IF(A472="","",IFERROR(INDEX(Assumptions!$B$41:$B$55,MATCH(TRUE(),INDEX(ISNUMBER(SEARCH(" "&amp;Assumptions!$A$41:$A$55&amp;" "," "&amp;SUBSTITUTE(SUBSTITUTE(SUBSTITUTE(SUBSTITUTE(B472,"-"," "),","," "),"/"," "),"."," ")&amp;" ")),0),0)),"Other"))</f>
        <v>Other</v>
      </c>
      <c r="D472" s="45" t="n">
        <f aca="false">IF(A472="","",BG472*(1-Assumptions!$B$18))</f>
        <v>3.57</v>
      </c>
      <c r="E472" s="46" t="n">
        <f aca="false">IF(A472="","",INDEX(Assumptions!$B$23:$B$26,MOD(VALUE(LEFT(A472,5)),4)+1))</f>
        <v>8</v>
      </c>
      <c r="F472" s="47" t="n">
        <v>52</v>
      </c>
      <c r="G472" s="48" t="n">
        <v>48</v>
      </c>
      <c r="H472" s="48" t="n">
        <v>16</v>
      </c>
      <c r="I472" s="48" t="n">
        <v>6</v>
      </c>
      <c r="J472" s="48" t="n">
        <v>0</v>
      </c>
      <c r="K472" s="48" t="n">
        <v>1</v>
      </c>
      <c r="L472" s="48" t="n">
        <v>6</v>
      </c>
      <c r="M472" s="48" t="n">
        <v>3</v>
      </c>
      <c r="N472" s="48" t="n">
        <v>15</v>
      </c>
      <c r="O472" s="48" t="n">
        <v>12</v>
      </c>
      <c r="P472" s="48" t="n">
        <v>65</v>
      </c>
      <c r="Q472" s="48" t="n">
        <v>3</v>
      </c>
      <c r="R472" s="48" t="n">
        <v>20</v>
      </c>
      <c r="S472" s="48" t="n">
        <v>10</v>
      </c>
      <c r="T472" s="48" t="n">
        <v>3</v>
      </c>
      <c r="U472" s="48" t="n">
        <v>12</v>
      </c>
      <c r="V472" s="48" t="n">
        <v>6</v>
      </c>
      <c r="W472" s="48" t="n">
        <v>15</v>
      </c>
      <c r="X472" s="48" t="n">
        <v>6</v>
      </c>
      <c r="Y472" s="48" t="n">
        <v>8</v>
      </c>
      <c r="Z472" s="48" t="n">
        <v>3</v>
      </c>
      <c r="AA472" s="48" t="n">
        <v>0</v>
      </c>
      <c r="AB472" s="48" t="n">
        <v>6</v>
      </c>
      <c r="AC472" s="48" t="n">
        <v>2</v>
      </c>
      <c r="AD472" s="48" t="n">
        <v>9</v>
      </c>
      <c r="AE472" s="48" t="n">
        <v>18</v>
      </c>
      <c r="AF472" s="48" t="n">
        <v>6</v>
      </c>
      <c r="AG472" s="48" t="n">
        <v>4</v>
      </c>
      <c r="AH472" s="48" t="n">
        <v>2</v>
      </c>
      <c r="AI472" s="48" t="n">
        <v>7</v>
      </c>
      <c r="AJ472" s="48" t="n">
        <v>3</v>
      </c>
      <c r="AK472" s="48" t="n">
        <v>10</v>
      </c>
      <c r="AL472" s="48" t="n">
        <v>9</v>
      </c>
      <c r="AM472" s="48" t="n">
        <v>3</v>
      </c>
      <c r="AN472" s="48" t="n">
        <v>31</v>
      </c>
      <c r="AO472" s="48" t="n">
        <v>10</v>
      </c>
      <c r="AP472" s="48" t="n">
        <v>74</v>
      </c>
      <c r="AQ472" s="48" t="n">
        <v>6</v>
      </c>
      <c r="AR472" s="48" t="n">
        <v>28</v>
      </c>
      <c r="AS472" s="48" t="n">
        <v>6</v>
      </c>
      <c r="AT472" s="48" t="n">
        <v>26</v>
      </c>
      <c r="AU472" s="48" t="n">
        <v>41</v>
      </c>
      <c r="AV472" s="48" t="n">
        <v>27</v>
      </c>
      <c r="AW472" s="48" t="n">
        <v>33</v>
      </c>
      <c r="AX472" s="48" t="n">
        <v>55</v>
      </c>
      <c r="AY472" s="48" t="n">
        <v>36</v>
      </c>
      <c r="AZ472" s="48" t="n">
        <v>35</v>
      </c>
      <c r="BA472" s="48" t="n">
        <v>29</v>
      </c>
      <c r="BB472" s="48" t="n">
        <v>23</v>
      </c>
      <c r="BC472" s="48" t="n">
        <v>35</v>
      </c>
      <c r="BD472" s="48" t="n">
        <v>33</v>
      </c>
      <c r="BE472" s="48" t="n">
        <v>22</v>
      </c>
      <c r="BF472" s="48" t="n">
        <v>21</v>
      </c>
      <c r="BG472" s="49" t="n">
        <v>5.95</v>
      </c>
    </row>
    <row r="473" customFormat="false" ht="15" hidden="false" customHeight="false" outlineLevel="0" collapsed="false">
      <c r="A473" s="43" t="s">
        <v>1182</v>
      </c>
      <c r="B473" s="43" t="s">
        <v>1183</v>
      </c>
      <c r="C473" s="44" t="str">
        <f aca="false">IF(A473="","",IFERROR(INDEX(Assumptions!$B$41:$B$55,MATCH(TRUE(),INDEX(ISNUMBER(SEARCH(" "&amp;Assumptions!$A$41:$A$55&amp;" "," "&amp;SUBSTITUTE(SUBSTITUTE(SUBSTITUTE(SUBSTITUTE(B473,"-"," "),","," "),"/"," "),"."," ")&amp;" ")),0),0)),"Other"))</f>
        <v>Other</v>
      </c>
      <c r="D473" s="45" t="n">
        <f aca="false">IF(A473="","",BG473*(1-Assumptions!$B$18))</f>
        <v>1.77</v>
      </c>
      <c r="E473" s="46" t="n">
        <f aca="false">IF(A473="","",INDEX(Assumptions!$B$23:$B$26,MOD(VALUE(LEFT(A473,5)),4)+1))</f>
        <v>4</v>
      </c>
      <c r="F473" s="47" t="n">
        <v>314</v>
      </c>
      <c r="G473" s="48" t="n">
        <v>41</v>
      </c>
      <c r="H473" s="48" t="n">
        <v>69</v>
      </c>
      <c r="I473" s="48" t="n">
        <v>15</v>
      </c>
      <c r="J473" s="48" t="n">
        <v>0</v>
      </c>
      <c r="K473" s="48" t="n">
        <v>11</v>
      </c>
      <c r="L473" s="48" t="n">
        <v>13</v>
      </c>
      <c r="M473" s="48" t="n">
        <v>8</v>
      </c>
      <c r="N473" s="48" t="n">
        <v>20</v>
      </c>
      <c r="O473" s="48" t="n">
        <v>43</v>
      </c>
      <c r="P473" s="48" t="n">
        <v>125</v>
      </c>
      <c r="Q473" s="48" t="n">
        <v>18</v>
      </c>
      <c r="R473" s="48" t="n">
        <v>57</v>
      </c>
      <c r="S473" s="48" t="n">
        <v>16</v>
      </c>
      <c r="T473" s="48" t="n">
        <v>32</v>
      </c>
      <c r="U473" s="48" t="n">
        <v>44</v>
      </c>
      <c r="V473" s="48" t="n">
        <v>16</v>
      </c>
      <c r="W473" s="48" t="n">
        <v>51</v>
      </c>
      <c r="X473" s="48" t="n">
        <v>20</v>
      </c>
      <c r="Y473" s="48" t="n">
        <v>92</v>
      </c>
      <c r="Z473" s="48" t="n">
        <v>19</v>
      </c>
      <c r="AA473" s="48" t="n">
        <v>36</v>
      </c>
      <c r="AB473" s="48" t="n">
        <v>30</v>
      </c>
      <c r="AC473" s="48" t="n">
        <v>31</v>
      </c>
      <c r="AD473" s="48" t="n">
        <v>146</v>
      </c>
      <c r="AE473" s="48" t="n">
        <v>6</v>
      </c>
      <c r="AF473" s="48" t="n">
        <v>2</v>
      </c>
      <c r="AG473" s="48" t="n">
        <v>18</v>
      </c>
      <c r="AH473" s="48" t="n">
        <v>5</v>
      </c>
      <c r="AI473" s="48" t="n">
        <v>21</v>
      </c>
      <c r="AJ473" s="48" t="n">
        <v>26</v>
      </c>
      <c r="AK473" s="48" t="n">
        <v>15</v>
      </c>
      <c r="AL473" s="48" t="n">
        <v>6</v>
      </c>
      <c r="AM473" s="48" t="n">
        <v>45</v>
      </c>
      <c r="AN473" s="48" t="n">
        <v>11</v>
      </c>
      <c r="AO473" s="48" t="n">
        <v>8</v>
      </c>
      <c r="AP473" s="48" t="n">
        <v>15</v>
      </c>
      <c r="AQ473" s="48" t="n">
        <v>20</v>
      </c>
      <c r="AR473" s="48" t="n">
        <v>7</v>
      </c>
      <c r="AS473" s="48" t="n">
        <v>18</v>
      </c>
      <c r="AT473" s="48" t="n">
        <v>106</v>
      </c>
      <c r="AU473" s="48" t="n">
        <v>6</v>
      </c>
      <c r="AV473" s="48" t="n">
        <v>26</v>
      </c>
      <c r="AW473" s="48" t="n">
        <v>5</v>
      </c>
      <c r="AX473" s="48" t="n">
        <v>9</v>
      </c>
      <c r="AY473" s="48" t="n">
        <v>16</v>
      </c>
      <c r="AZ473" s="48" t="n">
        <v>30</v>
      </c>
      <c r="BA473" s="48" t="n">
        <v>43</v>
      </c>
      <c r="BB473" s="48" t="n">
        <v>24</v>
      </c>
      <c r="BC473" s="48" t="n">
        <v>9</v>
      </c>
      <c r="BD473" s="48" t="n">
        <v>15</v>
      </c>
      <c r="BE473" s="48" t="n">
        <v>17</v>
      </c>
      <c r="BF473" s="48" t="n">
        <v>0</v>
      </c>
      <c r="BG473" s="49" t="n">
        <v>2.95</v>
      </c>
    </row>
    <row r="474" customFormat="false" ht="15" hidden="false" customHeight="false" outlineLevel="0" collapsed="false">
      <c r="A474" s="43" t="s">
        <v>1184</v>
      </c>
      <c r="B474" s="43" t="s">
        <v>1185</v>
      </c>
      <c r="C474" s="44" t="str">
        <f aca="false">IF(A474="","",IFERROR(INDEX(Assumptions!$B$41:$B$55,MATCH(TRUE(),INDEX(ISNUMBER(SEARCH(" "&amp;Assumptions!$A$41:$A$55&amp;" "," "&amp;SUBSTITUTE(SUBSTITUTE(SUBSTITUTE(SUBSTITUTE(B474,"-"," "),","," "),"/"," "),"."," ")&amp;" ")),0),0)),"Other"))</f>
        <v>Other</v>
      </c>
      <c r="D474" s="45" t="n">
        <f aca="false">IF(A474="","",BG474*(1-Assumptions!$B$18))</f>
        <v>0.99</v>
      </c>
      <c r="E474" s="46" t="n">
        <f aca="false">IF(A474="","",INDEX(Assumptions!$B$23:$B$26,MOD(VALUE(LEFT(A474,5)),4)+1))</f>
        <v>2</v>
      </c>
      <c r="F474" s="47" t="n">
        <v>393</v>
      </c>
      <c r="G474" s="48" t="n">
        <v>38</v>
      </c>
      <c r="H474" s="48" t="n">
        <v>54</v>
      </c>
      <c r="I474" s="48" t="n">
        <v>32</v>
      </c>
      <c r="J474" s="48" t="n">
        <v>0</v>
      </c>
      <c r="K474" s="48" t="n">
        <v>24</v>
      </c>
      <c r="L474" s="48" t="n">
        <v>38</v>
      </c>
      <c r="M474" s="48" t="n">
        <v>47</v>
      </c>
      <c r="N474" s="48" t="n">
        <v>38</v>
      </c>
      <c r="O474" s="48" t="n">
        <v>84</v>
      </c>
      <c r="P474" s="48" t="n">
        <v>18</v>
      </c>
      <c r="Q474" s="48" t="n">
        <v>50</v>
      </c>
      <c r="R474" s="48" t="n">
        <v>31</v>
      </c>
      <c r="S474" s="48" t="n">
        <v>45</v>
      </c>
      <c r="T474" s="48" t="n">
        <v>57</v>
      </c>
      <c r="U474" s="48" t="n">
        <v>86</v>
      </c>
      <c r="V474" s="48" t="n">
        <v>38</v>
      </c>
      <c r="W474" s="48" t="n">
        <v>79</v>
      </c>
      <c r="X474" s="48" t="n">
        <v>50</v>
      </c>
      <c r="Y474" s="48" t="n">
        <v>146</v>
      </c>
      <c r="Z474" s="48" t="n">
        <v>39</v>
      </c>
      <c r="AA474" s="48" t="n">
        <v>68</v>
      </c>
      <c r="AB474" s="48" t="n">
        <v>115</v>
      </c>
      <c r="AC474" s="48" t="n">
        <v>83</v>
      </c>
      <c r="AD474" s="48" t="n">
        <v>78</v>
      </c>
      <c r="AE474" s="48" t="n">
        <v>66</v>
      </c>
      <c r="AF474" s="48" t="n">
        <v>13</v>
      </c>
      <c r="AG474" s="48" t="n">
        <v>61</v>
      </c>
      <c r="AH474" s="48" t="n">
        <v>72</v>
      </c>
      <c r="AI474" s="48" t="n">
        <v>68</v>
      </c>
      <c r="AJ474" s="48" t="n">
        <v>63</v>
      </c>
      <c r="AK474" s="48" t="n">
        <v>35</v>
      </c>
      <c r="AL474" s="48" t="n">
        <v>32</v>
      </c>
      <c r="AM474" s="48" t="n">
        <v>74</v>
      </c>
      <c r="AN474" s="48" t="n">
        <v>44</v>
      </c>
      <c r="AO474" s="48" t="n">
        <v>50</v>
      </c>
      <c r="AP474" s="48" t="n">
        <v>26</v>
      </c>
      <c r="AQ474" s="48" t="n">
        <v>108</v>
      </c>
      <c r="AR474" s="48" t="n">
        <v>13</v>
      </c>
      <c r="AS474" s="48" t="n">
        <v>29</v>
      </c>
      <c r="AT474" s="48" t="n">
        <v>69</v>
      </c>
      <c r="AU474" s="48" t="n">
        <v>26</v>
      </c>
      <c r="AV474" s="48" t="n">
        <v>45</v>
      </c>
      <c r="AW474" s="48" t="n">
        <v>90</v>
      </c>
      <c r="AX474" s="48" t="n">
        <v>58</v>
      </c>
      <c r="AY474" s="48" t="n">
        <v>61</v>
      </c>
      <c r="AZ474" s="48" t="n">
        <v>73</v>
      </c>
      <c r="BA474" s="48" t="n">
        <v>47</v>
      </c>
      <c r="BB474" s="48" t="n">
        <v>22</v>
      </c>
      <c r="BC474" s="48" t="n">
        <v>59</v>
      </c>
      <c r="BD474" s="48" t="n">
        <v>156</v>
      </c>
      <c r="BE474" s="48" t="n">
        <v>33</v>
      </c>
      <c r="BF474" s="48" t="n">
        <v>86</v>
      </c>
      <c r="BG474" s="49" t="n">
        <v>1.65</v>
      </c>
    </row>
    <row r="475" customFormat="false" ht="15" hidden="false" customHeight="false" outlineLevel="0" collapsed="false">
      <c r="A475" s="43" t="s">
        <v>1186</v>
      </c>
      <c r="B475" s="43" t="s">
        <v>1187</v>
      </c>
      <c r="C475" s="44" t="str">
        <f aca="false">IF(A475="","",IFERROR(INDEX(Assumptions!$B$41:$B$55,MATCH(TRUE(),INDEX(ISNUMBER(SEARCH(" "&amp;Assumptions!$A$41:$A$55&amp;" "," "&amp;SUBSTITUTE(SUBSTITUTE(SUBSTITUTE(SUBSTITUTE(B475,"-"," "),","," "),"/"," "),"."," ")&amp;" ")),0),0)),"Other"))</f>
        <v>Kitchen</v>
      </c>
      <c r="D475" s="45" t="n">
        <f aca="false">IF(A475="","",BG475*(1-Assumptions!$B$18))</f>
        <v>1.77</v>
      </c>
      <c r="E475" s="46" t="n">
        <f aca="false">IF(A475="","",INDEX(Assumptions!$B$23:$B$26,MOD(VALUE(LEFT(A475,5)),4)+1))</f>
        <v>2</v>
      </c>
      <c r="F475" s="47" t="n">
        <v>977</v>
      </c>
      <c r="G475" s="48" t="n">
        <v>27</v>
      </c>
      <c r="H475" s="48" t="n">
        <v>165</v>
      </c>
      <c r="I475" s="48" t="n">
        <v>1</v>
      </c>
      <c r="J475" s="48" t="n">
        <v>0</v>
      </c>
      <c r="K475" s="48" t="n">
        <v>14</v>
      </c>
      <c r="L475" s="48" t="n">
        <v>37</v>
      </c>
      <c r="M475" s="48" t="n">
        <v>35</v>
      </c>
      <c r="N475" s="48" t="n">
        <v>17</v>
      </c>
      <c r="O475" s="48" t="n">
        <v>97</v>
      </c>
      <c r="P475" s="48" t="n">
        <v>4</v>
      </c>
      <c r="Q475" s="48" t="n">
        <v>6</v>
      </c>
      <c r="R475" s="48" t="n">
        <v>37</v>
      </c>
      <c r="S475" s="48" t="n">
        <v>16</v>
      </c>
      <c r="T475" s="48" t="n">
        <v>20</v>
      </c>
      <c r="U475" s="48" t="n">
        <v>48</v>
      </c>
      <c r="V475" s="48" t="n">
        <v>14</v>
      </c>
      <c r="W475" s="48" t="n">
        <v>61</v>
      </c>
      <c r="X475" s="48" t="n">
        <v>8</v>
      </c>
      <c r="Y475" s="48" t="n">
        <v>84</v>
      </c>
      <c r="Z475" s="48" t="n">
        <v>12</v>
      </c>
      <c r="AA475" s="48" t="n">
        <v>24</v>
      </c>
      <c r="AB475" s="48" t="n">
        <v>46</v>
      </c>
      <c r="AC475" s="48" t="n">
        <v>30</v>
      </c>
      <c r="AD475" s="48" t="n">
        <v>6</v>
      </c>
      <c r="AE475" s="48" t="n">
        <v>31</v>
      </c>
      <c r="AF475" s="48" t="n">
        <v>26</v>
      </c>
      <c r="AG475" s="48" t="n">
        <v>2</v>
      </c>
      <c r="AH475" s="48" t="n">
        <v>12</v>
      </c>
      <c r="AI475" s="48" t="n">
        <v>0</v>
      </c>
      <c r="AJ475" s="48" t="n">
        <v>36</v>
      </c>
      <c r="AK475" s="48" t="n">
        <v>2</v>
      </c>
      <c r="AL475" s="48" t="n">
        <v>12</v>
      </c>
      <c r="AM475" s="48" t="n">
        <v>218</v>
      </c>
      <c r="AN475" s="48" t="n">
        <v>32</v>
      </c>
      <c r="AO475" s="48" t="n">
        <v>62</v>
      </c>
      <c r="AP475" s="48" t="n">
        <v>6</v>
      </c>
      <c r="AQ475" s="48" t="n">
        <v>36</v>
      </c>
      <c r="AR475" s="48" t="n">
        <v>17</v>
      </c>
      <c r="AS475" s="48" t="n">
        <v>0</v>
      </c>
      <c r="AT475" s="48" t="n">
        <v>14</v>
      </c>
      <c r="AU475" s="48" t="n">
        <v>13</v>
      </c>
      <c r="AV475" s="48" t="n">
        <v>6</v>
      </c>
      <c r="AW475" s="48" t="n">
        <v>36</v>
      </c>
      <c r="AX475" s="48" t="n">
        <v>265</v>
      </c>
      <c r="AY475" s="48" t="n">
        <v>42</v>
      </c>
      <c r="AZ475" s="48" t="n">
        <v>0</v>
      </c>
      <c r="BA475" s="48" t="n">
        <v>12</v>
      </c>
      <c r="BB475" s="48" t="n">
        <v>43</v>
      </c>
      <c r="BC475" s="48" t="n">
        <v>31</v>
      </c>
      <c r="BD475" s="48" t="n">
        <v>14</v>
      </c>
      <c r="BE475" s="48" t="n">
        <v>36</v>
      </c>
      <c r="BF475" s="48" t="n">
        <v>1</v>
      </c>
      <c r="BG475" s="49" t="n">
        <v>2.95</v>
      </c>
    </row>
    <row r="476" customFormat="false" ht="15" hidden="false" customHeight="false" outlineLevel="0" collapsed="false">
      <c r="A476" s="43" t="s">
        <v>1188</v>
      </c>
      <c r="B476" s="43" t="s">
        <v>1189</v>
      </c>
      <c r="C476" s="44" t="str">
        <f aca="false">IF(A476="","",IFERROR(INDEX(Assumptions!$B$41:$B$55,MATCH(TRUE(),INDEX(ISNUMBER(SEARCH(" "&amp;Assumptions!$A$41:$A$55&amp;" "," "&amp;SUBSTITUTE(SUBSTITUTE(SUBSTITUTE(SUBSTITUTE(B476,"-"," "),","," "),"/"," "),"."," ")&amp;" ")),0),0)),"Other"))</f>
        <v>Other</v>
      </c>
      <c r="D476" s="45" t="n">
        <f aca="false">IF(A476="","",BG476*(1-Assumptions!$B$18))</f>
        <v>10.17</v>
      </c>
      <c r="E476" s="46" t="n">
        <f aca="false">IF(A476="","",INDEX(Assumptions!$B$23:$B$26,MOD(VALUE(LEFT(A476,5)),4)+1))</f>
        <v>2</v>
      </c>
      <c r="F476" s="47" t="n">
        <v>90</v>
      </c>
      <c r="G476" s="48" t="n">
        <v>9</v>
      </c>
      <c r="H476" s="48" t="n">
        <v>13</v>
      </c>
      <c r="I476" s="48" t="n">
        <v>0</v>
      </c>
      <c r="J476" s="48" t="n">
        <v>0</v>
      </c>
      <c r="K476" s="48" t="n">
        <v>5</v>
      </c>
      <c r="L476" s="48" t="n">
        <v>17</v>
      </c>
      <c r="M476" s="48" t="n">
        <v>1</v>
      </c>
      <c r="N476" s="48" t="n">
        <v>10</v>
      </c>
      <c r="O476" s="48" t="n">
        <v>9</v>
      </c>
      <c r="P476" s="48" t="n">
        <v>4</v>
      </c>
      <c r="Q476" s="48" t="n">
        <v>4</v>
      </c>
      <c r="R476" s="48" t="n">
        <v>13</v>
      </c>
      <c r="S476" s="48" t="n">
        <v>13</v>
      </c>
      <c r="T476" s="48" t="n">
        <v>1</v>
      </c>
      <c r="U476" s="48" t="n">
        <v>4</v>
      </c>
      <c r="V476" s="48" t="n">
        <v>2</v>
      </c>
      <c r="W476" s="48" t="n">
        <v>19</v>
      </c>
      <c r="X476" s="48" t="n">
        <v>1</v>
      </c>
      <c r="Y476" s="48" t="n">
        <v>1</v>
      </c>
      <c r="Z476" s="48" t="n">
        <v>8</v>
      </c>
      <c r="AA476" s="48" t="n">
        <v>1</v>
      </c>
      <c r="AB476" s="48" t="n">
        <v>1</v>
      </c>
      <c r="AC476" s="48" t="n">
        <v>17</v>
      </c>
      <c r="AD476" s="48" t="n">
        <v>44</v>
      </c>
      <c r="AE476" s="48" t="n">
        <v>3</v>
      </c>
      <c r="AF476" s="48" t="n">
        <v>15</v>
      </c>
      <c r="AG476" s="48" t="n">
        <v>12</v>
      </c>
      <c r="AH476" s="48" t="n">
        <v>1</v>
      </c>
      <c r="AI476" s="48" t="n">
        <v>6</v>
      </c>
      <c r="AJ476" s="48" t="n">
        <v>6</v>
      </c>
      <c r="AK476" s="48" t="n">
        <v>2</v>
      </c>
      <c r="AL476" s="48" t="n">
        <v>1</v>
      </c>
      <c r="AM476" s="48" t="n">
        <v>9</v>
      </c>
      <c r="AN476" s="48" t="n">
        <v>3</v>
      </c>
      <c r="AO476" s="48" t="n">
        <v>4</v>
      </c>
      <c r="AP476" s="48" t="n">
        <v>7</v>
      </c>
      <c r="AQ476" s="48" t="n">
        <v>1</v>
      </c>
      <c r="AR476" s="48" t="n">
        <v>2</v>
      </c>
      <c r="AS476" s="48" t="n">
        <v>3</v>
      </c>
      <c r="AT476" s="48" t="n">
        <v>9</v>
      </c>
      <c r="AU476" s="48" t="n">
        <v>4</v>
      </c>
      <c r="AV476" s="48" t="n">
        <v>7</v>
      </c>
      <c r="AW476" s="48" t="n">
        <v>4</v>
      </c>
      <c r="AX476" s="48" t="n">
        <v>7</v>
      </c>
      <c r="AY476" s="48" t="n">
        <v>3</v>
      </c>
      <c r="AZ476" s="48" t="n">
        <v>1</v>
      </c>
      <c r="BA476" s="48" t="n">
        <v>5</v>
      </c>
      <c r="BB476" s="48" t="n">
        <v>0</v>
      </c>
      <c r="BC476" s="48" t="n">
        <v>0</v>
      </c>
      <c r="BD476" s="48" t="n">
        <v>0</v>
      </c>
      <c r="BE476" s="48" t="n">
        <v>0</v>
      </c>
      <c r="BF476" s="48" t="n">
        <v>0</v>
      </c>
      <c r="BG476" s="49" t="n">
        <v>16.95</v>
      </c>
    </row>
    <row r="477" customFormat="false" ht="15" hidden="false" customHeight="false" outlineLevel="0" collapsed="false">
      <c r="A477" s="43" t="s">
        <v>1190</v>
      </c>
      <c r="B477" s="43" t="s">
        <v>1191</v>
      </c>
      <c r="C477" s="44" t="str">
        <f aca="false">IF(A477="","",IFERROR(INDEX(Assumptions!$B$41:$B$55,MATCH(TRUE(),INDEX(ISNUMBER(SEARCH(" "&amp;Assumptions!$A$41:$A$55&amp;" "," "&amp;SUBSTITUTE(SUBSTITUTE(SUBSTITUTE(SUBSTITUTE(B477,"-"," "),","," "),"/"," "),"."," ")&amp;" ")),0),0)),"Other"))</f>
        <v>Other</v>
      </c>
      <c r="D477" s="45" t="n">
        <f aca="false">IF(A477="","",BG477*(1-Assumptions!$B$18))</f>
        <v>1.77</v>
      </c>
      <c r="E477" s="46" t="n">
        <f aca="false">IF(A477="","",INDEX(Assumptions!$B$23:$B$26,MOD(VALUE(LEFT(A477,5)),4)+1))</f>
        <v>6</v>
      </c>
      <c r="F477" s="47" t="n">
        <v>819</v>
      </c>
      <c r="G477" s="48" t="n">
        <v>104</v>
      </c>
      <c r="H477" s="48" t="n">
        <v>38</v>
      </c>
      <c r="I477" s="48" t="n">
        <v>36</v>
      </c>
      <c r="J477" s="48" t="n">
        <v>0</v>
      </c>
      <c r="K477" s="48" t="n">
        <v>16</v>
      </c>
      <c r="L477" s="48" t="n">
        <v>16</v>
      </c>
      <c r="M477" s="48" t="n">
        <v>11</v>
      </c>
      <c r="N477" s="48" t="n">
        <v>49</v>
      </c>
      <c r="O477" s="48" t="n">
        <v>2</v>
      </c>
      <c r="P477" s="48" t="n">
        <v>4</v>
      </c>
      <c r="Q477" s="48" t="n">
        <v>12</v>
      </c>
      <c r="R477" s="48" t="n">
        <v>24</v>
      </c>
      <c r="S477" s="48" t="n">
        <v>20</v>
      </c>
      <c r="T477" s="48" t="n">
        <v>16</v>
      </c>
      <c r="U477" s="48" t="n">
        <v>16</v>
      </c>
      <c r="V477" s="48" t="n">
        <v>21</v>
      </c>
      <c r="W477" s="48" t="n">
        <v>11</v>
      </c>
      <c r="X477" s="48" t="n">
        <v>22</v>
      </c>
      <c r="Y477" s="48" t="n">
        <v>24</v>
      </c>
      <c r="Z477" s="48" t="n">
        <v>26</v>
      </c>
      <c r="AA477" s="48" t="n">
        <v>8</v>
      </c>
      <c r="AB477" s="48" t="n">
        <v>5</v>
      </c>
      <c r="AC477" s="48" t="n">
        <v>22</v>
      </c>
      <c r="AD477" s="48" t="n">
        <v>52</v>
      </c>
      <c r="AE477" s="48" t="n">
        <v>19</v>
      </c>
      <c r="AF477" s="48" t="n">
        <v>29</v>
      </c>
      <c r="AG477" s="48" t="n">
        <v>11</v>
      </c>
      <c r="AH477" s="48" t="n">
        <v>6</v>
      </c>
      <c r="AI477" s="48" t="n">
        <v>5</v>
      </c>
      <c r="AJ477" s="48" t="n">
        <v>16</v>
      </c>
      <c r="AK477" s="48" t="n">
        <v>29</v>
      </c>
      <c r="AL477" s="48" t="n">
        <v>83</v>
      </c>
      <c r="AM477" s="48" t="n">
        <v>77</v>
      </c>
      <c r="AN477" s="48" t="n">
        <v>43</v>
      </c>
      <c r="AO477" s="48" t="n">
        <v>12</v>
      </c>
      <c r="AP477" s="48" t="n">
        <v>3</v>
      </c>
      <c r="AQ477" s="48" t="n">
        <v>30</v>
      </c>
      <c r="AR477" s="48" t="n">
        <v>76</v>
      </c>
      <c r="AS477" s="48" t="n">
        <v>24</v>
      </c>
      <c r="AT477" s="48" t="n">
        <v>25</v>
      </c>
      <c r="AU477" s="48" t="n">
        <v>15</v>
      </c>
      <c r="AV477" s="48" t="n">
        <v>58</v>
      </c>
      <c r="AW477" s="48" t="n">
        <v>28</v>
      </c>
      <c r="AX477" s="48" t="n">
        <v>131</v>
      </c>
      <c r="AY477" s="48" t="n">
        <v>37</v>
      </c>
      <c r="AZ477" s="48" t="n">
        <v>41</v>
      </c>
      <c r="BA477" s="48" t="n">
        <v>49</v>
      </c>
      <c r="BB477" s="48" t="n">
        <v>19</v>
      </c>
      <c r="BC477" s="48" t="n">
        <v>15</v>
      </c>
      <c r="BD477" s="48" t="n">
        <v>43</v>
      </c>
      <c r="BE477" s="48" t="n">
        <v>69</v>
      </c>
      <c r="BF477" s="48" t="n">
        <v>90</v>
      </c>
      <c r="BG477" s="49" t="n">
        <v>2.95</v>
      </c>
    </row>
    <row r="478" customFormat="false" ht="15" hidden="false" customHeight="false" outlineLevel="0" collapsed="false">
      <c r="A478" s="43" t="s">
        <v>1192</v>
      </c>
      <c r="B478" s="43" t="s">
        <v>1193</v>
      </c>
      <c r="C478" s="44" t="str">
        <f aca="false">IF(A478="","",IFERROR(INDEX(Assumptions!$B$41:$B$55,MATCH(TRUE(),INDEX(ISNUMBER(SEARCH(" "&amp;Assumptions!$A$41:$A$55&amp;" "," "&amp;SUBSTITUTE(SUBSTITUTE(SUBSTITUTE(SUBSTITUTE(B478,"-"," "),","," "),"/"," "),"."," ")&amp;" ")),0),0)),"Other"))</f>
        <v>Lighting</v>
      </c>
      <c r="D478" s="45" t="n">
        <f aca="false">IF(A478="","",BG478*(1-Assumptions!$B$18))</f>
        <v>2.55</v>
      </c>
      <c r="E478" s="46" t="n">
        <f aca="false">IF(A478="","",INDEX(Assumptions!$B$23:$B$26,MOD(VALUE(LEFT(A478,5)),4)+1))</f>
        <v>8</v>
      </c>
      <c r="F478" s="47" t="n">
        <v>1266</v>
      </c>
      <c r="G478" s="48" t="n">
        <v>82</v>
      </c>
      <c r="H478" s="48" t="n">
        <v>218</v>
      </c>
      <c r="I478" s="48" t="n">
        <v>0</v>
      </c>
      <c r="J478" s="48" t="n">
        <v>0</v>
      </c>
      <c r="K478" s="48" t="n">
        <v>1</v>
      </c>
      <c r="L478" s="48" t="n">
        <v>6</v>
      </c>
      <c r="M478" s="48" t="n">
        <v>48</v>
      </c>
      <c r="N478" s="48" t="n">
        <v>7</v>
      </c>
      <c r="O478" s="48" t="n">
        <v>4</v>
      </c>
      <c r="P478" s="48" t="n">
        <v>0</v>
      </c>
      <c r="Q478" s="48" t="n">
        <v>8</v>
      </c>
      <c r="R478" s="48" t="n">
        <v>120</v>
      </c>
      <c r="S478" s="48" t="n">
        <v>28</v>
      </c>
      <c r="T478" s="48" t="n">
        <v>16</v>
      </c>
      <c r="U478" s="48" t="n">
        <v>16</v>
      </c>
      <c r="V478" s="48" t="n">
        <v>5</v>
      </c>
      <c r="W478" s="48" t="n">
        <v>49</v>
      </c>
      <c r="X478" s="48" t="n">
        <v>1</v>
      </c>
      <c r="Y478" s="48" t="n">
        <v>48</v>
      </c>
      <c r="Z478" s="48" t="n">
        <v>0</v>
      </c>
      <c r="AA478" s="48" t="n">
        <v>12</v>
      </c>
      <c r="AB478" s="48" t="n">
        <v>4</v>
      </c>
      <c r="AC478" s="48" t="n">
        <v>106</v>
      </c>
      <c r="AD478" s="48" t="n">
        <v>12</v>
      </c>
      <c r="AE478" s="48" t="n">
        <v>6</v>
      </c>
      <c r="AF478" s="48" t="n">
        <v>6</v>
      </c>
      <c r="AG478" s="48" t="n">
        <v>8</v>
      </c>
      <c r="AH478" s="48" t="n">
        <v>4</v>
      </c>
      <c r="AI478" s="48" t="n">
        <v>4</v>
      </c>
      <c r="AJ478" s="48" t="n">
        <v>57</v>
      </c>
      <c r="AK478" s="48" t="n">
        <v>48</v>
      </c>
      <c r="AL478" s="48" t="n">
        <v>0</v>
      </c>
      <c r="AM478" s="48" t="n">
        <v>0</v>
      </c>
      <c r="AN478" s="48" t="n">
        <v>16</v>
      </c>
      <c r="AO478" s="48" t="n">
        <v>16</v>
      </c>
      <c r="AP478" s="48" t="n">
        <v>12</v>
      </c>
      <c r="AQ478" s="48" t="n">
        <v>4</v>
      </c>
      <c r="AR478" s="48" t="n">
        <v>14</v>
      </c>
      <c r="AS478" s="48" t="n">
        <v>0</v>
      </c>
      <c r="AT478" s="48" t="n">
        <v>16</v>
      </c>
      <c r="AU478" s="48" t="n">
        <v>56</v>
      </c>
      <c r="AV478" s="48" t="n">
        <v>28</v>
      </c>
      <c r="AW478" s="48" t="n">
        <v>5</v>
      </c>
      <c r="AX478" s="48" t="n">
        <v>10</v>
      </c>
      <c r="AY478" s="48" t="n">
        <v>68</v>
      </c>
      <c r="AZ478" s="48" t="n">
        <v>23</v>
      </c>
      <c r="BA478" s="48" t="n">
        <v>20</v>
      </c>
      <c r="BB478" s="48" t="n">
        <v>15</v>
      </c>
      <c r="BC478" s="48" t="n">
        <v>20</v>
      </c>
      <c r="BD478" s="48" t="n">
        <v>10</v>
      </c>
      <c r="BE478" s="48" t="n">
        <v>36</v>
      </c>
      <c r="BF478" s="48" t="n">
        <v>24</v>
      </c>
      <c r="BG478" s="49" t="n">
        <v>4.25</v>
      </c>
    </row>
    <row r="479" customFormat="false" ht="15" hidden="false" customHeight="false" outlineLevel="0" collapsed="false">
      <c r="A479" s="43" t="s">
        <v>1194</v>
      </c>
      <c r="B479" s="43" t="s">
        <v>1195</v>
      </c>
      <c r="C479" s="44" t="str">
        <f aca="false">IF(A479="","",IFERROR(INDEX(Assumptions!$B$41:$B$55,MATCH(TRUE(),INDEX(ISNUMBER(SEARCH(" "&amp;Assumptions!$A$41:$A$55&amp;" "," "&amp;SUBSTITUTE(SUBSTITUTE(SUBSTITUTE(SUBSTITUTE(B479,"-"," "),","," "),"/"," "),"."," ")&amp;" ")),0),0)),"Other"))</f>
        <v>Other</v>
      </c>
      <c r="D479" s="45" t="n">
        <f aca="false">IF(A479="","",BG479*(1-Assumptions!$B$18))</f>
        <v>1.77</v>
      </c>
      <c r="E479" s="46" t="n">
        <f aca="false">IF(A479="","",INDEX(Assumptions!$B$23:$B$26,MOD(VALUE(LEFT(A479,5)),4)+1))</f>
        <v>4</v>
      </c>
      <c r="F479" s="47" t="n">
        <v>513</v>
      </c>
      <c r="G479" s="48" t="n">
        <v>0</v>
      </c>
      <c r="H479" s="48" t="n">
        <v>0</v>
      </c>
      <c r="I479" s="48" t="n">
        <v>0</v>
      </c>
      <c r="J479" s="48" t="n">
        <v>0</v>
      </c>
      <c r="K479" s="48" t="n">
        <v>0</v>
      </c>
      <c r="L479" s="48" t="n">
        <v>251</v>
      </c>
      <c r="M479" s="48" t="n">
        <v>142</v>
      </c>
      <c r="N479" s="48" t="n">
        <v>191</v>
      </c>
      <c r="O479" s="48" t="n">
        <v>106</v>
      </c>
      <c r="P479" s="48" t="n">
        <v>99</v>
      </c>
      <c r="Q479" s="48" t="n">
        <v>116</v>
      </c>
      <c r="R479" s="48" t="n">
        <v>176</v>
      </c>
      <c r="S479" s="48" t="n">
        <v>108</v>
      </c>
      <c r="T479" s="48" t="n">
        <v>109</v>
      </c>
      <c r="U479" s="48" t="n">
        <v>39</v>
      </c>
      <c r="V479" s="48" t="n">
        <v>93</v>
      </c>
      <c r="W479" s="48" t="n">
        <v>163</v>
      </c>
      <c r="X479" s="48" t="n">
        <v>67</v>
      </c>
      <c r="Y479" s="48" t="n">
        <v>86</v>
      </c>
      <c r="Z479" s="48" t="n">
        <v>20</v>
      </c>
      <c r="AA479" s="48" t="n">
        <v>0</v>
      </c>
      <c r="AB479" s="48" t="n">
        <v>0</v>
      </c>
      <c r="AC479" s="48" t="n">
        <v>0</v>
      </c>
      <c r="AD479" s="48" t="n">
        <v>0</v>
      </c>
      <c r="AE479" s="48" t="n">
        <v>0</v>
      </c>
      <c r="AF479" s="48" t="n">
        <v>0</v>
      </c>
      <c r="AG479" s="48" t="n">
        <v>0</v>
      </c>
      <c r="AH479" s="48" t="n">
        <v>0</v>
      </c>
      <c r="AI479" s="48" t="n">
        <v>0</v>
      </c>
      <c r="AJ479" s="48" t="n">
        <v>0</v>
      </c>
      <c r="AK479" s="48" t="n">
        <v>0</v>
      </c>
      <c r="AL479" s="48" t="n">
        <v>0</v>
      </c>
      <c r="AM479" s="48" t="n">
        <v>0</v>
      </c>
      <c r="AN479" s="48" t="n">
        <v>0</v>
      </c>
      <c r="AO479" s="48" t="n">
        <v>6</v>
      </c>
      <c r="AP479" s="48" t="n">
        <v>0</v>
      </c>
      <c r="AQ479" s="48" t="n">
        <v>0</v>
      </c>
      <c r="AR479" s="48" t="n">
        <v>0</v>
      </c>
      <c r="AS479" s="48" t="n">
        <v>0</v>
      </c>
      <c r="AT479" s="48" t="n">
        <v>0</v>
      </c>
      <c r="AU479" s="48" t="n">
        <v>0</v>
      </c>
      <c r="AV479" s="48" t="n">
        <v>0</v>
      </c>
      <c r="AW479" s="48" t="n">
        <v>6</v>
      </c>
      <c r="AX479" s="48" t="n">
        <v>0</v>
      </c>
      <c r="AY479" s="48" t="n">
        <v>0</v>
      </c>
      <c r="AZ479" s="48" t="n">
        <v>0</v>
      </c>
      <c r="BA479" s="48" t="n">
        <v>0</v>
      </c>
      <c r="BB479" s="48" t="n">
        <v>0</v>
      </c>
      <c r="BC479" s="48" t="n">
        <v>0</v>
      </c>
      <c r="BD479" s="48" t="n">
        <v>0</v>
      </c>
      <c r="BE479" s="48" t="n">
        <v>0</v>
      </c>
      <c r="BF479" s="48" t="n">
        <v>0</v>
      </c>
      <c r="BG479" s="49" t="n">
        <v>2.95</v>
      </c>
    </row>
    <row r="480" customFormat="false" ht="15" hidden="false" customHeight="false" outlineLevel="0" collapsed="false">
      <c r="A480" s="43" t="s">
        <v>1196</v>
      </c>
      <c r="B480" s="43" t="s">
        <v>1197</v>
      </c>
      <c r="C480" s="44" t="str">
        <f aca="false">IF(A480="","",IFERROR(INDEX(Assumptions!$B$41:$B$55,MATCH(TRUE(),INDEX(ISNUMBER(SEARCH(" "&amp;Assumptions!$A$41:$A$55&amp;" "," "&amp;SUBSTITUTE(SUBSTITUTE(SUBSTITUTE(SUBSTITUTE(B480,"-"," "),","," "),"/"," "),"."," ")&amp;" ")),0),0)),"Other"))</f>
        <v>Kitchen</v>
      </c>
      <c r="D480" s="45" t="n">
        <f aca="false">IF(A480="","",BG480*(1-Assumptions!$B$18))</f>
        <v>1.53</v>
      </c>
      <c r="E480" s="46" t="n">
        <f aca="false">IF(A480="","",INDEX(Assumptions!$B$23:$B$26,MOD(VALUE(LEFT(A480,5)),4)+1))</f>
        <v>6</v>
      </c>
      <c r="F480" s="47" t="n">
        <v>571</v>
      </c>
      <c r="G480" s="48" t="n">
        <v>0</v>
      </c>
      <c r="H480" s="48" t="n">
        <v>48</v>
      </c>
      <c r="I480" s="48" t="n">
        <v>53</v>
      </c>
      <c r="J480" s="48" t="n">
        <v>0</v>
      </c>
      <c r="K480" s="48" t="n">
        <v>72</v>
      </c>
      <c r="L480" s="48" t="n">
        <v>13</v>
      </c>
      <c r="M480" s="48" t="n">
        <v>31</v>
      </c>
      <c r="N480" s="48" t="n">
        <v>55</v>
      </c>
      <c r="O480" s="48" t="n">
        <v>18</v>
      </c>
      <c r="P480" s="48" t="n">
        <v>45</v>
      </c>
      <c r="Q480" s="48" t="n">
        <v>6</v>
      </c>
      <c r="R480" s="48" t="n">
        <v>120</v>
      </c>
      <c r="S480" s="48" t="n">
        <v>12</v>
      </c>
      <c r="T480" s="48" t="n">
        <v>78</v>
      </c>
      <c r="U480" s="48" t="n">
        <v>60</v>
      </c>
      <c r="V480" s="48" t="n">
        <v>77</v>
      </c>
      <c r="W480" s="48" t="n">
        <v>58</v>
      </c>
      <c r="X480" s="48" t="n">
        <v>12</v>
      </c>
      <c r="Y480" s="48" t="n">
        <v>11</v>
      </c>
      <c r="Z480" s="48" t="n">
        <v>39</v>
      </c>
      <c r="AA480" s="48" t="n">
        <v>49</v>
      </c>
      <c r="AB480" s="48" t="n">
        <v>69</v>
      </c>
      <c r="AC480" s="48" t="n">
        <v>96</v>
      </c>
      <c r="AD480" s="48" t="n">
        <v>30</v>
      </c>
      <c r="AE480" s="48" t="n">
        <v>12</v>
      </c>
      <c r="AF480" s="48" t="n">
        <v>7</v>
      </c>
      <c r="AG480" s="48" t="n">
        <v>12</v>
      </c>
      <c r="AH480" s="48" t="n">
        <v>8</v>
      </c>
      <c r="AI480" s="48" t="n">
        <v>55</v>
      </c>
      <c r="AJ480" s="48" t="n">
        <v>6</v>
      </c>
      <c r="AK480" s="48" t="n">
        <v>37</v>
      </c>
      <c r="AL480" s="48" t="n">
        <v>6</v>
      </c>
      <c r="AM480" s="48" t="n">
        <v>55</v>
      </c>
      <c r="AN480" s="48" t="n">
        <v>14</v>
      </c>
      <c r="AO480" s="48" t="n">
        <v>24</v>
      </c>
      <c r="AP480" s="48" t="n">
        <v>44</v>
      </c>
      <c r="AQ480" s="48" t="n">
        <v>15</v>
      </c>
      <c r="AR480" s="48" t="n">
        <v>43</v>
      </c>
      <c r="AS480" s="48" t="n">
        <v>19</v>
      </c>
      <c r="AT480" s="48" t="n">
        <v>18</v>
      </c>
      <c r="AU480" s="48" t="n">
        <v>20</v>
      </c>
      <c r="AV480" s="48" t="n">
        <v>37</v>
      </c>
      <c r="AW480" s="48" t="n">
        <v>26</v>
      </c>
      <c r="AX480" s="48" t="n">
        <v>19</v>
      </c>
      <c r="AY480" s="48" t="n">
        <v>30</v>
      </c>
      <c r="AZ480" s="48" t="n">
        <v>84</v>
      </c>
      <c r="BA480" s="48" t="n">
        <v>34</v>
      </c>
      <c r="BB480" s="48" t="n">
        <v>438</v>
      </c>
      <c r="BC480" s="48" t="n">
        <v>22</v>
      </c>
      <c r="BD480" s="48" t="n">
        <v>78</v>
      </c>
      <c r="BE480" s="48" t="n">
        <v>14</v>
      </c>
      <c r="BF480" s="48" t="n">
        <v>55</v>
      </c>
      <c r="BG480" s="49" t="n">
        <v>2.55</v>
      </c>
    </row>
    <row r="481" customFormat="false" ht="15" hidden="false" customHeight="false" outlineLevel="0" collapsed="false">
      <c r="A481" s="43" t="s">
        <v>1198</v>
      </c>
      <c r="B481" s="43" t="s">
        <v>1199</v>
      </c>
      <c r="C481" s="44" t="str">
        <f aca="false">IF(A481="","",IFERROR(INDEX(Assumptions!$B$41:$B$55,MATCH(TRUE(),INDEX(ISNUMBER(SEARCH(" "&amp;Assumptions!$A$41:$A$55&amp;" "," "&amp;SUBSTITUTE(SUBSTITUTE(SUBSTITUTE(SUBSTITUTE(B481,"-"," "),","," "),"/"," "),"."," ")&amp;" ")),0),0)),"Other"))</f>
        <v>Bags</v>
      </c>
      <c r="D481" s="45" t="n">
        <f aca="false">IF(A481="","",BG481*(1-Assumptions!$B$18))</f>
        <v>0.99</v>
      </c>
      <c r="E481" s="46" t="n">
        <f aca="false">IF(A481="","",INDEX(Assumptions!$B$23:$B$26,MOD(VALUE(LEFT(A481,5)),4)+1))</f>
        <v>8</v>
      </c>
      <c r="F481" s="47" t="n">
        <v>596</v>
      </c>
      <c r="G481" s="48" t="n">
        <v>0</v>
      </c>
      <c r="H481" s="48" t="n">
        <v>0</v>
      </c>
      <c r="I481" s="48" t="n">
        <v>0</v>
      </c>
      <c r="J481" s="48" t="n">
        <v>0</v>
      </c>
      <c r="K481" s="48" t="n">
        <v>0</v>
      </c>
      <c r="L481" s="48" t="n">
        <v>0</v>
      </c>
      <c r="M481" s="48" t="n">
        <v>0</v>
      </c>
      <c r="N481" s="48" t="n">
        <v>0</v>
      </c>
      <c r="O481" s="48" t="n">
        <v>0</v>
      </c>
      <c r="P481" s="48" t="n">
        <v>0</v>
      </c>
      <c r="Q481" s="48" t="n">
        <v>0</v>
      </c>
      <c r="R481" s="48" t="n">
        <v>0</v>
      </c>
      <c r="S481" s="48" t="n">
        <v>0</v>
      </c>
      <c r="T481" s="48" t="n">
        <v>0</v>
      </c>
      <c r="U481" s="48" t="n">
        <v>0</v>
      </c>
      <c r="V481" s="48" t="n">
        <v>0</v>
      </c>
      <c r="W481" s="48" t="n">
        <v>0</v>
      </c>
      <c r="X481" s="48" t="n">
        <v>0</v>
      </c>
      <c r="Y481" s="48" t="n">
        <v>0</v>
      </c>
      <c r="Z481" s="48" t="n">
        <v>0</v>
      </c>
      <c r="AA481" s="48" t="n">
        <v>0</v>
      </c>
      <c r="AB481" s="48" t="n">
        <v>0</v>
      </c>
      <c r="AC481" s="48" t="n">
        <v>0</v>
      </c>
      <c r="AD481" s="48" t="n">
        <v>0</v>
      </c>
      <c r="AE481" s="48" t="n">
        <v>0</v>
      </c>
      <c r="AF481" s="48" t="n">
        <v>0</v>
      </c>
      <c r="AG481" s="48" t="n">
        <v>0</v>
      </c>
      <c r="AH481" s="48" t="n">
        <v>0</v>
      </c>
      <c r="AI481" s="48" t="n">
        <v>0</v>
      </c>
      <c r="AJ481" s="48" t="n">
        <v>0</v>
      </c>
      <c r="AK481" s="48" t="n">
        <v>0</v>
      </c>
      <c r="AL481" s="48" t="n">
        <v>0</v>
      </c>
      <c r="AM481" s="48" t="n">
        <v>0</v>
      </c>
      <c r="AN481" s="48" t="n">
        <v>0</v>
      </c>
      <c r="AO481" s="48" t="n">
        <v>0</v>
      </c>
      <c r="AP481" s="48" t="n">
        <v>0</v>
      </c>
      <c r="AQ481" s="48" t="n">
        <v>0</v>
      </c>
      <c r="AR481" s="48" t="n">
        <v>0</v>
      </c>
      <c r="AS481" s="48" t="n">
        <v>0</v>
      </c>
      <c r="AT481" s="48" t="n">
        <v>0</v>
      </c>
      <c r="AU481" s="48" t="n">
        <v>0</v>
      </c>
      <c r="AV481" s="48" t="n">
        <v>0</v>
      </c>
      <c r="AW481" s="48" t="n">
        <v>0</v>
      </c>
      <c r="AX481" s="48" t="n">
        <v>0</v>
      </c>
      <c r="AY481" s="48" t="n">
        <v>0</v>
      </c>
      <c r="AZ481" s="48" t="n">
        <v>0</v>
      </c>
      <c r="BA481" s="48" t="n">
        <v>657</v>
      </c>
      <c r="BB481" s="48" t="n">
        <v>420</v>
      </c>
      <c r="BC481" s="48" t="n">
        <v>819</v>
      </c>
      <c r="BD481" s="48" t="n">
        <v>370</v>
      </c>
      <c r="BE481" s="48" t="n">
        <v>548</v>
      </c>
      <c r="BF481" s="48" t="n">
        <v>283</v>
      </c>
      <c r="BG481" s="49" t="n">
        <v>1.65</v>
      </c>
    </row>
    <row r="482" customFormat="false" ht="15" hidden="false" customHeight="false" outlineLevel="0" collapsed="false">
      <c r="A482" s="43" t="s">
        <v>1200</v>
      </c>
      <c r="B482" s="43" t="s">
        <v>1201</v>
      </c>
      <c r="C482" s="44" t="str">
        <f aca="false">IF(A482="","",IFERROR(INDEX(Assumptions!$B$41:$B$55,MATCH(TRUE(),INDEX(ISNUMBER(SEARCH(" "&amp;Assumptions!$A$41:$A$55&amp;" "," "&amp;SUBSTITUTE(SUBSTITUTE(SUBSTITUTE(SUBSTITUTE(B482,"-"," "),","," "),"/"," "),"."," ")&amp;" ")),0),0)),"Other"))</f>
        <v>Other</v>
      </c>
      <c r="D482" s="45" t="n">
        <f aca="false">IF(A482="","",BG482*(1-Assumptions!$B$18))</f>
        <v>4.59</v>
      </c>
      <c r="E482" s="46" t="n">
        <f aca="false">IF(A482="","",INDEX(Assumptions!$B$23:$B$26,MOD(VALUE(LEFT(A482,5)),4)+1))</f>
        <v>4</v>
      </c>
      <c r="F482" s="47" t="n">
        <v>162</v>
      </c>
      <c r="G482" s="48" t="n">
        <v>14</v>
      </c>
      <c r="H482" s="48" t="n">
        <v>15</v>
      </c>
      <c r="I482" s="48" t="n">
        <v>1</v>
      </c>
      <c r="J482" s="48" t="n">
        <v>0</v>
      </c>
      <c r="K482" s="48" t="n">
        <v>4</v>
      </c>
      <c r="L482" s="48" t="n">
        <v>10</v>
      </c>
      <c r="M482" s="48" t="n">
        <v>18</v>
      </c>
      <c r="N482" s="48" t="n">
        <v>14</v>
      </c>
      <c r="O482" s="48" t="n">
        <v>7</v>
      </c>
      <c r="P482" s="48" t="n">
        <v>4</v>
      </c>
      <c r="Q482" s="48" t="n">
        <v>8</v>
      </c>
      <c r="R482" s="48" t="n">
        <v>10</v>
      </c>
      <c r="S482" s="48" t="n">
        <v>6</v>
      </c>
      <c r="T482" s="48" t="n">
        <v>7</v>
      </c>
      <c r="U482" s="48" t="n">
        <v>34</v>
      </c>
      <c r="V482" s="48" t="n">
        <v>2</v>
      </c>
      <c r="W482" s="48" t="n">
        <v>10</v>
      </c>
      <c r="X482" s="48" t="n">
        <v>15</v>
      </c>
      <c r="Y482" s="48" t="n">
        <v>2</v>
      </c>
      <c r="Z482" s="48" t="n">
        <v>14</v>
      </c>
      <c r="AA482" s="48" t="n">
        <v>31</v>
      </c>
      <c r="AB482" s="48" t="n">
        <v>5</v>
      </c>
      <c r="AC482" s="48" t="n">
        <v>5</v>
      </c>
      <c r="AD482" s="48" t="n">
        <v>8</v>
      </c>
      <c r="AE482" s="48" t="n">
        <v>1</v>
      </c>
      <c r="AF482" s="48" t="n">
        <v>45</v>
      </c>
      <c r="AG482" s="48" t="n">
        <v>33</v>
      </c>
      <c r="AH482" s="48" t="n">
        <v>25</v>
      </c>
      <c r="AI482" s="48" t="n">
        <v>4</v>
      </c>
      <c r="AJ482" s="48" t="n">
        <v>2</v>
      </c>
      <c r="AK482" s="48" t="n">
        <v>1</v>
      </c>
      <c r="AL482" s="48" t="n">
        <v>11</v>
      </c>
      <c r="AM482" s="48" t="n">
        <v>16</v>
      </c>
      <c r="AN482" s="48" t="n">
        <v>16</v>
      </c>
      <c r="AO482" s="48" t="n">
        <v>6</v>
      </c>
      <c r="AP482" s="48" t="n">
        <v>14</v>
      </c>
      <c r="AQ482" s="48" t="n">
        <v>4</v>
      </c>
      <c r="AR482" s="48" t="n">
        <v>10</v>
      </c>
      <c r="AS482" s="48" t="n">
        <v>17</v>
      </c>
      <c r="AT482" s="48" t="n">
        <v>7</v>
      </c>
      <c r="AU482" s="48" t="n">
        <v>9</v>
      </c>
      <c r="AV482" s="48" t="n">
        <v>16</v>
      </c>
      <c r="AW482" s="48" t="n">
        <v>6</v>
      </c>
      <c r="AX482" s="48" t="n">
        <v>12</v>
      </c>
      <c r="AY482" s="48" t="n">
        <v>14</v>
      </c>
      <c r="AZ482" s="48" t="n">
        <v>7</v>
      </c>
      <c r="BA482" s="48" t="n">
        <v>8</v>
      </c>
      <c r="BB482" s="48" t="n">
        <v>8</v>
      </c>
      <c r="BC482" s="48" t="n">
        <v>17</v>
      </c>
      <c r="BD482" s="48" t="n">
        <v>19</v>
      </c>
      <c r="BE482" s="48" t="n">
        <v>19</v>
      </c>
      <c r="BF482" s="48" t="n">
        <v>11</v>
      </c>
      <c r="BG482" s="49" t="n">
        <v>7.65</v>
      </c>
    </row>
    <row r="483" customFormat="false" ht="15" hidden="false" customHeight="false" outlineLevel="0" collapsed="false">
      <c r="A483" s="43" t="s">
        <v>1202</v>
      </c>
      <c r="B483" s="43" t="s">
        <v>1203</v>
      </c>
      <c r="C483" s="44" t="str">
        <f aca="false">IF(A483="","",IFERROR(INDEX(Assumptions!$B$41:$B$55,MATCH(TRUE(),INDEX(ISNUMBER(SEARCH(" "&amp;Assumptions!$A$41:$A$55&amp;" "," "&amp;SUBSTITUTE(SUBSTITUTE(SUBSTITUTE(SUBSTITUTE(B483,"-"," "),","," "),"/"," "),"."," ")&amp;" ")),0),0)),"Other"))</f>
        <v>Other</v>
      </c>
      <c r="D483" s="45" t="n">
        <f aca="false">IF(A483="","",BG483*(1-Assumptions!$B$18))</f>
        <v>0.498</v>
      </c>
      <c r="E483" s="46" t="n">
        <f aca="false">IF(A483="","",INDEX(Assumptions!$B$23:$B$26,MOD(VALUE(LEFT(A483,5)),4)+1))</f>
        <v>8</v>
      </c>
      <c r="F483" s="47" t="n">
        <v>1160</v>
      </c>
      <c r="G483" s="48" t="n">
        <v>0</v>
      </c>
      <c r="H483" s="48" t="n">
        <v>0</v>
      </c>
      <c r="I483" s="48" t="n">
        <v>0</v>
      </c>
      <c r="J483" s="48" t="n">
        <v>0</v>
      </c>
      <c r="K483" s="48" t="n">
        <v>0</v>
      </c>
      <c r="L483" s="48" t="n">
        <v>0</v>
      </c>
      <c r="M483" s="48" t="n">
        <v>0</v>
      </c>
      <c r="N483" s="48" t="n">
        <v>0</v>
      </c>
      <c r="O483" s="48" t="n">
        <v>0</v>
      </c>
      <c r="P483" s="48" t="n">
        <v>0</v>
      </c>
      <c r="Q483" s="48" t="n">
        <v>0</v>
      </c>
      <c r="R483" s="48" t="n">
        <v>0</v>
      </c>
      <c r="S483" s="48" t="n">
        <v>0</v>
      </c>
      <c r="T483" s="48" t="n">
        <v>0</v>
      </c>
      <c r="U483" s="48" t="n">
        <v>0</v>
      </c>
      <c r="V483" s="48" t="n">
        <v>0</v>
      </c>
      <c r="W483" s="48" t="n">
        <v>0</v>
      </c>
      <c r="X483" s="48" t="n">
        <v>0</v>
      </c>
      <c r="Y483" s="48" t="n">
        <v>0</v>
      </c>
      <c r="Z483" s="48" t="n">
        <v>0</v>
      </c>
      <c r="AA483" s="48" t="n">
        <v>0</v>
      </c>
      <c r="AB483" s="48" t="n">
        <v>0</v>
      </c>
      <c r="AC483" s="48" t="n">
        <v>0</v>
      </c>
      <c r="AD483" s="48" t="n">
        <v>0</v>
      </c>
      <c r="AE483" s="48" t="n">
        <v>0</v>
      </c>
      <c r="AF483" s="48" t="n">
        <v>0</v>
      </c>
      <c r="AG483" s="48" t="n">
        <v>0</v>
      </c>
      <c r="AH483" s="48" t="n">
        <v>0</v>
      </c>
      <c r="AI483" s="48" t="n">
        <v>0</v>
      </c>
      <c r="AJ483" s="48" t="n">
        <v>0</v>
      </c>
      <c r="AK483" s="48" t="n">
        <v>0</v>
      </c>
      <c r="AL483" s="48" t="n">
        <v>691</v>
      </c>
      <c r="AM483" s="48" t="n">
        <v>213</v>
      </c>
      <c r="AN483" s="48" t="n">
        <v>562</v>
      </c>
      <c r="AO483" s="48" t="n">
        <v>151</v>
      </c>
      <c r="AP483" s="48" t="n">
        <v>507</v>
      </c>
      <c r="AQ483" s="48" t="n">
        <v>415</v>
      </c>
      <c r="AR483" s="48" t="n">
        <v>176</v>
      </c>
      <c r="AS483" s="48" t="n">
        <v>241</v>
      </c>
      <c r="AT483" s="48" t="n">
        <v>411</v>
      </c>
      <c r="AU483" s="48" t="n">
        <v>105</v>
      </c>
      <c r="AV483" s="48" t="n">
        <v>333</v>
      </c>
      <c r="AW483" s="48" t="n">
        <v>231</v>
      </c>
      <c r="AX483" s="48" t="n">
        <v>512</v>
      </c>
      <c r="AY483" s="48" t="n">
        <v>84</v>
      </c>
      <c r="AZ483" s="48" t="n">
        <v>164</v>
      </c>
      <c r="BA483" s="48" t="n">
        <v>182</v>
      </c>
      <c r="BB483" s="48" t="n">
        <v>220</v>
      </c>
      <c r="BC483" s="48" t="n">
        <v>135</v>
      </c>
      <c r="BD483" s="48" t="n">
        <v>245</v>
      </c>
      <c r="BE483" s="48" t="n">
        <v>292</v>
      </c>
      <c r="BF483" s="48" t="n">
        <v>161</v>
      </c>
      <c r="BG483" s="49" t="n">
        <v>0.83</v>
      </c>
    </row>
    <row r="484" customFormat="false" ht="15" hidden="false" customHeight="false" outlineLevel="0" collapsed="false">
      <c r="A484" s="43" t="s">
        <v>1204</v>
      </c>
      <c r="B484" s="43" t="s">
        <v>1205</v>
      </c>
      <c r="C484" s="44" t="str">
        <f aca="false">IF(A484="","",IFERROR(INDEX(Assumptions!$B$41:$B$55,MATCH(TRUE(),INDEX(ISNUMBER(SEARCH(" "&amp;Assumptions!$A$41:$A$55&amp;" "," "&amp;SUBSTITUTE(SUBSTITUTE(SUBSTITUTE(SUBSTITUTE(B484,"-"," "),","," "),"/"," "),"."," ")&amp;" ")),0),0)),"Other"))</f>
        <v>Other</v>
      </c>
      <c r="D484" s="45" t="n">
        <f aca="false">IF(A484="","",BG484*(1-Assumptions!$B$18))</f>
        <v>2.55</v>
      </c>
      <c r="E484" s="46" t="n">
        <f aca="false">IF(A484="","",INDEX(Assumptions!$B$23:$B$26,MOD(VALUE(LEFT(A484,5)),4)+1))</f>
        <v>2</v>
      </c>
      <c r="F484" s="47" t="n">
        <v>805</v>
      </c>
      <c r="G484" s="48" t="n">
        <v>27</v>
      </c>
      <c r="H484" s="48" t="n">
        <v>21</v>
      </c>
      <c r="I484" s="48" t="n">
        <v>2</v>
      </c>
      <c r="J484" s="48" t="n">
        <v>0</v>
      </c>
      <c r="K484" s="48" t="n">
        <v>32</v>
      </c>
      <c r="L484" s="48" t="n">
        <v>82</v>
      </c>
      <c r="M484" s="48" t="n">
        <v>21</v>
      </c>
      <c r="N484" s="48" t="n">
        <v>6</v>
      </c>
      <c r="O484" s="48" t="n">
        <v>45</v>
      </c>
      <c r="P484" s="48" t="n">
        <v>10</v>
      </c>
      <c r="Q484" s="48" t="n">
        <v>12</v>
      </c>
      <c r="R484" s="48" t="n">
        <v>32</v>
      </c>
      <c r="S484" s="48" t="n">
        <v>44</v>
      </c>
      <c r="T484" s="48" t="n">
        <v>24</v>
      </c>
      <c r="U484" s="48" t="n">
        <v>16</v>
      </c>
      <c r="V484" s="48" t="n">
        <v>15</v>
      </c>
      <c r="W484" s="48" t="n">
        <v>7</v>
      </c>
      <c r="X484" s="48" t="n">
        <v>39</v>
      </c>
      <c r="Y484" s="48" t="n">
        <v>38</v>
      </c>
      <c r="Z484" s="48" t="n">
        <v>72</v>
      </c>
      <c r="AA484" s="48" t="n">
        <v>4</v>
      </c>
      <c r="AB484" s="48" t="n">
        <v>8</v>
      </c>
      <c r="AC484" s="48" t="n">
        <v>17</v>
      </c>
      <c r="AD484" s="48" t="n">
        <v>86</v>
      </c>
      <c r="AE484" s="48" t="n">
        <v>4</v>
      </c>
      <c r="AF484" s="48" t="n">
        <v>0</v>
      </c>
      <c r="AG484" s="48" t="n">
        <v>14</v>
      </c>
      <c r="AH484" s="48" t="n">
        <v>22</v>
      </c>
      <c r="AI484" s="48" t="n">
        <v>9</v>
      </c>
      <c r="AJ484" s="48" t="n">
        <v>5</v>
      </c>
      <c r="AK484" s="48" t="n">
        <v>2</v>
      </c>
      <c r="AL484" s="48" t="n">
        <v>6</v>
      </c>
      <c r="AM484" s="48" t="n">
        <v>9</v>
      </c>
      <c r="AN484" s="48" t="n">
        <v>6</v>
      </c>
      <c r="AO484" s="48" t="n">
        <v>4</v>
      </c>
      <c r="AP484" s="48" t="n">
        <v>21</v>
      </c>
      <c r="AQ484" s="48" t="n">
        <v>10</v>
      </c>
      <c r="AR484" s="48" t="n">
        <v>11</v>
      </c>
      <c r="AS484" s="48" t="n">
        <v>8</v>
      </c>
      <c r="AT484" s="48" t="n">
        <v>20</v>
      </c>
      <c r="AU484" s="48" t="n">
        <v>4</v>
      </c>
      <c r="AV484" s="48" t="n">
        <v>45</v>
      </c>
      <c r="AW484" s="48" t="n">
        <v>15</v>
      </c>
      <c r="AX484" s="48" t="n">
        <v>76</v>
      </c>
      <c r="AY484" s="48" t="n">
        <v>14</v>
      </c>
      <c r="AZ484" s="48" t="n">
        <v>4</v>
      </c>
      <c r="BA484" s="48" t="n">
        <v>17</v>
      </c>
      <c r="BB484" s="48" t="n">
        <v>32</v>
      </c>
      <c r="BC484" s="48" t="n">
        <v>33</v>
      </c>
      <c r="BD484" s="48" t="n">
        <v>69</v>
      </c>
      <c r="BE484" s="48" t="n">
        <v>35</v>
      </c>
      <c r="BF484" s="48" t="n">
        <v>8</v>
      </c>
      <c r="BG484" s="49" t="n">
        <v>4.25</v>
      </c>
    </row>
    <row r="485" customFormat="false" ht="15" hidden="false" customHeight="false" outlineLevel="0" collapsed="false">
      <c r="A485" s="43" t="s">
        <v>1206</v>
      </c>
      <c r="B485" s="43" t="s">
        <v>1207</v>
      </c>
      <c r="C485" s="44" t="str">
        <f aca="false">IF(A485="","",IFERROR(INDEX(Assumptions!$B$41:$B$55,MATCH(TRUE(),INDEX(ISNUMBER(SEARCH(" "&amp;Assumptions!$A$41:$A$55&amp;" "," "&amp;SUBSTITUTE(SUBSTITUTE(SUBSTITUTE(SUBSTITUTE(B485,"-"," "),","," "),"/"," "),"."," ")&amp;" ")),0),0)),"Other"))</f>
        <v>Other</v>
      </c>
      <c r="D485" s="45" t="n">
        <f aca="false">IF(A485="","",BG485*(1-Assumptions!$B$18))</f>
        <v>7.5</v>
      </c>
      <c r="E485" s="46" t="n">
        <f aca="false">IF(A485="","",INDEX(Assumptions!$B$23:$B$26,MOD(VALUE(LEFT(A485,5)),4)+1))</f>
        <v>4</v>
      </c>
      <c r="F485" s="47" t="n">
        <v>8</v>
      </c>
      <c r="G485" s="48" t="n">
        <v>0</v>
      </c>
      <c r="H485" s="48" t="n">
        <v>0</v>
      </c>
      <c r="I485" s="48" t="n">
        <v>0</v>
      </c>
      <c r="J485" s="48" t="n">
        <v>0</v>
      </c>
      <c r="K485" s="48" t="n">
        <v>0</v>
      </c>
      <c r="L485" s="48" t="n">
        <v>0</v>
      </c>
      <c r="M485" s="48" t="n">
        <v>0</v>
      </c>
      <c r="N485" s="48" t="n">
        <v>0</v>
      </c>
      <c r="O485" s="48" t="n">
        <v>0</v>
      </c>
      <c r="P485" s="48" t="n">
        <v>0</v>
      </c>
      <c r="Q485" s="48" t="n">
        <v>0</v>
      </c>
      <c r="R485" s="48" t="n">
        <v>0</v>
      </c>
      <c r="S485" s="48" t="n">
        <v>0</v>
      </c>
      <c r="T485" s="48" t="n">
        <v>0</v>
      </c>
      <c r="U485" s="48" t="n">
        <v>0</v>
      </c>
      <c r="V485" s="48" t="n">
        <v>0</v>
      </c>
      <c r="W485" s="48" t="n">
        <v>0</v>
      </c>
      <c r="X485" s="48" t="n">
        <v>0</v>
      </c>
      <c r="Y485" s="48" t="n">
        <v>0</v>
      </c>
      <c r="Z485" s="48" t="n">
        <v>0</v>
      </c>
      <c r="AA485" s="48" t="n">
        <v>0</v>
      </c>
      <c r="AB485" s="48" t="n">
        <v>0</v>
      </c>
      <c r="AC485" s="48" t="n">
        <v>0</v>
      </c>
      <c r="AD485" s="48" t="n">
        <v>0</v>
      </c>
      <c r="AE485" s="48" t="n">
        <v>0</v>
      </c>
      <c r="AF485" s="48" t="n">
        <v>0</v>
      </c>
      <c r="AG485" s="48" t="n">
        <v>0</v>
      </c>
      <c r="AH485" s="48" t="n">
        <v>0</v>
      </c>
      <c r="AI485" s="48" t="n">
        <v>0</v>
      </c>
      <c r="AJ485" s="48" t="n">
        <v>0</v>
      </c>
      <c r="AK485" s="48" t="n">
        <v>0</v>
      </c>
      <c r="AL485" s="48" t="n">
        <v>0</v>
      </c>
      <c r="AM485" s="48" t="n">
        <v>0</v>
      </c>
      <c r="AN485" s="48" t="n">
        <v>0</v>
      </c>
      <c r="AO485" s="48" t="n">
        <v>0</v>
      </c>
      <c r="AP485" s="48" t="n">
        <v>0</v>
      </c>
      <c r="AQ485" s="48" t="n">
        <v>0</v>
      </c>
      <c r="AR485" s="48" t="n">
        <v>0</v>
      </c>
      <c r="AS485" s="48" t="n">
        <v>0</v>
      </c>
      <c r="AT485" s="48" t="n">
        <v>0</v>
      </c>
      <c r="AU485" s="48" t="n">
        <v>0</v>
      </c>
      <c r="AV485" s="48" t="n">
        <v>0</v>
      </c>
      <c r="AW485" s="48" t="n">
        <v>0</v>
      </c>
      <c r="AX485" s="48" t="n">
        <v>0</v>
      </c>
      <c r="AY485" s="48" t="n">
        <v>0</v>
      </c>
      <c r="AZ485" s="48" t="n">
        <v>311</v>
      </c>
      <c r="BA485" s="48" t="n">
        <v>38</v>
      </c>
      <c r="BB485" s="48" t="n">
        <v>12</v>
      </c>
      <c r="BC485" s="48" t="n">
        <v>10</v>
      </c>
      <c r="BD485" s="48" t="n">
        <v>21</v>
      </c>
      <c r="BE485" s="48" t="n">
        <v>32</v>
      </c>
      <c r="BF485" s="48" t="n">
        <v>10</v>
      </c>
      <c r="BG485" s="49" t="n">
        <v>12.5</v>
      </c>
    </row>
    <row r="486" customFormat="false" ht="15" hidden="false" customHeight="false" outlineLevel="0" collapsed="false">
      <c r="A486" s="43" t="s">
        <v>1208</v>
      </c>
      <c r="B486" s="43" t="s">
        <v>1209</v>
      </c>
      <c r="C486" s="44" t="str">
        <f aca="false">IF(A486="","",IFERROR(INDEX(Assumptions!$B$41:$B$55,MATCH(TRUE(),INDEX(ISNUMBER(SEARCH(" "&amp;Assumptions!$A$41:$A$55&amp;" "," "&amp;SUBSTITUTE(SUBSTITUTE(SUBSTITUTE(SUBSTITUTE(B486,"-"," "),","," "),"/"," "),"."," ")&amp;" ")),0),0)),"Other"))</f>
        <v>Other</v>
      </c>
      <c r="D486" s="45" t="n">
        <f aca="false">IF(A486="","",BG486*(1-Assumptions!$B$18))</f>
        <v>5.97</v>
      </c>
      <c r="E486" s="46" t="n">
        <f aca="false">IF(A486="","",INDEX(Assumptions!$B$23:$B$26,MOD(VALUE(LEFT(A486,5)),4)+1))</f>
        <v>4</v>
      </c>
      <c r="F486" s="47" t="n">
        <v>56</v>
      </c>
      <c r="G486" s="48" t="n">
        <v>0</v>
      </c>
      <c r="H486" s="48" t="n">
        <v>0</v>
      </c>
      <c r="I486" s="48" t="n">
        <v>0</v>
      </c>
      <c r="J486" s="48" t="n">
        <v>0</v>
      </c>
      <c r="K486" s="48" t="n">
        <v>0</v>
      </c>
      <c r="L486" s="48" t="n">
        <v>0</v>
      </c>
      <c r="M486" s="48" t="n">
        <v>0</v>
      </c>
      <c r="N486" s="48" t="n">
        <v>0</v>
      </c>
      <c r="O486" s="48" t="n">
        <v>0</v>
      </c>
      <c r="P486" s="48" t="n">
        <v>0</v>
      </c>
      <c r="Q486" s="48" t="n">
        <v>0</v>
      </c>
      <c r="R486" s="48" t="n">
        <v>0</v>
      </c>
      <c r="S486" s="48" t="n">
        <v>0</v>
      </c>
      <c r="T486" s="48" t="n">
        <v>0</v>
      </c>
      <c r="U486" s="48" t="n">
        <v>0</v>
      </c>
      <c r="V486" s="48" t="n">
        <v>0</v>
      </c>
      <c r="W486" s="48" t="n">
        <v>0</v>
      </c>
      <c r="X486" s="48" t="n">
        <v>0</v>
      </c>
      <c r="Y486" s="48" t="n">
        <v>0</v>
      </c>
      <c r="Z486" s="48" t="n">
        <v>0</v>
      </c>
      <c r="AA486" s="48" t="n">
        <v>0</v>
      </c>
      <c r="AB486" s="48" t="n">
        <v>0</v>
      </c>
      <c r="AC486" s="48" t="n">
        <v>0</v>
      </c>
      <c r="AD486" s="48" t="n">
        <v>0</v>
      </c>
      <c r="AE486" s="48" t="n">
        <v>0</v>
      </c>
      <c r="AF486" s="48" t="n">
        <v>0</v>
      </c>
      <c r="AG486" s="48" t="n">
        <v>0</v>
      </c>
      <c r="AH486" s="48" t="n">
        <v>0</v>
      </c>
      <c r="AI486" s="48" t="n">
        <v>0</v>
      </c>
      <c r="AJ486" s="48" t="n">
        <v>0</v>
      </c>
      <c r="AK486" s="48" t="n">
        <v>0</v>
      </c>
      <c r="AL486" s="48" t="n">
        <v>0</v>
      </c>
      <c r="AM486" s="48" t="n">
        <v>0</v>
      </c>
      <c r="AN486" s="48" t="n">
        <v>0</v>
      </c>
      <c r="AO486" s="48" t="n">
        <v>0</v>
      </c>
      <c r="AP486" s="48" t="n">
        <v>0</v>
      </c>
      <c r="AQ486" s="48" t="n">
        <v>0</v>
      </c>
      <c r="AR486" s="48" t="n">
        <v>0</v>
      </c>
      <c r="AS486" s="48" t="n">
        <v>3</v>
      </c>
      <c r="AT486" s="48" t="n">
        <v>34</v>
      </c>
      <c r="AU486" s="48" t="n">
        <v>46</v>
      </c>
      <c r="AV486" s="48" t="n">
        <v>56</v>
      </c>
      <c r="AW486" s="48" t="n">
        <v>36</v>
      </c>
      <c r="AX486" s="48" t="n">
        <v>26</v>
      </c>
      <c r="AY486" s="48" t="n">
        <v>55</v>
      </c>
      <c r="AZ486" s="48" t="n">
        <v>23</v>
      </c>
      <c r="BA486" s="48" t="n">
        <v>15</v>
      </c>
      <c r="BB486" s="48" t="n">
        <v>43</v>
      </c>
      <c r="BC486" s="48" t="n">
        <v>31</v>
      </c>
      <c r="BD486" s="48" t="n">
        <v>60</v>
      </c>
      <c r="BE486" s="48" t="n">
        <v>46</v>
      </c>
      <c r="BF486" s="48" t="n">
        <v>8</v>
      </c>
      <c r="BG486" s="49" t="n">
        <v>9.95</v>
      </c>
    </row>
    <row r="487" customFormat="false" ht="15" hidden="false" customHeight="false" outlineLevel="0" collapsed="false">
      <c r="A487" s="43" t="s">
        <v>1210</v>
      </c>
      <c r="B487" s="43" t="s">
        <v>1211</v>
      </c>
      <c r="C487" s="44" t="str">
        <f aca="false">IF(A487="","",IFERROR(INDEX(Assumptions!$B$41:$B$55,MATCH(TRUE(),INDEX(ISNUMBER(SEARCH(" "&amp;Assumptions!$A$41:$A$55&amp;" "," "&amp;SUBSTITUTE(SUBSTITUTE(SUBSTITUTE(SUBSTITUTE(B487,"-"," "),","," "),"/"," "),"."," ")&amp;" ")),0),0)),"Other"))</f>
        <v>Other</v>
      </c>
      <c r="D487" s="45" t="n">
        <f aca="false">IF(A487="","",BG487*(1-Assumptions!$B$18))</f>
        <v>10.17</v>
      </c>
      <c r="E487" s="46" t="n">
        <f aca="false">IF(A487="","",INDEX(Assumptions!$B$23:$B$26,MOD(VALUE(LEFT(A487,5)),4)+1))</f>
        <v>4</v>
      </c>
      <c r="F487" s="47" t="n">
        <v>49</v>
      </c>
      <c r="G487" s="48" t="n">
        <v>7</v>
      </c>
      <c r="H487" s="48" t="n">
        <v>1</v>
      </c>
      <c r="I487" s="48" t="n">
        <v>4</v>
      </c>
      <c r="J487" s="48" t="n">
        <v>0</v>
      </c>
      <c r="K487" s="48" t="n">
        <v>9</v>
      </c>
      <c r="L487" s="48" t="n">
        <v>11</v>
      </c>
      <c r="M487" s="48" t="n">
        <v>1</v>
      </c>
      <c r="N487" s="48" t="n">
        <v>15</v>
      </c>
      <c r="O487" s="48" t="n">
        <v>23</v>
      </c>
      <c r="P487" s="48" t="n">
        <v>11</v>
      </c>
      <c r="Q487" s="48" t="n">
        <v>2</v>
      </c>
      <c r="R487" s="48" t="n">
        <v>18</v>
      </c>
      <c r="S487" s="48" t="n">
        <v>20</v>
      </c>
      <c r="T487" s="48" t="n">
        <v>11</v>
      </c>
      <c r="U487" s="48" t="n">
        <v>8</v>
      </c>
      <c r="V487" s="48" t="n">
        <v>18</v>
      </c>
      <c r="W487" s="48" t="n">
        <v>23</v>
      </c>
      <c r="X487" s="48" t="n">
        <v>2</v>
      </c>
      <c r="Y487" s="48" t="n">
        <v>10</v>
      </c>
      <c r="Z487" s="48" t="n">
        <v>9</v>
      </c>
      <c r="AA487" s="48" t="n">
        <v>2</v>
      </c>
      <c r="AB487" s="48" t="n">
        <v>10</v>
      </c>
      <c r="AC487" s="48" t="n">
        <v>7</v>
      </c>
      <c r="AD487" s="48" t="n">
        <v>43</v>
      </c>
      <c r="AE487" s="48" t="n">
        <v>7</v>
      </c>
      <c r="AF487" s="48" t="n">
        <v>1</v>
      </c>
      <c r="AG487" s="48" t="n">
        <v>16</v>
      </c>
      <c r="AH487" s="48" t="n">
        <v>8</v>
      </c>
      <c r="AI487" s="48" t="n">
        <v>6</v>
      </c>
      <c r="AJ487" s="48" t="n">
        <v>2</v>
      </c>
      <c r="AK487" s="48" t="n">
        <v>1</v>
      </c>
      <c r="AL487" s="48" t="n">
        <v>0</v>
      </c>
      <c r="AM487" s="48" t="n">
        <v>0</v>
      </c>
      <c r="AN487" s="48" t="n">
        <v>0</v>
      </c>
      <c r="AO487" s="48" t="n">
        <v>8</v>
      </c>
      <c r="AP487" s="48" t="n">
        <v>1</v>
      </c>
      <c r="AQ487" s="48" t="n">
        <v>0</v>
      </c>
      <c r="AR487" s="48" t="n">
        <v>2</v>
      </c>
      <c r="AS487" s="48" t="n">
        <v>0</v>
      </c>
      <c r="AT487" s="48" t="n">
        <v>0</v>
      </c>
      <c r="AU487" s="48" t="n">
        <v>0</v>
      </c>
      <c r="AV487" s="48" t="n">
        <v>0</v>
      </c>
      <c r="AW487" s="48" t="n">
        <v>0</v>
      </c>
      <c r="AX487" s="48" t="n">
        <v>0</v>
      </c>
      <c r="AY487" s="48" t="n">
        <v>0</v>
      </c>
      <c r="AZ487" s="48" t="n">
        <v>1</v>
      </c>
      <c r="BA487" s="48" t="n">
        <v>0</v>
      </c>
      <c r="BB487" s="48" t="n">
        <v>0</v>
      </c>
      <c r="BC487" s="48" t="n">
        <v>0</v>
      </c>
      <c r="BD487" s="48" t="n">
        <v>0</v>
      </c>
      <c r="BE487" s="48" t="n">
        <v>0</v>
      </c>
      <c r="BF487" s="48" t="n">
        <v>0</v>
      </c>
      <c r="BG487" s="49" t="n">
        <v>16.95</v>
      </c>
    </row>
    <row r="488" customFormat="false" ht="15" hidden="false" customHeight="false" outlineLevel="0" collapsed="false">
      <c r="A488" s="43" t="s">
        <v>1212</v>
      </c>
      <c r="B488" s="43" t="s">
        <v>1213</v>
      </c>
      <c r="C488" s="44" t="str">
        <f aca="false">IF(A488="","",IFERROR(INDEX(Assumptions!$B$41:$B$55,MATCH(TRUE(),INDEX(ISNUMBER(SEARCH(" "&amp;Assumptions!$A$41:$A$55&amp;" "," "&amp;SUBSTITUTE(SUBSTITUTE(SUBSTITUTE(SUBSTITUTE(B488,"-"," "),","," "),"/"," "),"."," ")&amp;" ")),0),0)),"Other"))</f>
        <v>Other</v>
      </c>
      <c r="D488" s="45" t="n">
        <f aca="false">IF(A488="","",BG488*(1-Assumptions!$B$18))</f>
        <v>1.17</v>
      </c>
      <c r="E488" s="46" t="n">
        <f aca="false">IF(A488="","",INDEX(Assumptions!$B$23:$B$26,MOD(VALUE(LEFT(A488,5)),4)+1))</f>
        <v>6</v>
      </c>
      <c r="F488" s="47" t="n">
        <v>1170</v>
      </c>
      <c r="G488" s="48" t="n">
        <v>28</v>
      </c>
      <c r="H488" s="48" t="n">
        <v>15</v>
      </c>
      <c r="I488" s="48" t="n">
        <v>4</v>
      </c>
      <c r="J488" s="48" t="n">
        <v>0</v>
      </c>
      <c r="K488" s="48" t="n">
        <v>18</v>
      </c>
      <c r="L488" s="48" t="n">
        <v>119</v>
      </c>
      <c r="M488" s="48" t="n">
        <v>58</v>
      </c>
      <c r="N488" s="48" t="n">
        <v>22</v>
      </c>
      <c r="O488" s="48" t="n">
        <v>30</v>
      </c>
      <c r="P488" s="48" t="n">
        <v>2</v>
      </c>
      <c r="Q488" s="48" t="n">
        <v>43</v>
      </c>
      <c r="R488" s="48" t="n">
        <v>141</v>
      </c>
      <c r="S488" s="48" t="n">
        <v>48</v>
      </c>
      <c r="T488" s="48" t="n">
        <v>39</v>
      </c>
      <c r="U488" s="48" t="n">
        <v>13</v>
      </c>
      <c r="V488" s="48" t="n">
        <v>18</v>
      </c>
      <c r="W488" s="48" t="n">
        <v>49</v>
      </c>
      <c r="X488" s="48" t="n">
        <v>19</v>
      </c>
      <c r="Y488" s="48" t="n">
        <v>44</v>
      </c>
      <c r="Z488" s="48" t="n">
        <v>12</v>
      </c>
      <c r="AA488" s="48" t="n">
        <v>33</v>
      </c>
      <c r="AB488" s="48" t="n">
        <v>25</v>
      </c>
      <c r="AC488" s="48" t="n">
        <v>59</v>
      </c>
      <c r="AD488" s="48" t="n">
        <v>40</v>
      </c>
      <c r="AE488" s="48" t="n">
        <v>19</v>
      </c>
      <c r="AF488" s="48" t="n">
        <v>35</v>
      </c>
      <c r="AG488" s="48" t="n">
        <v>38</v>
      </c>
      <c r="AH488" s="48" t="n">
        <v>145</v>
      </c>
      <c r="AI488" s="48" t="n">
        <v>15</v>
      </c>
      <c r="AJ488" s="48" t="n">
        <v>12</v>
      </c>
      <c r="AK488" s="48" t="n">
        <v>11</v>
      </c>
      <c r="AL488" s="48" t="n">
        <v>29</v>
      </c>
      <c r="AM488" s="48" t="n">
        <v>22</v>
      </c>
      <c r="AN488" s="48" t="n">
        <v>30</v>
      </c>
      <c r="AO488" s="48" t="n">
        <v>63</v>
      </c>
      <c r="AP488" s="48" t="n">
        <v>45</v>
      </c>
      <c r="AQ488" s="48" t="n">
        <v>135</v>
      </c>
      <c r="AR488" s="48" t="n">
        <v>43</v>
      </c>
      <c r="AS488" s="48" t="n">
        <v>3</v>
      </c>
      <c r="AT488" s="48" t="n">
        <v>78</v>
      </c>
      <c r="AU488" s="48" t="n">
        <v>38</v>
      </c>
      <c r="AV488" s="48" t="n">
        <v>48</v>
      </c>
      <c r="AW488" s="48" t="n">
        <v>23</v>
      </c>
      <c r="AX488" s="48" t="n">
        <v>33</v>
      </c>
      <c r="AY488" s="48" t="n">
        <v>33</v>
      </c>
      <c r="AZ488" s="48" t="n">
        <v>42</v>
      </c>
      <c r="BA488" s="48" t="n">
        <v>37</v>
      </c>
      <c r="BB488" s="48" t="n">
        <v>53</v>
      </c>
      <c r="BC488" s="48" t="n">
        <v>163</v>
      </c>
      <c r="BD488" s="48" t="n">
        <v>110</v>
      </c>
      <c r="BE488" s="48" t="n">
        <v>83</v>
      </c>
      <c r="BF488" s="48" t="n">
        <v>74</v>
      </c>
      <c r="BG488" s="49" t="n">
        <v>1.95</v>
      </c>
    </row>
    <row r="489" customFormat="false" ht="15" hidden="false" customHeight="false" outlineLevel="0" collapsed="false">
      <c r="A489" s="43" t="s">
        <v>1214</v>
      </c>
      <c r="B489" s="43" t="s">
        <v>1215</v>
      </c>
      <c r="C489" s="44" t="str">
        <f aca="false">IF(A489="","",IFERROR(INDEX(Assumptions!$B$41:$B$55,MATCH(TRUE(),INDEX(ISNUMBER(SEARCH(" "&amp;Assumptions!$A$41:$A$55&amp;" "," "&amp;SUBSTITUTE(SUBSTITUTE(SUBSTITUTE(SUBSTITUTE(B489,"-"," "),","," "),"/"," "),"."," ")&amp;" ")),0),0)),"Other"))</f>
        <v>Other</v>
      </c>
      <c r="D489" s="45" t="n">
        <f aca="false">IF(A489="","",BG489*(1-Assumptions!$B$18))</f>
        <v>0.75</v>
      </c>
      <c r="E489" s="46" t="n">
        <f aca="false">IF(A489="","",INDEX(Assumptions!$B$23:$B$26,MOD(VALUE(LEFT(A489,5)),4)+1))</f>
        <v>8</v>
      </c>
      <c r="F489" s="47" t="n">
        <v>2236</v>
      </c>
      <c r="G489" s="48" t="n">
        <v>0</v>
      </c>
      <c r="H489" s="48" t="n">
        <v>0</v>
      </c>
      <c r="I489" s="48" t="n">
        <v>0</v>
      </c>
      <c r="J489" s="48" t="n">
        <v>0</v>
      </c>
      <c r="K489" s="48" t="n">
        <v>0</v>
      </c>
      <c r="L489" s="48" t="n">
        <v>0</v>
      </c>
      <c r="M489" s="48" t="n">
        <v>0</v>
      </c>
      <c r="N489" s="48" t="n">
        <v>0</v>
      </c>
      <c r="O489" s="48" t="n">
        <v>0</v>
      </c>
      <c r="P489" s="48" t="n">
        <v>0</v>
      </c>
      <c r="Q489" s="48" t="n">
        <v>0</v>
      </c>
      <c r="R489" s="48" t="n">
        <v>0</v>
      </c>
      <c r="S489" s="48" t="n">
        <v>0</v>
      </c>
      <c r="T489" s="48" t="n">
        <v>0</v>
      </c>
      <c r="U489" s="48" t="n">
        <v>0</v>
      </c>
      <c r="V489" s="48" t="n">
        <v>0</v>
      </c>
      <c r="W489" s="48" t="n">
        <v>0</v>
      </c>
      <c r="X489" s="48" t="n">
        <v>0</v>
      </c>
      <c r="Y489" s="48" t="n">
        <v>0</v>
      </c>
      <c r="Z489" s="48" t="n">
        <v>0</v>
      </c>
      <c r="AA489" s="48" t="n">
        <v>0</v>
      </c>
      <c r="AB489" s="48" t="n">
        <v>0</v>
      </c>
      <c r="AC489" s="48" t="n">
        <v>0</v>
      </c>
      <c r="AD489" s="48" t="n">
        <v>0</v>
      </c>
      <c r="AE489" s="48" t="n">
        <v>0</v>
      </c>
      <c r="AF489" s="48" t="n">
        <v>47</v>
      </c>
      <c r="AG489" s="48" t="n">
        <v>14</v>
      </c>
      <c r="AH489" s="48" t="n">
        <v>95</v>
      </c>
      <c r="AI489" s="48" t="n">
        <v>60</v>
      </c>
      <c r="AJ489" s="48" t="n">
        <v>52</v>
      </c>
      <c r="AK489" s="48" t="n">
        <v>16</v>
      </c>
      <c r="AL489" s="48" t="n">
        <v>77</v>
      </c>
      <c r="AM489" s="48" t="n">
        <v>68</v>
      </c>
      <c r="AN489" s="48" t="n">
        <v>123</v>
      </c>
      <c r="AO489" s="48" t="n">
        <v>97</v>
      </c>
      <c r="AP489" s="48" t="n">
        <v>70</v>
      </c>
      <c r="AQ489" s="48" t="n">
        <v>90</v>
      </c>
      <c r="AR489" s="48" t="n">
        <v>142</v>
      </c>
      <c r="AS489" s="48" t="n">
        <v>90</v>
      </c>
      <c r="AT489" s="48" t="n">
        <v>101</v>
      </c>
      <c r="AU489" s="48" t="n">
        <v>82</v>
      </c>
      <c r="AV489" s="48" t="n">
        <v>222</v>
      </c>
      <c r="AW489" s="48" t="n">
        <v>196</v>
      </c>
      <c r="AX489" s="48" t="n">
        <v>157</v>
      </c>
      <c r="AY489" s="48" t="n">
        <v>186</v>
      </c>
      <c r="AZ489" s="48" t="n">
        <v>316</v>
      </c>
      <c r="BA489" s="48" t="n">
        <v>194</v>
      </c>
      <c r="BB489" s="48" t="n">
        <v>219</v>
      </c>
      <c r="BC489" s="48" t="n">
        <v>305</v>
      </c>
      <c r="BD489" s="48" t="n">
        <v>307</v>
      </c>
      <c r="BE489" s="48" t="n">
        <v>261</v>
      </c>
      <c r="BF489" s="48" t="n">
        <v>164</v>
      </c>
      <c r="BG489" s="49" t="n">
        <v>1.25</v>
      </c>
    </row>
    <row r="490" customFormat="false" ht="15" hidden="false" customHeight="false" outlineLevel="0" collapsed="false">
      <c r="A490" s="43" t="s">
        <v>1216</v>
      </c>
      <c r="B490" s="43" t="s">
        <v>1217</v>
      </c>
      <c r="C490" s="44" t="str">
        <f aca="false">IF(A490="","",IFERROR(INDEX(Assumptions!$B$41:$B$55,MATCH(TRUE(),INDEX(ISNUMBER(SEARCH(" "&amp;Assumptions!$A$41:$A$55&amp;" "," "&amp;SUBSTITUTE(SUBSTITUTE(SUBSTITUTE(SUBSTITUTE(B490,"-"," "),","," "),"/"," "),"."," ")&amp;" ")),0),0)),"Other"))</f>
        <v>Bags</v>
      </c>
      <c r="D490" s="45" t="n">
        <f aca="false">IF(A490="","",BG490*(1-Assumptions!$B$18))</f>
        <v>0.99</v>
      </c>
      <c r="E490" s="46" t="n">
        <f aca="false">IF(A490="","",INDEX(Assumptions!$B$23:$B$26,MOD(VALUE(LEFT(A490,5)),4)+1))</f>
        <v>2</v>
      </c>
      <c r="F490" s="47" t="n">
        <v>619</v>
      </c>
      <c r="G490" s="48" t="n">
        <v>10</v>
      </c>
      <c r="H490" s="48" t="n">
        <v>0</v>
      </c>
      <c r="I490" s="48" t="n">
        <v>0</v>
      </c>
      <c r="J490" s="48" t="n">
        <v>0</v>
      </c>
      <c r="K490" s="48" t="n">
        <v>5</v>
      </c>
      <c r="L490" s="48" t="n">
        <v>0</v>
      </c>
      <c r="M490" s="48" t="n">
        <v>56</v>
      </c>
      <c r="N490" s="48" t="n">
        <v>1</v>
      </c>
      <c r="O490" s="48" t="n">
        <v>5</v>
      </c>
      <c r="P490" s="48" t="n">
        <v>2</v>
      </c>
      <c r="Q490" s="48" t="n">
        <v>2</v>
      </c>
      <c r="R490" s="48" t="n">
        <v>0</v>
      </c>
      <c r="S490" s="48" t="n">
        <v>25</v>
      </c>
      <c r="T490" s="48" t="n">
        <v>10</v>
      </c>
      <c r="U490" s="48" t="n">
        <v>0</v>
      </c>
      <c r="V490" s="48" t="n">
        <v>33</v>
      </c>
      <c r="W490" s="48" t="n">
        <v>33</v>
      </c>
      <c r="X490" s="48" t="n">
        <v>22</v>
      </c>
      <c r="Y490" s="48" t="n">
        <v>23</v>
      </c>
      <c r="Z490" s="48" t="n">
        <v>10</v>
      </c>
      <c r="AA490" s="48" t="n">
        <v>92</v>
      </c>
      <c r="AB490" s="48" t="n">
        <v>166</v>
      </c>
      <c r="AC490" s="48" t="n">
        <v>366</v>
      </c>
      <c r="AD490" s="48" t="n">
        <v>89</v>
      </c>
      <c r="AE490" s="48" t="n">
        <v>115</v>
      </c>
      <c r="AF490" s="48" t="n">
        <v>80</v>
      </c>
      <c r="AG490" s="48" t="n">
        <v>182</v>
      </c>
      <c r="AH490" s="48" t="n">
        <v>60</v>
      </c>
      <c r="AI490" s="48" t="n">
        <v>99</v>
      </c>
      <c r="AJ490" s="48" t="n">
        <v>104</v>
      </c>
      <c r="AK490" s="48" t="n">
        <v>116</v>
      </c>
      <c r="AL490" s="48" t="n">
        <v>33</v>
      </c>
      <c r="AM490" s="48" t="n">
        <v>140</v>
      </c>
      <c r="AN490" s="48" t="n">
        <v>93</v>
      </c>
      <c r="AO490" s="48" t="n">
        <v>86</v>
      </c>
      <c r="AP490" s="48" t="n">
        <v>26</v>
      </c>
      <c r="AQ490" s="48" t="n">
        <v>93</v>
      </c>
      <c r="AR490" s="48" t="n">
        <v>88</v>
      </c>
      <c r="AS490" s="48" t="n">
        <v>34</v>
      </c>
      <c r="AT490" s="48" t="n">
        <v>10</v>
      </c>
      <c r="AU490" s="48" t="n">
        <v>33</v>
      </c>
      <c r="AV490" s="48" t="n">
        <v>18</v>
      </c>
      <c r="AW490" s="48" t="n">
        <v>24</v>
      </c>
      <c r="AX490" s="48" t="n">
        <v>26</v>
      </c>
      <c r="AY490" s="48" t="n">
        <v>32</v>
      </c>
      <c r="AZ490" s="48" t="n">
        <v>11</v>
      </c>
      <c r="BA490" s="48" t="n">
        <v>29</v>
      </c>
      <c r="BB490" s="48" t="n">
        <v>56</v>
      </c>
      <c r="BC490" s="48" t="n">
        <v>60</v>
      </c>
      <c r="BD490" s="48" t="n">
        <v>32</v>
      </c>
      <c r="BE490" s="48" t="n">
        <v>14</v>
      </c>
      <c r="BF490" s="48" t="n">
        <v>40</v>
      </c>
      <c r="BG490" s="49" t="n">
        <v>1.65</v>
      </c>
    </row>
    <row r="491" customFormat="false" ht="15" hidden="false" customHeight="false" outlineLevel="0" collapsed="false">
      <c r="A491" s="43" t="s">
        <v>1218</v>
      </c>
      <c r="B491" s="43" t="s">
        <v>1219</v>
      </c>
      <c r="C491" s="44" t="str">
        <f aca="false">IF(A491="","",IFERROR(INDEX(Assumptions!$B$41:$B$55,MATCH(TRUE(),INDEX(ISNUMBER(SEARCH(" "&amp;Assumptions!$A$41:$A$55&amp;" "," "&amp;SUBSTITUTE(SUBSTITUTE(SUBSTITUTE(SUBSTITUTE(B491,"-"," "),","," "),"/"," "),"."," ")&amp;" ")),0),0)),"Other"))</f>
        <v>Kitchen</v>
      </c>
      <c r="D491" s="45" t="n">
        <f aca="false">IF(A491="","",BG491*(1-Assumptions!$B$18))</f>
        <v>5.97</v>
      </c>
      <c r="E491" s="46" t="n">
        <f aca="false">IF(A491="","",INDEX(Assumptions!$B$23:$B$26,MOD(VALUE(LEFT(A491,5)),4)+1))</f>
        <v>4</v>
      </c>
      <c r="F491" s="47" t="n">
        <v>83</v>
      </c>
      <c r="G491" s="48" t="n">
        <v>30</v>
      </c>
      <c r="H491" s="48" t="n">
        <v>24</v>
      </c>
      <c r="I491" s="48" t="n">
        <v>2</v>
      </c>
      <c r="J491" s="48" t="n">
        <v>0</v>
      </c>
      <c r="K491" s="48" t="n">
        <v>56</v>
      </c>
      <c r="L491" s="48" t="n">
        <v>3</v>
      </c>
      <c r="M491" s="48" t="n">
        <v>20</v>
      </c>
      <c r="N491" s="48" t="n">
        <v>9</v>
      </c>
      <c r="O491" s="48" t="n">
        <v>4</v>
      </c>
      <c r="P491" s="48" t="n">
        <v>19</v>
      </c>
      <c r="Q491" s="48" t="n">
        <v>11</v>
      </c>
      <c r="R491" s="48" t="n">
        <v>24</v>
      </c>
      <c r="S491" s="48" t="n">
        <v>2</v>
      </c>
      <c r="T491" s="48" t="n">
        <v>3</v>
      </c>
      <c r="U491" s="48" t="n">
        <v>5</v>
      </c>
      <c r="V491" s="48" t="n">
        <v>8</v>
      </c>
      <c r="W491" s="48" t="n">
        <v>19</v>
      </c>
      <c r="X491" s="48" t="n">
        <v>4</v>
      </c>
      <c r="Y491" s="48" t="n">
        <v>10</v>
      </c>
      <c r="Z491" s="48" t="n">
        <v>8</v>
      </c>
      <c r="AA491" s="48" t="n">
        <v>3</v>
      </c>
      <c r="AB491" s="48" t="n">
        <v>5</v>
      </c>
      <c r="AC491" s="48" t="n">
        <v>1</v>
      </c>
      <c r="AD491" s="48" t="n">
        <v>38</v>
      </c>
      <c r="AE491" s="48" t="n">
        <v>8</v>
      </c>
      <c r="AF491" s="48" t="n">
        <v>3</v>
      </c>
      <c r="AG491" s="48" t="n">
        <v>5</v>
      </c>
      <c r="AH491" s="48" t="n">
        <v>7</v>
      </c>
      <c r="AI491" s="48" t="n">
        <v>3</v>
      </c>
      <c r="AJ491" s="48" t="n">
        <v>3</v>
      </c>
      <c r="AK491" s="48" t="n">
        <v>0</v>
      </c>
      <c r="AL491" s="48" t="n">
        <v>11</v>
      </c>
      <c r="AM491" s="48" t="n">
        <v>0</v>
      </c>
      <c r="AN491" s="48" t="n">
        <v>2</v>
      </c>
      <c r="AO491" s="48" t="n">
        <v>10</v>
      </c>
      <c r="AP491" s="48" t="n">
        <v>2</v>
      </c>
      <c r="AQ491" s="48" t="n">
        <v>6</v>
      </c>
      <c r="AR491" s="48" t="n">
        <v>49</v>
      </c>
      <c r="AS491" s="48" t="n">
        <v>5</v>
      </c>
      <c r="AT491" s="48" t="n">
        <v>2</v>
      </c>
      <c r="AU491" s="48" t="n">
        <v>3</v>
      </c>
      <c r="AV491" s="48" t="n">
        <v>0</v>
      </c>
      <c r="AW491" s="48" t="n">
        <v>0</v>
      </c>
      <c r="AX491" s="48" t="n">
        <v>8</v>
      </c>
      <c r="AY491" s="48" t="n">
        <v>2</v>
      </c>
      <c r="AZ491" s="48" t="n">
        <v>58</v>
      </c>
      <c r="BA491" s="48" t="n">
        <v>3</v>
      </c>
      <c r="BB491" s="48" t="n">
        <v>18</v>
      </c>
      <c r="BC491" s="48" t="n">
        <v>4</v>
      </c>
      <c r="BD491" s="48" t="n">
        <v>8</v>
      </c>
      <c r="BE491" s="48" t="n">
        <v>5</v>
      </c>
      <c r="BF491" s="48" t="n">
        <v>9</v>
      </c>
      <c r="BG491" s="49" t="n">
        <v>9.95</v>
      </c>
    </row>
    <row r="492" customFormat="false" ht="15" hidden="false" customHeight="false" outlineLevel="0" collapsed="false">
      <c r="A492" s="43" t="s">
        <v>1220</v>
      </c>
      <c r="B492" s="43" t="s">
        <v>1221</v>
      </c>
      <c r="C492" s="44" t="str">
        <f aca="false">IF(A492="","",IFERROR(INDEX(Assumptions!$B$41:$B$55,MATCH(TRUE(),INDEX(ISNUMBER(SEARCH(" "&amp;Assumptions!$A$41:$A$55&amp;" "," "&amp;SUBSTITUTE(SUBSTITUTE(SUBSTITUTE(SUBSTITUTE(B492,"-"," "),","," "),"/"," "),"."," ")&amp;" ")),0),0)),"Other"))</f>
        <v>Other</v>
      </c>
      <c r="D492" s="45" t="n">
        <f aca="false">IF(A492="","",BG492*(1-Assumptions!$B$18))</f>
        <v>0.39</v>
      </c>
      <c r="E492" s="46" t="n">
        <f aca="false">IF(A492="","",INDEX(Assumptions!$B$23:$B$26,MOD(VALUE(LEFT(A492,5)),4)+1))</f>
        <v>2</v>
      </c>
      <c r="F492" s="47" t="n">
        <v>8687</v>
      </c>
      <c r="G492" s="48" t="n">
        <v>24</v>
      </c>
      <c r="H492" s="48" t="n">
        <v>504</v>
      </c>
      <c r="I492" s="48" t="n">
        <v>0</v>
      </c>
      <c r="J492" s="48" t="n">
        <v>0</v>
      </c>
      <c r="K492" s="48" t="n">
        <v>24</v>
      </c>
      <c r="L492" s="48" t="n">
        <v>12</v>
      </c>
      <c r="M492" s="48" t="n">
        <v>497</v>
      </c>
      <c r="N492" s="48" t="n">
        <v>0</v>
      </c>
      <c r="O492" s="48" t="n">
        <v>36</v>
      </c>
      <c r="P492" s="48" t="n">
        <v>48</v>
      </c>
      <c r="Q492" s="48" t="n">
        <v>247</v>
      </c>
      <c r="R492" s="48" t="n">
        <v>24</v>
      </c>
      <c r="S492" s="48" t="n">
        <v>7</v>
      </c>
      <c r="T492" s="48" t="n">
        <v>108</v>
      </c>
      <c r="U492" s="48" t="n">
        <v>78</v>
      </c>
      <c r="V492" s="48" t="n">
        <v>126</v>
      </c>
      <c r="W492" s="48" t="n">
        <v>48</v>
      </c>
      <c r="X492" s="48" t="n">
        <v>1200</v>
      </c>
      <c r="Y492" s="48" t="n">
        <v>0</v>
      </c>
      <c r="Z492" s="48" t="n">
        <v>138</v>
      </c>
      <c r="AA492" s="48" t="n">
        <v>48</v>
      </c>
      <c r="AB492" s="48" t="n">
        <v>66</v>
      </c>
      <c r="AC492" s="48" t="n">
        <v>506</v>
      </c>
      <c r="AD492" s="48" t="n">
        <v>84</v>
      </c>
      <c r="AE492" s="48" t="n">
        <v>96</v>
      </c>
      <c r="AF492" s="48" t="n">
        <v>312</v>
      </c>
      <c r="AG492" s="48" t="n">
        <v>721</v>
      </c>
      <c r="AH492" s="48" t="n">
        <v>192</v>
      </c>
      <c r="AI492" s="48" t="n">
        <v>60</v>
      </c>
      <c r="AJ492" s="48" t="n">
        <v>481</v>
      </c>
      <c r="AK492" s="48" t="n">
        <v>102</v>
      </c>
      <c r="AL492" s="48" t="n">
        <v>48</v>
      </c>
      <c r="AM492" s="48" t="n">
        <v>198</v>
      </c>
      <c r="AN492" s="48" t="n">
        <v>1008</v>
      </c>
      <c r="AO492" s="48" t="n">
        <v>24</v>
      </c>
      <c r="AP492" s="48" t="n">
        <v>0</v>
      </c>
      <c r="AQ492" s="48" t="n">
        <v>564</v>
      </c>
      <c r="AR492" s="48" t="n">
        <v>24</v>
      </c>
      <c r="AS492" s="48" t="n">
        <v>960</v>
      </c>
      <c r="AT492" s="48" t="n">
        <v>504</v>
      </c>
      <c r="AU492" s="48" t="n">
        <v>0</v>
      </c>
      <c r="AV492" s="48" t="n">
        <v>24</v>
      </c>
      <c r="AW492" s="48" t="n">
        <v>24</v>
      </c>
      <c r="AX492" s="48" t="n">
        <v>480</v>
      </c>
      <c r="AY492" s="48" t="n">
        <v>0</v>
      </c>
      <c r="AZ492" s="48" t="n">
        <v>0</v>
      </c>
      <c r="BA492" s="48" t="n">
        <v>54</v>
      </c>
      <c r="BB492" s="48" t="n">
        <v>0</v>
      </c>
      <c r="BC492" s="48" t="n">
        <v>53</v>
      </c>
      <c r="BD492" s="48" t="n">
        <v>2</v>
      </c>
      <c r="BE492" s="48" t="n">
        <v>30</v>
      </c>
      <c r="BF492" s="48" t="n">
        <v>480</v>
      </c>
      <c r="BG492" s="49" t="n">
        <v>0.65</v>
      </c>
    </row>
    <row r="493" customFormat="false" ht="15" hidden="false" customHeight="false" outlineLevel="0" collapsed="false">
      <c r="A493" s="43" t="s">
        <v>1222</v>
      </c>
      <c r="B493" s="43" t="s">
        <v>1223</v>
      </c>
      <c r="C493" s="44" t="str">
        <f aca="false">IF(A493="","",IFERROR(INDEX(Assumptions!$B$41:$B$55,MATCH(TRUE(),INDEX(ISNUMBER(SEARCH(" "&amp;Assumptions!$A$41:$A$55&amp;" "," "&amp;SUBSTITUTE(SUBSTITUTE(SUBSTITUTE(SUBSTITUTE(B493,"-"," "),","," "),"/"," "),"."," ")&amp;" ")),0),0)),"Other"))</f>
        <v>Bags</v>
      </c>
      <c r="D493" s="45" t="n">
        <f aca="false">IF(A493="","",BG493*(1-Assumptions!$B$18))</f>
        <v>1.77</v>
      </c>
      <c r="E493" s="46" t="n">
        <f aca="false">IF(A493="","",INDEX(Assumptions!$B$23:$B$26,MOD(VALUE(LEFT(A493,5)),4)+1))</f>
        <v>4</v>
      </c>
      <c r="F493" s="47" t="n">
        <v>263</v>
      </c>
      <c r="G493" s="48" t="n">
        <v>14</v>
      </c>
      <c r="H493" s="48" t="n">
        <v>0</v>
      </c>
      <c r="I493" s="48" t="n">
        <v>0</v>
      </c>
      <c r="J493" s="48" t="n">
        <v>0</v>
      </c>
      <c r="K493" s="48" t="n">
        <v>0</v>
      </c>
      <c r="L493" s="48" t="n">
        <v>5</v>
      </c>
      <c r="M493" s="48" t="n">
        <v>56</v>
      </c>
      <c r="N493" s="48" t="n">
        <v>36</v>
      </c>
      <c r="O493" s="48" t="n">
        <v>6</v>
      </c>
      <c r="P493" s="48" t="n">
        <v>5</v>
      </c>
      <c r="Q493" s="48" t="n">
        <v>14</v>
      </c>
      <c r="R493" s="48" t="n">
        <v>75</v>
      </c>
      <c r="S493" s="48" t="n">
        <v>47</v>
      </c>
      <c r="T493" s="48" t="n">
        <v>109</v>
      </c>
      <c r="U493" s="48" t="n">
        <v>12</v>
      </c>
      <c r="V493" s="48" t="n">
        <v>33</v>
      </c>
      <c r="W493" s="48" t="n">
        <v>155</v>
      </c>
      <c r="X493" s="48" t="n">
        <v>96</v>
      </c>
      <c r="Y493" s="48" t="n">
        <v>53</v>
      </c>
      <c r="Z493" s="48" t="n">
        <v>47</v>
      </c>
      <c r="AA493" s="48" t="n">
        <v>67</v>
      </c>
      <c r="AB493" s="48" t="n">
        <v>114</v>
      </c>
      <c r="AC493" s="48" t="n">
        <v>265</v>
      </c>
      <c r="AD493" s="48" t="n">
        <v>96</v>
      </c>
      <c r="AE493" s="48" t="n">
        <v>51</v>
      </c>
      <c r="AF493" s="48" t="n">
        <v>99</v>
      </c>
      <c r="AG493" s="48" t="n">
        <v>148</v>
      </c>
      <c r="AH493" s="48" t="n">
        <v>97</v>
      </c>
      <c r="AI493" s="48" t="n">
        <v>2</v>
      </c>
      <c r="AJ493" s="48" t="n">
        <v>0</v>
      </c>
      <c r="AK493" s="48" t="n">
        <v>0</v>
      </c>
      <c r="AL493" s="48" t="n">
        <v>0</v>
      </c>
      <c r="AM493" s="48" t="n">
        <v>0</v>
      </c>
      <c r="AN493" s="48" t="n">
        <v>0</v>
      </c>
      <c r="AO493" s="48" t="n">
        <v>0</v>
      </c>
      <c r="AP493" s="48" t="n">
        <v>0</v>
      </c>
      <c r="AQ493" s="48" t="n">
        <v>0</v>
      </c>
      <c r="AR493" s="48" t="n">
        <v>0</v>
      </c>
      <c r="AS493" s="48" t="n">
        <v>0</v>
      </c>
      <c r="AT493" s="48" t="n">
        <v>0</v>
      </c>
      <c r="AU493" s="48" t="n">
        <v>0</v>
      </c>
      <c r="AV493" s="48" t="n">
        <v>0</v>
      </c>
      <c r="AW493" s="48" t="n">
        <v>0</v>
      </c>
      <c r="AX493" s="48" t="n">
        <v>0</v>
      </c>
      <c r="AY493" s="48" t="n">
        <v>0</v>
      </c>
      <c r="AZ493" s="48" t="n">
        <v>0</v>
      </c>
      <c r="BA493" s="48" t="n">
        <v>0</v>
      </c>
      <c r="BB493" s="48" t="n">
        <v>0</v>
      </c>
      <c r="BC493" s="48" t="n">
        <v>0</v>
      </c>
      <c r="BD493" s="48" t="n">
        <v>0</v>
      </c>
      <c r="BE493" s="48" t="n">
        <v>1</v>
      </c>
      <c r="BF493" s="48" t="n">
        <v>4</v>
      </c>
      <c r="BG493" s="49" t="n">
        <v>2.95</v>
      </c>
    </row>
    <row r="494" customFormat="false" ht="15" hidden="false" customHeight="false" outlineLevel="0" collapsed="false">
      <c r="A494" s="43" t="s">
        <v>1224</v>
      </c>
      <c r="B494" s="43" t="s">
        <v>1225</v>
      </c>
      <c r="C494" s="44" t="str">
        <f aca="false">IF(A494="","",IFERROR(INDEX(Assumptions!$B$41:$B$55,MATCH(TRUE(),INDEX(ISNUMBER(SEARCH(" "&amp;Assumptions!$A$41:$A$55&amp;" "," "&amp;SUBSTITUTE(SUBSTITUTE(SUBSTITUTE(SUBSTITUTE(B494,"-"," "),","," "),"/"," "),"."," ")&amp;" ")),0),0)),"Other"))</f>
        <v>Other</v>
      </c>
      <c r="D494" s="45" t="n">
        <f aca="false">IF(A494="","",BG494*(1-Assumptions!$B$18))</f>
        <v>10.17</v>
      </c>
      <c r="E494" s="46" t="n">
        <f aca="false">IF(A494="","",INDEX(Assumptions!$B$23:$B$26,MOD(VALUE(LEFT(A494,5)),4)+1))</f>
        <v>6</v>
      </c>
      <c r="F494" s="47" t="n">
        <v>55</v>
      </c>
      <c r="G494" s="48" t="n">
        <v>0</v>
      </c>
      <c r="H494" s="48" t="n">
        <v>0</v>
      </c>
      <c r="I494" s="48" t="n">
        <v>0</v>
      </c>
      <c r="J494" s="48" t="n">
        <v>0</v>
      </c>
      <c r="K494" s="48" t="n">
        <v>0</v>
      </c>
      <c r="L494" s="48" t="n">
        <v>0</v>
      </c>
      <c r="M494" s="48" t="n">
        <v>0</v>
      </c>
      <c r="N494" s="48" t="n">
        <v>0</v>
      </c>
      <c r="O494" s="48" t="n">
        <v>0</v>
      </c>
      <c r="P494" s="48" t="n">
        <v>0</v>
      </c>
      <c r="Q494" s="48" t="n">
        <v>0</v>
      </c>
      <c r="R494" s="48" t="n">
        <v>0</v>
      </c>
      <c r="S494" s="48" t="n">
        <v>0</v>
      </c>
      <c r="T494" s="48" t="n">
        <v>42</v>
      </c>
      <c r="U494" s="48" t="n">
        <v>44</v>
      </c>
      <c r="V494" s="48" t="n">
        <v>9</v>
      </c>
      <c r="W494" s="48" t="n">
        <v>22</v>
      </c>
      <c r="X494" s="48" t="n">
        <v>12</v>
      </c>
      <c r="Y494" s="48" t="n">
        <v>18</v>
      </c>
      <c r="Z494" s="48" t="n">
        <v>2</v>
      </c>
      <c r="AA494" s="48" t="n">
        <v>2</v>
      </c>
      <c r="AB494" s="48" t="n">
        <v>2</v>
      </c>
      <c r="AC494" s="48" t="n">
        <v>14</v>
      </c>
      <c r="AD494" s="48" t="n">
        <v>8</v>
      </c>
      <c r="AE494" s="48" t="n">
        <v>8</v>
      </c>
      <c r="AF494" s="48" t="n">
        <v>5</v>
      </c>
      <c r="AG494" s="48" t="n">
        <v>3</v>
      </c>
      <c r="AH494" s="48" t="n">
        <v>6</v>
      </c>
      <c r="AI494" s="48" t="n">
        <v>2</v>
      </c>
      <c r="AJ494" s="48" t="n">
        <v>1</v>
      </c>
      <c r="AK494" s="48" t="n">
        <v>2</v>
      </c>
      <c r="AL494" s="48" t="n">
        <v>1</v>
      </c>
      <c r="AM494" s="48" t="n">
        <v>6</v>
      </c>
      <c r="AN494" s="48" t="n">
        <v>13</v>
      </c>
      <c r="AO494" s="48" t="n">
        <v>2</v>
      </c>
      <c r="AP494" s="48" t="n">
        <v>0</v>
      </c>
      <c r="AQ494" s="48" t="n">
        <v>2</v>
      </c>
      <c r="AR494" s="48" t="n">
        <v>1</v>
      </c>
      <c r="AS494" s="48" t="n">
        <v>4</v>
      </c>
      <c r="AT494" s="48" t="n">
        <v>1</v>
      </c>
      <c r="AU494" s="48" t="n">
        <v>0</v>
      </c>
      <c r="AV494" s="48" t="n">
        <v>0</v>
      </c>
      <c r="AW494" s="48" t="n">
        <v>12</v>
      </c>
      <c r="AX494" s="48" t="n">
        <v>10</v>
      </c>
      <c r="AY494" s="48" t="n">
        <v>3</v>
      </c>
      <c r="AZ494" s="48" t="n">
        <v>0</v>
      </c>
      <c r="BA494" s="48" t="n">
        <v>4</v>
      </c>
      <c r="BB494" s="48" t="n">
        <v>3</v>
      </c>
      <c r="BC494" s="48" t="n">
        <v>8</v>
      </c>
      <c r="BD494" s="48" t="n">
        <v>20</v>
      </c>
      <c r="BE494" s="48" t="n">
        <v>14</v>
      </c>
      <c r="BF494" s="48" t="n">
        <v>10</v>
      </c>
      <c r="BG494" s="49" t="n">
        <v>16.95</v>
      </c>
    </row>
    <row r="495" customFormat="false" ht="15" hidden="false" customHeight="false" outlineLevel="0" collapsed="false">
      <c r="A495" s="43" t="s">
        <v>1226</v>
      </c>
      <c r="B495" s="43" t="s">
        <v>1227</v>
      </c>
      <c r="C495" s="44" t="str">
        <f aca="false">IF(A495="","",IFERROR(INDEX(Assumptions!$B$41:$B$55,MATCH(TRUE(),INDEX(ISNUMBER(SEARCH(" "&amp;Assumptions!$A$41:$A$55&amp;" "," "&amp;SUBSTITUTE(SUBSTITUTE(SUBSTITUTE(SUBSTITUTE(B495,"-"," "),","," "),"/"," "),"."," ")&amp;" ")),0),0)),"Other"))</f>
        <v>Other</v>
      </c>
      <c r="D495" s="45" t="n">
        <f aca="false">IF(A495="","",BG495*(1-Assumptions!$B$18))</f>
        <v>0.252</v>
      </c>
      <c r="E495" s="46" t="n">
        <f aca="false">IF(A495="","",INDEX(Assumptions!$B$23:$B$26,MOD(VALUE(LEFT(A495,5)),4)+1))</f>
        <v>6</v>
      </c>
      <c r="F495" s="47" t="n">
        <v>2046</v>
      </c>
      <c r="G495" s="48" t="n">
        <v>0</v>
      </c>
      <c r="H495" s="48" t="n">
        <v>0</v>
      </c>
      <c r="I495" s="48" t="n">
        <v>0</v>
      </c>
      <c r="J495" s="48" t="n">
        <v>0</v>
      </c>
      <c r="K495" s="48" t="n">
        <v>0</v>
      </c>
      <c r="L495" s="48" t="n">
        <v>0</v>
      </c>
      <c r="M495" s="48" t="n">
        <v>0</v>
      </c>
      <c r="N495" s="48" t="n">
        <v>0</v>
      </c>
      <c r="O495" s="48" t="n">
        <v>0</v>
      </c>
      <c r="P495" s="48" t="n">
        <v>0</v>
      </c>
      <c r="Q495" s="48" t="n">
        <v>0</v>
      </c>
      <c r="R495" s="48" t="n">
        <v>0</v>
      </c>
      <c r="S495" s="48" t="n">
        <v>0</v>
      </c>
      <c r="T495" s="48" t="n">
        <v>0</v>
      </c>
      <c r="U495" s="48" t="n">
        <v>0</v>
      </c>
      <c r="V495" s="48" t="n">
        <v>0</v>
      </c>
      <c r="W495" s="48" t="n">
        <v>0</v>
      </c>
      <c r="X495" s="48" t="n">
        <v>0</v>
      </c>
      <c r="Y495" s="48" t="n">
        <v>0</v>
      </c>
      <c r="Z495" s="48" t="n">
        <v>0</v>
      </c>
      <c r="AA495" s="48" t="n">
        <v>0</v>
      </c>
      <c r="AB495" s="48" t="n">
        <v>0</v>
      </c>
      <c r="AC495" s="48" t="n">
        <v>0</v>
      </c>
      <c r="AD495" s="48" t="n">
        <v>0</v>
      </c>
      <c r="AE495" s="48" t="n">
        <v>0</v>
      </c>
      <c r="AF495" s="48" t="n">
        <v>0</v>
      </c>
      <c r="AG495" s="48" t="n">
        <v>252</v>
      </c>
      <c r="AH495" s="48" t="n">
        <v>384</v>
      </c>
      <c r="AI495" s="48" t="n">
        <v>396</v>
      </c>
      <c r="AJ495" s="48" t="n">
        <v>290</v>
      </c>
      <c r="AK495" s="48" t="n">
        <v>362</v>
      </c>
      <c r="AL495" s="48" t="n">
        <v>542</v>
      </c>
      <c r="AM495" s="48" t="n">
        <v>468</v>
      </c>
      <c r="AN495" s="48" t="n">
        <v>607</v>
      </c>
      <c r="AO495" s="48" t="n">
        <v>180</v>
      </c>
      <c r="AP495" s="48" t="n">
        <v>295</v>
      </c>
      <c r="AQ495" s="48" t="n">
        <v>468</v>
      </c>
      <c r="AR495" s="48" t="n">
        <v>324</v>
      </c>
      <c r="AS495" s="48" t="n">
        <v>180</v>
      </c>
      <c r="AT495" s="48" t="n">
        <v>289</v>
      </c>
      <c r="AU495" s="48" t="n">
        <v>1692</v>
      </c>
      <c r="AV495" s="48" t="n">
        <v>361</v>
      </c>
      <c r="AW495" s="48" t="n">
        <v>144</v>
      </c>
      <c r="AX495" s="48" t="n">
        <v>540</v>
      </c>
      <c r="AY495" s="48" t="n">
        <v>260</v>
      </c>
      <c r="AZ495" s="48" t="n">
        <v>693</v>
      </c>
      <c r="BA495" s="48" t="n">
        <v>720</v>
      </c>
      <c r="BB495" s="48" t="n">
        <v>182</v>
      </c>
      <c r="BC495" s="48" t="n">
        <v>505</v>
      </c>
      <c r="BD495" s="48" t="n">
        <v>479</v>
      </c>
      <c r="BE495" s="48" t="n">
        <v>697</v>
      </c>
      <c r="BF495" s="48" t="n">
        <v>511</v>
      </c>
      <c r="BG495" s="49" t="n">
        <v>0.42</v>
      </c>
    </row>
    <row r="496" customFormat="false" ht="15" hidden="false" customHeight="false" outlineLevel="0" collapsed="false">
      <c r="A496" s="43" t="s">
        <v>1228</v>
      </c>
      <c r="B496" s="43" t="s">
        <v>1229</v>
      </c>
      <c r="C496" s="44" t="str">
        <f aca="false">IF(A496="","",IFERROR(INDEX(Assumptions!$B$41:$B$55,MATCH(TRUE(),INDEX(ISNUMBER(SEARCH(" "&amp;Assumptions!$A$41:$A$55&amp;" "," "&amp;SUBSTITUTE(SUBSTITUTE(SUBSTITUTE(SUBSTITUTE(B496,"-"," "),","," "),"/"," "),"."," ")&amp;" ")),0),0)),"Other"))</f>
        <v>Other</v>
      </c>
      <c r="D496" s="45" t="n">
        <f aca="false">IF(A496="","",BG496*(1-Assumptions!$B$18))</f>
        <v>0.99</v>
      </c>
      <c r="E496" s="46" t="n">
        <f aca="false">IF(A496="","",INDEX(Assumptions!$B$23:$B$26,MOD(VALUE(LEFT(A496,5)),4)+1))</f>
        <v>4</v>
      </c>
      <c r="F496" s="47" t="n">
        <v>625</v>
      </c>
      <c r="G496" s="48" t="n">
        <v>0</v>
      </c>
      <c r="H496" s="48" t="n">
        <v>0</v>
      </c>
      <c r="I496" s="48" t="n">
        <v>0</v>
      </c>
      <c r="J496" s="48" t="n">
        <v>0</v>
      </c>
      <c r="K496" s="48" t="n">
        <v>0</v>
      </c>
      <c r="L496" s="48" t="n">
        <v>0</v>
      </c>
      <c r="M496" s="48" t="n">
        <v>0</v>
      </c>
      <c r="N496" s="48" t="n">
        <v>0</v>
      </c>
      <c r="O496" s="48" t="n">
        <v>0</v>
      </c>
      <c r="P496" s="48" t="n">
        <v>0</v>
      </c>
      <c r="Q496" s="48" t="n">
        <v>0</v>
      </c>
      <c r="R496" s="48" t="n">
        <v>0</v>
      </c>
      <c r="S496" s="48" t="n">
        <v>0</v>
      </c>
      <c r="T496" s="48" t="n">
        <v>0</v>
      </c>
      <c r="U496" s="48" t="n">
        <v>0</v>
      </c>
      <c r="V496" s="48" t="n">
        <v>0</v>
      </c>
      <c r="W496" s="48" t="n">
        <v>0</v>
      </c>
      <c r="X496" s="48" t="n">
        <v>0</v>
      </c>
      <c r="Y496" s="48" t="n">
        <v>0</v>
      </c>
      <c r="Z496" s="48" t="n">
        <v>0</v>
      </c>
      <c r="AA496" s="48" t="n">
        <v>0</v>
      </c>
      <c r="AB496" s="48" t="n">
        <v>0</v>
      </c>
      <c r="AC496" s="48" t="n">
        <v>183</v>
      </c>
      <c r="AD496" s="48" t="n">
        <v>242</v>
      </c>
      <c r="AE496" s="48" t="n">
        <v>154</v>
      </c>
      <c r="AF496" s="48" t="n">
        <v>62</v>
      </c>
      <c r="AG496" s="48" t="n">
        <v>166</v>
      </c>
      <c r="AH496" s="48" t="n">
        <v>164</v>
      </c>
      <c r="AI496" s="48" t="n">
        <v>102</v>
      </c>
      <c r="AJ496" s="48" t="n">
        <v>25</v>
      </c>
      <c r="AK496" s="48" t="n">
        <v>76</v>
      </c>
      <c r="AL496" s="48" t="n">
        <v>96</v>
      </c>
      <c r="AM496" s="48" t="n">
        <v>134</v>
      </c>
      <c r="AN496" s="48" t="n">
        <v>15</v>
      </c>
      <c r="AO496" s="48" t="n">
        <v>73</v>
      </c>
      <c r="AP496" s="48" t="n">
        <v>59</v>
      </c>
      <c r="AQ496" s="48" t="n">
        <v>253</v>
      </c>
      <c r="AR496" s="48" t="n">
        <v>82</v>
      </c>
      <c r="AS496" s="48" t="n">
        <v>37</v>
      </c>
      <c r="AT496" s="48" t="n">
        <v>64</v>
      </c>
      <c r="AU496" s="48" t="n">
        <v>57</v>
      </c>
      <c r="AV496" s="48" t="n">
        <v>121</v>
      </c>
      <c r="AW496" s="48" t="n">
        <v>70</v>
      </c>
      <c r="AX496" s="48" t="n">
        <v>41</v>
      </c>
      <c r="AY496" s="48" t="n">
        <v>95</v>
      </c>
      <c r="AZ496" s="48" t="n">
        <v>78</v>
      </c>
      <c r="BA496" s="48" t="n">
        <v>98</v>
      </c>
      <c r="BB496" s="48" t="n">
        <v>63</v>
      </c>
      <c r="BC496" s="48" t="n">
        <v>22</v>
      </c>
      <c r="BD496" s="48" t="n">
        <v>36</v>
      </c>
      <c r="BE496" s="48" t="n">
        <v>151</v>
      </c>
      <c r="BF496" s="48" t="n">
        <v>137</v>
      </c>
      <c r="BG496" s="49" t="n">
        <v>1.65</v>
      </c>
    </row>
    <row r="497" customFormat="false" ht="15" hidden="false" customHeight="false" outlineLevel="0" collapsed="false">
      <c r="A497" s="43" t="s">
        <v>1230</v>
      </c>
      <c r="B497" s="43" t="s">
        <v>1231</v>
      </c>
      <c r="C497" s="44" t="str">
        <f aca="false">IF(A497="","",IFERROR(INDEX(Assumptions!$B$41:$B$55,MATCH(TRUE(),INDEX(ISNUMBER(SEARCH(" "&amp;Assumptions!$A$41:$A$55&amp;" "," "&amp;SUBSTITUTE(SUBSTITUTE(SUBSTITUTE(SUBSTITUTE(B497,"-"," "),","," "),"/"," "),"."," ")&amp;" ")),0),0)),"Other"))</f>
        <v>Bags</v>
      </c>
      <c r="D497" s="45" t="n">
        <f aca="false">IF(A497="","",BG497*(1-Assumptions!$B$18))</f>
        <v>0.99</v>
      </c>
      <c r="E497" s="46" t="n">
        <f aca="false">IF(A497="","",INDEX(Assumptions!$B$23:$B$26,MOD(VALUE(LEFT(A497,5)),4)+1))</f>
        <v>4</v>
      </c>
      <c r="F497" s="47" t="n">
        <v>2432</v>
      </c>
      <c r="G497" s="48" t="n">
        <v>20</v>
      </c>
      <c r="H497" s="48" t="n">
        <v>20</v>
      </c>
      <c r="I497" s="48" t="n">
        <v>1</v>
      </c>
      <c r="J497" s="48" t="n">
        <v>0</v>
      </c>
      <c r="K497" s="48" t="n">
        <v>5</v>
      </c>
      <c r="L497" s="48" t="n">
        <v>1</v>
      </c>
      <c r="M497" s="48" t="n">
        <v>50</v>
      </c>
      <c r="N497" s="48" t="n">
        <v>1</v>
      </c>
      <c r="O497" s="48" t="n">
        <v>5</v>
      </c>
      <c r="P497" s="48" t="n">
        <v>2</v>
      </c>
      <c r="Q497" s="48" t="n">
        <v>11</v>
      </c>
      <c r="R497" s="48" t="n">
        <v>5</v>
      </c>
      <c r="S497" s="48" t="n">
        <v>10</v>
      </c>
      <c r="T497" s="48" t="n">
        <v>11</v>
      </c>
      <c r="U497" s="48" t="n">
        <v>7</v>
      </c>
      <c r="V497" s="48" t="n">
        <v>14</v>
      </c>
      <c r="W497" s="48" t="n">
        <v>17</v>
      </c>
      <c r="X497" s="48" t="n">
        <v>3</v>
      </c>
      <c r="Y497" s="48" t="n">
        <v>7</v>
      </c>
      <c r="Z497" s="48" t="n">
        <v>19</v>
      </c>
      <c r="AA497" s="48" t="n">
        <v>113</v>
      </c>
      <c r="AB497" s="48" t="n">
        <v>188</v>
      </c>
      <c r="AC497" s="48" t="n">
        <v>447</v>
      </c>
      <c r="AD497" s="48" t="n">
        <v>94</v>
      </c>
      <c r="AE497" s="48" t="n">
        <v>104</v>
      </c>
      <c r="AF497" s="48" t="n">
        <v>57</v>
      </c>
      <c r="AG497" s="48" t="n">
        <v>194</v>
      </c>
      <c r="AH497" s="48" t="n">
        <v>132</v>
      </c>
      <c r="AI497" s="48" t="n">
        <v>126</v>
      </c>
      <c r="AJ497" s="48" t="n">
        <v>63</v>
      </c>
      <c r="AK497" s="48" t="n">
        <v>117</v>
      </c>
      <c r="AL497" s="48" t="n">
        <v>24</v>
      </c>
      <c r="AM497" s="48" t="n">
        <v>114</v>
      </c>
      <c r="AN497" s="48" t="n">
        <v>75</v>
      </c>
      <c r="AO497" s="48" t="n">
        <v>65</v>
      </c>
      <c r="AP497" s="48" t="n">
        <v>29</v>
      </c>
      <c r="AQ497" s="48" t="n">
        <v>63</v>
      </c>
      <c r="AR497" s="48" t="n">
        <v>62</v>
      </c>
      <c r="AS497" s="48" t="n">
        <v>35</v>
      </c>
      <c r="AT497" s="48" t="n">
        <v>22</v>
      </c>
      <c r="AU497" s="48" t="n">
        <v>26</v>
      </c>
      <c r="AV497" s="48" t="n">
        <v>29</v>
      </c>
      <c r="AW497" s="48" t="n">
        <v>16</v>
      </c>
      <c r="AX497" s="48" t="n">
        <v>16</v>
      </c>
      <c r="AY497" s="48" t="n">
        <v>18</v>
      </c>
      <c r="AZ497" s="48" t="n">
        <v>12</v>
      </c>
      <c r="BA497" s="48" t="n">
        <v>32</v>
      </c>
      <c r="BB497" s="48" t="n">
        <v>16</v>
      </c>
      <c r="BC497" s="48" t="n">
        <v>42</v>
      </c>
      <c r="BD497" s="48" t="n">
        <v>34</v>
      </c>
      <c r="BE497" s="48" t="n">
        <v>28</v>
      </c>
      <c r="BF497" s="48" t="n">
        <v>33</v>
      </c>
      <c r="BG497" s="49" t="n">
        <v>1.65</v>
      </c>
    </row>
    <row r="498" customFormat="false" ht="15" hidden="false" customHeight="false" outlineLevel="0" collapsed="false">
      <c r="A498" s="43" t="s">
        <v>1232</v>
      </c>
      <c r="B498" s="43" t="s">
        <v>1233</v>
      </c>
      <c r="C498" s="44" t="str">
        <f aca="false">IF(A498="","",IFERROR(INDEX(Assumptions!$B$41:$B$55,MATCH(TRUE(),INDEX(ISNUMBER(SEARCH(" "&amp;Assumptions!$A$41:$A$55&amp;" "," "&amp;SUBSTITUTE(SUBSTITUTE(SUBSTITUTE(SUBSTITUTE(B498,"-"," "),","," "),"/"," "),"."," ")&amp;" ")),0),0)),"Other"))</f>
        <v>Other</v>
      </c>
      <c r="D498" s="45" t="n">
        <f aca="false">IF(A498="","",BG498*(1-Assumptions!$B$18))</f>
        <v>1.77</v>
      </c>
      <c r="E498" s="46" t="n">
        <f aca="false">IF(A498="","",INDEX(Assumptions!$B$23:$B$26,MOD(VALUE(LEFT(A498,5)),4)+1))</f>
        <v>2</v>
      </c>
      <c r="F498" s="47" t="n">
        <v>226</v>
      </c>
      <c r="G498" s="48" t="n">
        <v>37</v>
      </c>
      <c r="H498" s="48" t="n">
        <v>30</v>
      </c>
      <c r="I498" s="48" t="n">
        <v>3</v>
      </c>
      <c r="J498" s="48" t="n">
        <v>0</v>
      </c>
      <c r="K498" s="48" t="n">
        <v>6</v>
      </c>
      <c r="L498" s="48" t="n">
        <v>44</v>
      </c>
      <c r="M498" s="48" t="n">
        <v>13</v>
      </c>
      <c r="N498" s="48" t="n">
        <v>31</v>
      </c>
      <c r="O498" s="48" t="n">
        <v>12</v>
      </c>
      <c r="P498" s="48" t="n">
        <v>11</v>
      </c>
      <c r="Q498" s="48" t="n">
        <v>88</v>
      </c>
      <c r="R498" s="48" t="n">
        <v>59</v>
      </c>
      <c r="S498" s="48" t="n">
        <v>66</v>
      </c>
      <c r="T498" s="48" t="n">
        <v>29</v>
      </c>
      <c r="U498" s="48" t="n">
        <v>26</v>
      </c>
      <c r="V498" s="48" t="n">
        <v>61</v>
      </c>
      <c r="W498" s="48" t="n">
        <v>15</v>
      </c>
      <c r="X498" s="48" t="n">
        <v>9</v>
      </c>
      <c r="Y498" s="48" t="n">
        <v>54</v>
      </c>
      <c r="Z498" s="48" t="n">
        <v>3</v>
      </c>
      <c r="AA498" s="48" t="n">
        <v>13</v>
      </c>
      <c r="AB498" s="48" t="n">
        <v>163</v>
      </c>
      <c r="AC498" s="48" t="n">
        <v>96</v>
      </c>
      <c r="AD498" s="48" t="n">
        <v>22</v>
      </c>
      <c r="AE498" s="48" t="n">
        <v>17</v>
      </c>
      <c r="AF498" s="48" t="n">
        <v>6</v>
      </c>
      <c r="AG498" s="48" t="n">
        <v>111</v>
      </c>
      <c r="AH498" s="48" t="n">
        <v>167</v>
      </c>
      <c r="AI498" s="48" t="n">
        <v>6</v>
      </c>
      <c r="AJ498" s="48" t="n">
        <v>30</v>
      </c>
      <c r="AK498" s="48" t="n">
        <v>25</v>
      </c>
      <c r="AL498" s="48" t="n">
        <v>8</v>
      </c>
      <c r="AM498" s="48" t="n">
        <v>15</v>
      </c>
      <c r="AN498" s="48" t="n">
        <v>13</v>
      </c>
      <c r="AO498" s="48" t="n">
        <v>20</v>
      </c>
      <c r="AP498" s="48" t="n">
        <v>31</v>
      </c>
      <c r="AQ498" s="48" t="n">
        <v>21</v>
      </c>
      <c r="AR498" s="48" t="n">
        <v>34</v>
      </c>
      <c r="AS498" s="48" t="n">
        <v>48</v>
      </c>
      <c r="AT498" s="48" t="n">
        <v>12</v>
      </c>
      <c r="AU498" s="48" t="n">
        <v>9</v>
      </c>
      <c r="AV498" s="48" t="n">
        <v>16</v>
      </c>
      <c r="AW498" s="48" t="n">
        <v>20</v>
      </c>
      <c r="AX498" s="48" t="n">
        <v>36</v>
      </c>
      <c r="AY498" s="48" t="n">
        <v>17</v>
      </c>
      <c r="AZ498" s="48" t="n">
        <v>6</v>
      </c>
      <c r="BA498" s="48" t="n">
        <v>9</v>
      </c>
      <c r="BB498" s="48" t="n">
        <v>22</v>
      </c>
      <c r="BC498" s="48" t="n">
        <v>24</v>
      </c>
      <c r="BD498" s="48" t="n">
        <v>25</v>
      </c>
      <c r="BE498" s="48" t="n">
        <v>7</v>
      </c>
      <c r="BF498" s="48" t="n">
        <v>30</v>
      </c>
      <c r="BG498" s="49" t="n">
        <v>2.95</v>
      </c>
    </row>
    <row r="499" customFormat="false" ht="15" hidden="false" customHeight="false" outlineLevel="0" collapsed="false">
      <c r="A499" s="43" t="s">
        <v>1234</v>
      </c>
      <c r="B499" s="43" t="s">
        <v>1235</v>
      </c>
      <c r="C499" s="44" t="str">
        <f aca="false">IF(A499="","",IFERROR(INDEX(Assumptions!$B$41:$B$55,MATCH(TRUE(),INDEX(ISNUMBER(SEARCH(" "&amp;Assumptions!$A$41:$A$55&amp;" "," "&amp;SUBSTITUTE(SUBSTITUTE(SUBSTITUTE(SUBSTITUTE(B499,"-"," "),","," "),"/"," "),"."," ")&amp;" ")),0),0)),"Other"))</f>
        <v>Other</v>
      </c>
      <c r="D499" s="45" t="n">
        <f aca="false">IF(A499="","",BG499*(1-Assumptions!$B$18))</f>
        <v>1.26</v>
      </c>
      <c r="E499" s="46" t="n">
        <f aca="false">IF(A499="","",INDEX(Assumptions!$B$23:$B$26,MOD(VALUE(LEFT(A499,5)),4)+1))</f>
        <v>8</v>
      </c>
      <c r="F499" s="47" t="n">
        <v>133</v>
      </c>
      <c r="G499" s="48" t="n">
        <v>79</v>
      </c>
      <c r="H499" s="48" t="n">
        <v>3</v>
      </c>
      <c r="I499" s="48" t="n">
        <v>3</v>
      </c>
      <c r="J499" s="48" t="n">
        <v>0</v>
      </c>
      <c r="K499" s="48" t="n">
        <v>15</v>
      </c>
      <c r="L499" s="48" t="n">
        <v>16</v>
      </c>
      <c r="M499" s="48" t="n">
        <v>8</v>
      </c>
      <c r="N499" s="48" t="n">
        <v>3</v>
      </c>
      <c r="O499" s="48" t="n">
        <v>5</v>
      </c>
      <c r="P499" s="48" t="n">
        <v>5</v>
      </c>
      <c r="Q499" s="48" t="n">
        <v>50</v>
      </c>
      <c r="R499" s="48" t="n">
        <v>66</v>
      </c>
      <c r="S499" s="48" t="n">
        <v>65</v>
      </c>
      <c r="T499" s="48" t="n">
        <v>11</v>
      </c>
      <c r="U499" s="48" t="n">
        <v>88</v>
      </c>
      <c r="V499" s="48" t="n">
        <v>44</v>
      </c>
      <c r="W499" s="48" t="n">
        <v>45</v>
      </c>
      <c r="X499" s="48" t="n">
        <v>35</v>
      </c>
      <c r="Y499" s="48" t="n">
        <v>79</v>
      </c>
      <c r="Z499" s="48" t="n">
        <v>42</v>
      </c>
      <c r="AA499" s="48" t="n">
        <v>42</v>
      </c>
      <c r="AB499" s="48" t="n">
        <v>10</v>
      </c>
      <c r="AC499" s="48" t="n">
        <v>93</v>
      </c>
      <c r="AD499" s="48" t="n">
        <v>92</v>
      </c>
      <c r="AE499" s="48" t="n">
        <v>56</v>
      </c>
      <c r="AF499" s="48" t="n">
        <v>78</v>
      </c>
      <c r="AG499" s="48" t="n">
        <v>112</v>
      </c>
      <c r="AH499" s="48" t="n">
        <v>59</v>
      </c>
      <c r="AI499" s="48" t="n">
        <v>32</v>
      </c>
      <c r="AJ499" s="48" t="n">
        <v>63</v>
      </c>
      <c r="AK499" s="48" t="n">
        <v>59</v>
      </c>
      <c r="AL499" s="48" t="n">
        <v>111</v>
      </c>
      <c r="AM499" s="48" t="n">
        <v>104</v>
      </c>
      <c r="AN499" s="48" t="n">
        <v>29</v>
      </c>
      <c r="AO499" s="48" t="n">
        <v>58</v>
      </c>
      <c r="AP499" s="48" t="n">
        <v>95</v>
      </c>
      <c r="AQ499" s="48" t="n">
        <v>69</v>
      </c>
      <c r="AR499" s="48" t="n">
        <v>69</v>
      </c>
      <c r="AS499" s="48" t="n">
        <v>7</v>
      </c>
      <c r="AT499" s="48" t="n">
        <v>73</v>
      </c>
      <c r="AU499" s="48" t="n">
        <v>5</v>
      </c>
      <c r="AV499" s="48" t="n">
        <v>32</v>
      </c>
      <c r="AW499" s="48" t="n">
        <v>56</v>
      </c>
      <c r="AX499" s="48" t="n">
        <v>41</v>
      </c>
      <c r="AY499" s="48" t="n">
        <v>40</v>
      </c>
      <c r="AZ499" s="48" t="n">
        <v>13</v>
      </c>
      <c r="BA499" s="48" t="n">
        <v>13</v>
      </c>
      <c r="BB499" s="48" t="n">
        <v>27</v>
      </c>
      <c r="BC499" s="48" t="n">
        <v>19</v>
      </c>
      <c r="BD499" s="48" t="n">
        <v>21</v>
      </c>
      <c r="BE499" s="48" t="n">
        <v>23</v>
      </c>
      <c r="BF499" s="48" t="n">
        <v>44</v>
      </c>
      <c r="BG499" s="49" t="n">
        <v>2.1</v>
      </c>
    </row>
    <row r="500" customFormat="false" ht="15" hidden="false" customHeight="false" outlineLevel="0" collapsed="false">
      <c r="A500" s="43" t="s">
        <v>1236</v>
      </c>
      <c r="B500" s="43" t="s">
        <v>1237</v>
      </c>
      <c r="C500" s="44" t="str">
        <f aca="false">IF(A500="","",IFERROR(INDEX(Assumptions!$B$41:$B$55,MATCH(TRUE(),INDEX(ISNUMBER(SEARCH(" "&amp;Assumptions!$A$41:$A$55&amp;" "," "&amp;SUBSTITUTE(SUBSTITUTE(SUBSTITUTE(SUBSTITUTE(B500,"-"," "),","," "),"/"," "),"."," ")&amp;" ")),0),0)),"Other"))</f>
        <v>Kitchen</v>
      </c>
      <c r="D500" s="45" t="n">
        <f aca="false">IF(A500="","",BG500*(1-Assumptions!$B$18))</f>
        <v>1.734</v>
      </c>
      <c r="E500" s="46" t="n">
        <f aca="false">IF(A500="","",INDEX(Assumptions!$B$23:$B$26,MOD(VALUE(LEFT(A500,5)),4)+1))</f>
        <v>6</v>
      </c>
      <c r="F500" s="47" t="n">
        <v>64</v>
      </c>
      <c r="G500" s="48" t="n">
        <v>0</v>
      </c>
      <c r="H500" s="48" t="n">
        <v>0</v>
      </c>
      <c r="I500" s="48" t="n">
        <v>0</v>
      </c>
      <c r="J500" s="48" t="n">
        <v>0</v>
      </c>
      <c r="K500" s="48" t="n">
        <v>0</v>
      </c>
      <c r="L500" s="48" t="n">
        <v>0</v>
      </c>
      <c r="M500" s="48" t="n">
        <v>0</v>
      </c>
      <c r="N500" s="48" t="n">
        <v>0</v>
      </c>
      <c r="O500" s="48" t="n">
        <v>0</v>
      </c>
      <c r="P500" s="48" t="n">
        <v>0</v>
      </c>
      <c r="Q500" s="48" t="n">
        <v>0</v>
      </c>
      <c r="R500" s="48" t="n">
        <v>0</v>
      </c>
      <c r="S500" s="48" t="n">
        <v>0</v>
      </c>
      <c r="T500" s="48" t="n">
        <v>0</v>
      </c>
      <c r="U500" s="48" t="n">
        <v>0</v>
      </c>
      <c r="V500" s="48" t="n">
        <v>0</v>
      </c>
      <c r="W500" s="48" t="n">
        <v>0</v>
      </c>
      <c r="X500" s="48" t="n">
        <v>0</v>
      </c>
      <c r="Y500" s="48" t="n">
        <v>0</v>
      </c>
      <c r="Z500" s="48" t="n">
        <v>0</v>
      </c>
      <c r="AA500" s="48" t="n">
        <v>0</v>
      </c>
      <c r="AB500" s="48" t="n">
        <v>0</v>
      </c>
      <c r="AC500" s="48" t="n">
        <v>0</v>
      </c>
      <c r="AD500" s="48" t="n">
        <v>0</v>
      </c>
      <c r="AE500" s="48" t="n">
        <v>0</v>
      </c>
      <c r="AF500" s="48" t="n">
        <v>0</v>
      </c>
      <c r="AG500" s="48" t="n">
        <v>0</v>
      </c>
      <c r="AH500" s="48" t="n">
        <v>6</v>
      </c>
      <c r="AI500" s="48" t="n">
        <v>6</v>
      </c>
      <c r="AJ500" s="48" t="n">
        <v>13</v>
      </c>
      <c r="AK500" s="48" t="n">
        <v>43</v>
      </c>
      <c r="AL500" s="48" t="n">
        <v>42</v>
      </c>
      <c r="AM500" s="48" t="n">
        <v>1</v>
      </c>
      <c r="AN500" s="48" t="n">
        <v>12</v>
      </c>
      <c r="AO500" s="48" t="n">
        <v>18</v>
      </c>
      <c r="AP500" s="48" t="n">
        <v>26</v>
      </c>
      <c r="AQ500" s="48" t="n">
        <v>226</v>
      </c>
      <c r="AR500" s="48" t="n">
        <v>31</v>
      </c>
      <c r="AS500" s="48" t="n">
        <v>26</v>
      </c>
      <c r="AT500" s="48" t="n">
        <v>89</v>
      </c>
      <c r="AU500" s="48" t="n">
        <v>123</v>
      </c>
      <c r="AV500" s="48" t="n">
        <v>118</v>
      </c>
      <c r="AW500" s="48" t="n">
        <v>77</v>
      </c>
      <c r="AX500" s="48" t="n">
        <v>140</v>
      </c>
      <c r="AY500" s="48" t="n">
        <v>78</v>
      </c>
      <c r="AZ500" s="48" t="n">
        <v>100</v>
      </c>
      <c r="BA500" s="48" t="n">
        <v>71</v>
      </c>
      <c r="BB500" s="48" t="n">
        <v>117</v>
      </c>
      <c r="BC500" s="48" t="n">
        <v>53</v>
      </c>
      <c r="BD500" s="48" t="n">
        <v>76</v>
      </c>
      <c r="BE500" s="48" t="n">
        <v>61</v>
      </c>
      <c r="BF500" s="48" t="n">
        <v>111</v>
      </c>
      <c r="BG500" s="49" t="n">
        <v>2.89</v>
      </c>
    </row>
    <row r="501" customFormat="false" ht="15" hidden="false" customHeight="false" outlineLevel="0" collapsed="false">
      <c r="A501" s="43" t="s">
        <v>1238</v>
      </c>
      <c r="B501" s="43" t="s">
        <v>1239</v>
      </c>
      <c r="C501" s="44" t="str">
        <f aca="false">IF(A501="","",IFERROR(INDEX(Assumptions!$B$41:$B$55,MATCH(TRUE(),INDEX(ISNUMBER(SEARCH(" "&amp;Assumptions!$A$41:$A$55&amp;" "," "&amp;SUBSTITUTE(SUBSTITUTE(SUBSTITUTE(SUBSTITUTE(B501,"-"," "),","," "),"/"," "),"."," ")&amp;" ")),0),0)),"Other"))</f>
        <v>Other</v>
      </c>
      <c r="D501" s="45" t="n">
        <f aca="false">IF(A501="","",BG501*(1-Assumptions!$B$18))</f>
        <v>7.5</v>
      </c>
      <c r="E501" s="46" t="n">
        <f aca="false">IF(A501="","",INDEX(Assumptions!$B$23:$B$26,MOD(VALUE(LEFT(A501,5)),4)+1))</f>
        <v>2</v>
      </c>
      <c r="F501" s="47" t="n">
        <v>91</v>
      </c>
      <c r="G501" s="48" t="n">
        <v>0</v>
      </c>
      <c r="H501" s="48" t="n">
        <v>0</v>
      </c>
      <c r="I501" s="48" t="n">
        <v>0</v>
      </c>
      <c r="J501" s="48" t="n">
        <v>0</v>
      </c>
      <c r="K501" s="48" t="n">
        <v>0</v>
      </c>
      <c r="L501" s="48" t="n">
        <v>0</v>
      </c>
      <c r="M501" s="48" t="n">
        <v>0</v>
      </c>
      <c r="N501" s="48" t="n">
        <v>0</v>
      </c>
      <c r="O501" s="48" t="n">
        <v>0</v>
      </c>
      <c r="P501" s="48" t="n">
        <v>0</v>
      </c>
      <c r="Q501" s="48" t="n">
        <v>0</v>
      </c>
      <c r="R501" s="48" t="n">
        <v>0</v>
      </c>
      <c r="S501" s="48" t="n">
        <v>0</v>
      </c>
      <c r="T501" s="48" t="n">
        <v>0</v>
      </c>
      <c r="U501" s="48" t="n">
        <v>0</v>
      </c>
      <c r="V501" s="48" t="n">
        <v>0</v>
      </c>
      <c r="W501" s="48" t="n">
        <v>0</v>
      </c>
      <c r="X501" s="48" t="n">
        <v>0</v>
      </c>
      <c r="Y501" s="48" t="n">
        <v>0</v>
      </c>
      <c r="Z501" s="48" t="n">
        <v>0</v>
      </c>
      <c r="AA501" s="48" t="n">
        <v>0</v>
      </c>
      <c r="AB501" s="48" t="n">
        <v>0</v>
      </c>
      <c r="AC501" s="48" t="n">
        <v>0</v>
      </c>
      <c r="AD501" s="48" t="n">
        <v>0</v>
      </c>
      <c r="AE501" s="48" t="n">
        <v>0</v>
      </c>
      <c r="AF501" s="48" t="n">
        <v>0</v>
      </c>
      <c r="AG501" s="48" t="n">
        <v>0</v>
      </c>
      <c r="AH501" s="48" t="n">
        <v>0</v>
      </c>
      <c r="AI501" s="48" t="n">
        <v>0</v>
      </c>
      <c r="AJ501" s="48" t="n">
        <v>0</v>
      </c>
      <c r="AK501" s="48" t="n">
        <v>0</v>
      </c>
      <c r="AL501" s="48" t="n">
        <v>0</v>
      </c>
      <c r="AM501" s="48" t="n">
        <v>0</v>
      </c>
      <c r="AN501" s="48" t="n">
        <v>0</v>
      </c>
      <c r="AO501" s="48" t="n">
        <v>0</v>
      </c>
      <c r="AP501" s="48" t="n">
        <v>0</v>
      </c>
      <c r="AQ501" s="48" t="n">
        <v>0</v>
      </c>
      <c r="AR501" s="48" t="n">
        <v>0</v>
      </c>
      <c r="AS501" s="48" t="n">
        <v>0</v>
      </c>
      <c r="AT501" s="48" t="n">
        <v>0</v>
      </c>
      <c r="AU501" s="48" t="n">
        <v>0</v>
      </c>
      <c r="AV501" s="48" t="n">
        <v>0</v>
      </c>
      <c r="AW501" s="48" t="n">
        <v>0</v>
      </c>
      <c r="AX501" s="48" t="n">
        <v>0</v>
      </c>
      <c r="AY501" s="48" t="n">
        <v>0</v>
      </c>
      <c r="AZ501" s="48" t="n">
        <v>340</v>
      </c>
      <c r="BA501" s="48" t="n">
        <v>39</v>
      </c>
      <c r="BB501" s="48" t="n">
        <v>4</v>
      </c>
      <c r="BC501" s="48" t="n">
        <v>15</v>
      </c>
      <c r="BD501" s="48" t="n">
        <v>13</v>
      </c>
      <c r="BE501" s="48" t="n">
        <v>11</v>
      </c>
      <c r="BF501" s="48" t="n">
        <v>9</v>
      </c>
      <c r="BG501" s="49" t="n">
        <v>12.5</v>
      </c>
    </row>
    <row r="502" customFormat="false" ht="15" hidden="false" customHeight="false" outlineLevel="0" collapsed="false">
      <c r="A502" s="43" t="s">
        <v>1240</v>
      </c>
      <c r="B502" s="43" t="s">
        <v>1241</v>
      </c>
      <c r="C502" s="44" t="str">
        <f aca="false">IF(A502="","",IFERROR(INDEX(Assumptions!$B$41:$B$55,MATCH(TRUE(),INDEX(ISNUMBER(SEARCH(" "&amp;Assumptions!$A$41:$A$55&amp;" "," "&amp;SUBSTITUTE(SUBSTITUTE(SUBSTITUTE(SUBSTITUTE(B502,"-"," "),","," "),"/"," "),"."," ")&amp;" ")),0),0)),"Other"))</f>
        <v>Other</v>
      </c>
      <c r="D502" s="45" t="n">
        <f aca="false">IF(A502="","",BG502*(1-Assumptions!$B$18))</f>
        <v>1.77</v>
      </c>
      <c r="E502" s="46" t="n">
        <f aca="false">IF(A502="","",INDEX(Assumptions!$B$23:$B$26,MOD(VALUE(LEFT(A502,5)),4)+1))</f>
        <v>8</v>
      </c>
      <c r="F502" s="47" t="n">
        <v>853</v>
      </c>
      <c r="G502" s="48" t="n">
        <v>35</v>
      </c>
      <c r="H502" s="48" t="n">
        <v>19</v>
      </c>
      <c r="I502" s="48" t="n">
        <v>6</v>
      </c>
      <c r="J502" s="48" t="n">
        <v>0</v>
      </c>
      <c r="K502" s="48" t="n">
        <v>20</v>
      </c>
      <c r="L502" s="48" t="n">
        <v>28</v>
      </c>
      <c r="M502" s="48" t="n">
        <v>29</v>
      </c>
      <c r="N502" s="48" t="n">
        <v>13</v>
      </c>
      <c r="O502" s="48" t="n">
        <v>6</v>
      </c>
      <c r="P502" s="48" t="n">
        <v>8</v>
      </c>
      <c r="Q502" s="48" t="n">
        <v>26</v>
      </c>
      <c r="R502" s="48" t="n">
        <v>49</v>
      </c>
      <c r="S502" s="48" t="n">
        <v>110</v>
      </c>
      <c r="T502" s="48" t="n">
        <v>18</v>
      </c>
      <c r="U502" s="48" t="n">
        <v>27</v>
      </c>
      <c r="V502" s="48" t="n">
        <v>28</v>
      </c>
      <c r="W502" s="48" t="n">
        <v>59</v>
      </c>
      <c r="X502" s="48" t="n">
        <v>7</v>
      </c>
      <c r="Y502" s="48" t="n">
        <v>23</v>
      </c>
      <c r="Z502" s="48" t="n">
        <v>54</v>
      </c>
      <c r="AA502" s="48" t="n">
        <v>6</v>
      </c>
      <c r="AB502" s="48" t="n">
        <v>9</v>
      </c>
      <c r="AC502" s="48" t="n">
        <v>56</v>
      </c>
      <c r="AD502" s="48" t="n">
        <v>27</v>
      </c>
      <c r="AE502" s="48" t="n">
        <v>32</v>
      </c>
      <c r="AF502" s="48" t="n">
        <v>0</v>
      </c>
      <c r="AG502" s="48" t="n">
        <v>27</v>
      </c>
      <c r="AH502" s="48" t="n">
        <v>63</v>
      </c>
      <c r="AI502" s="48" t="n">
        <v>19</v>
      </c>
      <c r="AJ502" s="48" t="n">
        <v>23</v>
      </c>
      <c r="AK502" s="48" t="n">
        <v>22</v>
      </c>
      <c r="AL502" s="48" t="n">
        <v>0</v>
      </c>
      <c r="AM502" s="48" t="n">
        <v>9</v>
      </c>
      <c r="AN502" s="48" t="n">
        <v>20</v>
      </c>
      <c r="AO502" s="48" t="n">
        <v>27</v>
      </c>
      <c r="AP502" s="48" t="n">
        <v>14</v>
      </c>
      <c r="AQ502" s="48" t="n">
        <v>8</v>
      </c>
      <c r="AR502" s="48" t="n">
        <v>27</v>
      </c>
      <c r="AS502" s="48" t="n">
        <v>21</v>
      </c>
      <c r="AT502" s="48" t="n">
        <v>18</v>
      </c>
      <c r="AU502" s="48" t="n">
        <v>33</v>
      </c>
      <c r="AV502" s="48" t="n">
        <v>38</v>
      </c>
      <c r="AW502" s="48" t="n">
        <v>88</v>
      </c>
      <c r="AX502" s="48" t="n">
        <v>70</v>
      </c>
      <c r="AY502" s="48" t="n">
        <v>81</v>
      </c>
      <c r="AZ502" s="48" t="n">
        <v>44</v>
      </c>
      <c r="BA502" s="48" t="n">
        <v>18</v>
      </c>
      <c r="BB502" s="48" t="n">
        <v>66</v>
      </c>
      <c r="BC502" s="48" t="n">
        <v>50</v>
      </c>
      <c r="BD502" s="48" t="n">
        <v>106</v>
      </c>
      <c r="BE502" s="48" t="n">
        <v>56</v>
      </c>
      <c r="BF502" s="48" t="n">
        <v>0</v>
      </c>
      <c r="BG502" s="49" t="n">
        <v>2.95</v>
      </c>
    </row>
    <row r="503" customFormat="false" ht="15" hidden="false" customHeight="false" outlineLevel="0" collapsed="false">
      <c r="A503" s="43" t="s">
        <v>1242</v>
      </c>
      <c r="B503" s="43" t="s">
        <v>1243</v>
      </c>
      <c r="C503" s="44" t="str">
        <f aca="false">IF(A503="","",IFERROR(INDEX(Assumptions!$B$41:$B$55,MATCH(TRUE(),INDEX(ISNUMBER(SEARCH(" "&amp;Assumptions!$A$41:$A$55&amp;" "," "&amp;SUBSTITUTE(SUBSTITUTE(SUBSTITUTE(SUBSTITUTE(B503,"-"," "),","," "),"/"," "),"."," ")&amp;" ")),0),0)),"Other"))</f>
        <v>Lighting</v>
      </c>
      <c r="D503" s="45" t="n">
        <f aca="false">IF(A503="","",BG503*(1-Assumptions!$B$18))</f>
        <v>0.75</v>
      </c>
      <c r="E503" s="46" t="n">
        <f aca="false">IF(A503="","",INDEX(Assumptions!$B$23:$B$26,MOD(VALUE(LEFT(A503,5)),4)+1))</f>
        <v>2</v>
      </c>
      <c r="F503" s="47" t="n">
        <v>1224</v>
      </c>
      <c r="G503" s="48" t="n">
        <v>51</v>
      </c>
      <c r="H503" s="48" t="n">
        <v>2</v>
      </c>
      <c r="I503" s="48" t="n">
        <v>24</v>
      </c>
      <c r="J503" s="48" t="n">
        <v>0</v>
      </c>
      <c r="K503" s="48" t="n">
        <v>0</v>
      </c>
      <c r="L503" s="48" t="n">
        <v>322</v>
      </c>
      <c r="M503" s="48" t="n">
        <v>13</v>
      </c>
      <c r="N503" s="48" t="n">
        <v>80</v>
      </c>
      <c r="O503" s="48" t="n">
        <v>93</v>
      </c>
      <c r="P503" s="48" t="n">
        <v>292</v>
      </c>
      <c r="Q503" s="48" t="n">
        <v>30</v>
      </c>
      <c r="R503" s="48" t="n">
        <v>74</v>
      </c>
      <c r="S503" s="48" t="n">
        <v>48</v>
      </c>
      <c r="T503" s="48" t="n">
        <v>31</v>
      </c>
      <c r="U503" s="48" t="n">
        <v>51</v>
      </c>
      <c r="V503" s="48" t="n">
        <v>106</v>
      </c>
      <c r="W503" s="48" t="n">
        <v>32</v>
      </c>
      <c r="X503" s="48" t="n">
        <v>77</v>
      </c>
      <c r="Y503" s="48" t="n">
        <v>100</v>
      </c>
      <c r="Z503" s="48" t="n">
        <v>54</v>
      </c>
      <c r="AA503" s="48" t="n">
        <v>50</v>
      </c>
      <c r="AB503" s="48" t="n">
        <v>56</v>
      </c>
      <c r="AC503" s="48" t="n">
        <v>32</v>
      </c>
      <c r="AD503" s="48" t="n">
        <v>10</v>
      </c>
      <c r="AE503" s="48" t="n">
        <v>61</v>
      </c>
      <c r="AF503" s="48" t="n">
        <v>56</v>
      </c>
      <c r="AG503" s="48" t="n">
        <v>200</v>
      </c>
      <c r="AH503" s="48" t="n">
        <v>158</v>
      </c>
      <c r="AI503" s="48" t="n">
        <v>174</v>
      </c>
      <c r="AJ503" s="48" t="n">
        <v>30</v>
      </c>
      <c r="AK503" s="48" t="n">
        <v>43</v>
      </c>
      <c r="AL503" s="48" t="n">
        <v>48</v>
      </c>
      <c r="AM503" s="48" t="n">
        <v>75</v>
      </c>
      <c r="AN503" s="48" t="n">
        <v>97</v>
      </c>
      <c r="AO503" s="48" t="n">
        <v>106</v>
      </c>
      <c r="AP503" s="48" t="n">
        <v>361</v>
      </c>
      <c r="AQ503" s="48" t="n">
        <v>75</v>
      </c>
      <c r="AR503" s="48" t="n">
        <v>96</v>
      </c>
      <c r="AS503" s="48" t="n">
        <v>32</v>
      </c>
      <c r="AT503" s="48" t="n">
        <v>71</v>
      </c>
      <c r="AU503" s="48" t="n">
        <v>58</v>
      </c>
      <c r="AV503" s="48" t="n">
        <v>48</v>
      </c>
      <c r="AW503" s="48" t="n">
        <v>30</v>
      </c>
      <c r="AX503" s="48" t="n">
        <v>57</v>
      </c>
      <c r="AY503" s="48" t="n">
        <v>77</v>
      </c>
      <c r="AZ503" s="48" t="n">
        <v>149</v>
      </c>
      <c r="BA503" s="48" t="n">
        <v>6</v>
      </c>
      <c r="BB503" s="48" t="n">
        <v>25</v>
      </c>
      <c r="BC503" s="48" t="n">
        <v>120</v>
      </c>
      <c r="BD503" s="48" t="n">
        <v>5</v>
      </c>
      <c r="BE503" s="48" t="n">
        <v>63</v>
      </c>
      <c r="BF503" s="48" t="n">
        <v>28</v>
      </c>
      <c r="BG503" s="49" t="n">
        <v>1.25</v>
      </c>
    </row>
    <row r="504" customFormat="false" ht="15" hidden="false" customHeight="false" outlineLevel="0" collapsed="false">
      <c r="A504" s="43" t="s">
        <v>1244</v>
      </c>
      <c r="B504" s="43" t="s">
        <v>1245</v>
      </c>
      <c r="C504" s="44" t="str">
        <f aca="false">IF(A504="","",IFERROR(INDEX(Assumptions!$B$41:$B$55,MATCH(TRUE(),INDEX(ISNUMBER(SEARCH(" "&amp;Assumptions!$A$41:$A$55&amp;" "," "&amp;SUBSTITUTE(SUBSTITUTE(SUBSTITUTE(SUBSTITUTE(B504,"-"," "),","," "),"/"," "),"."," ")&amp;" ")),0),0)),"Other"))</f>
        <v>Other</v>
      </c>
      <c r="D504" s="45" t="n">
        <f aca="false">IF(A504="","",BG504*(1-Assumptions!$B$18))</f>
        <v>4.17</v>
      </c>
      <c r="E504" s="46" t="n">
        <f aca="false">IF(A504="","",INDEX(Assumptions!$B$23:$B$26,MOD(VALUE(LEFT(A504,5)),4)+1))</f>
        <v>8</v>
      </c>
      <c r="F504" s="47" t="n">
        <v>48</v>
      </c>
      <c r="G504" s="48" t="n">
        <v>0</v>
      </c>
      <c r="H504" s="48" t="n">
        <v>0</v>
      </c>
      <c r="I504" s="48" t="n">
        <v>0</v>
      </c>
      <c r="J504" s="48" t="n">
        <v>0</v>
      </c>
      <c r="K504" s="48" t="n">
        <v>0</v>
      </c>
      <c r="L504" s="48" t="n">
        <v>0</v>
      </c>
      <c r="M504" s="48" t="n">
        <v>0</v>
      </c>
      <c r="N504" s="48" t="n">
        <v>0</v>
      </c>
      <c r="O504" s="48" t="n">
        <v>0</v>
      </c>
      <c r="P504" s="48" t="n">
        <v>0</v>
      </c>
      <c r="Q504" s="48" t="n">
        <v>0</v>
      </c>
      <c r="R504" s="48" t="n">
        <v>0</v>
      </c>
      <c r="S504" s="48" t="n">
        <v>0</v>
      </c>
      <c r="T504" s="48" t="n">
        <v>0</v>
      </c>
      <c r="U504" s="48" t="n">
        <v>0</v>
      </c>
      <c r="V504" s="48" t="n">
        <v>0</v>
      </c>
      <c r="W504" s="48" t="n">
        <v>0</v>
      </c>
      <c r="X504" s="48" t="n">
        <v>0</v>
      </c>
      <c r="Y504" s="48" t="n">
        <v>0</v>
      </c>
      <c r="Z504" s="48" t="n">
        <v>0</v>
      </c>
      <c r="AA504" s="48" t="n">
        <v>0</v>
      </c>
      <c r="AB504" s="48" t="n">
        <v>0</v>
      </c>
      <c r="AC504" s="48" t="n">
        <v>0</v>
      </c>
      <c r="AD504" s="48" t="n">
        <v>0</v>
      </c>
      <c r="AE504" s="48" t="n">
        <v>0</v>
      </c>
      <c r="AF504" s="48" t="n">
        <v>0</v>
      </c>
      <c r="AG504" s="48" t="n">
        <v>0</v>
      </c>
      <c r="AH504" s="48" t="n">
        <v>0</v>
      </c>
      <c r="AI504" s="48" t="n">
        <v>0</v>
      </c>
      <c r="AJ504" s="48" t="n">
        <v>0</v>
      </c>
      <c r="AK504" s="48" t="n">
        <v>0</v>
      </c>
      <c r="AL504" s="48" t="n">
        <v>0</v>
      </c>
      <c r="AM504" s="48" t="n">
        <v>0</v>
      </c>
      <c r="AN504" s="48" t="n">
        <v>0</v>
      </c>
      <c r="AO504" s="48" t="n">
        <v>0</v>
      </c>
      <c r="AP504" s="48" t="n">
        <v>0</v>
      </c>
      <c r="AQ504" s="48" t="n">
        <v>0</v>
      </c>
      <c r="AR504" s="48" t="n">
        <v>0</v>
      </c>
      <c r="AS504" s="48" t="n">
        <v>0</v>
      </c>
      <c r="AT504" s="48" t="n">
        <v>0</v>
      </c>
      <c r="AU504" s="48" t="n">
        <v>0</v>
      </c>
      <c r="AV504" s="48" t="n">
        <v>0</v>
      </c>
      <c r="AW504" s="48" t="n">
        <v>0</v>
      </c>
      <c r="AX504" s="48" t="n">
        <v>256</v>
      </c>
      <c r="AY504" s="48" t="n">
        <v>32</v>
      </c>
      <c r="AZ504" s="48" t="n">
        <v>162</v>
      </c>
      <c r="BA504" s="48" t="n">
        <v>67</v>
      </c>
      <c r="BB504" s="48" t="n">
        <v>172</v>
      </c>
      <c r="BC504" s="48" t="n">
        <v>49</v>
      </c>
      <c r="BD504" s="48" t="n">
        <v>14</v>
      </c>
      <c r="BE504" s="48" t="n">
        <v>29</v>
      </c>
      <c r="BF504" s="48" t="n">
        <v>51</v>
      </c>
      <c r="BG504" s="49" t="n">
        <v>6.95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AF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6" min="3" style="0" width="11"/>
    <col collapsed="false" customWidth="true" hidden="false" outlineLevel="0" max="8" min="7" style="0" width="10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4" min="13" style="0" width="7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20" min="18" style="0" width="10"/>
    <col collapsed="false" customWidth="true" hidden="false" outlineLevel="0" max="22" min="21" style="0" width="12"/>
    <col collapsed="false" customWidth="true" hidden="false" outlineLevel="0" max="23" min="23" style="0" width="9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9"/>
    <col collapsed="false" customWidth="true" hidden="false" outlineLevel="0" max="28" min="28" style="0" width="9"/>
    <col collapsed="false" customWidth="true" hidden="false" outlineLevel="0" max="29" min="29" style="0" width="36"/>
    <col collapsed="false" customWidth="true" hidden="false" outlineLevel="0" max="30" min="30" style="0" width="11"/>
    <col collapsed="false" customWidth="true" hidden="false" outlineLevel="0" max="31" min="31" style="0" width="13"/>
    <col collapsed="false" customWidth="true" hidden="false" outlineLevel="0" max="32" min="32" style="0" width="14"/>
  </cols>
  <sheetData>
    <row r="1" customFormat="false" ht="30" hidden="false" customHeight="true" outlineLevel="0" collapsed="false">
      <c r="A1" s="1" t="s">
        <v>1246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1247</v>
      </c>
    </row>
    <row r="4" customFormat="false" ht="60" hidden="false" customHeight="true" outlineLevel="0" collapsed="false">
      <c r="A4" s="16" t="s">
        <v>1248</v>
      </c>
      <c r="B4" s="16" t="s">
        <v>162</v>
      </c>
      <c r="C4" s="16" t="s">
        <v>189</v>
      </c>
      <c r="D4" s="16" t="s">
        <v>1249</v>
      </c>
      <c r="E4" s="16" t="s">
        <v>1250</v>
      </c>
      <c r="F4" s="16" t="s">
        <v>1251</v>
      </c>
      <c r="G4" s="16" t="s">
        <v>1252</v>
      </c>
      <c r="H4" s="16" t="s">
        <v>1253</v>
      </c>
      <c r="I4" s="16" t="s">
        <v>123</v>
      </c>
      <c r="J4" s="16" t="s">
        <v>1254</v>
      </c>
      <c r="K4" s="16" t="s">
        <v>1255</v>
      </c>
      <c r="L4" s="16" t="s">
        <v>1256</v>
      </c>
      <c r="M4" s="16" t="s">
        <v>155</v>
      </c>
      <c r="N4" s="16" t="s">
        <v>1257</v>
      </c>
      <c r="O4" s="16" t="s">
        <v>1258</v>
      </c>
      <c r="P4" s="16" t="s">
        <v>156</v>
      </c>
      <c r="Q4" s="16" t="s">
        <v>1259</v>
      </c>
      <c r="R4" s="16" t="s">
        <v>1260</v>
      </c>
      <c r="S4" s="16" t="s">
        <v>1261</v>
      </c>
      <c r="T4" s="16" t="s">
        <v>1262</v>
      </c>
      <c r="U4" s="16" t="s">
        <v>1263</v>
      </c>
      <c r="V4" s="16" t="s">
        <v>1264</v>
      </c>
      <c r="W4" s="16" t="s">
        <v>1265</v>
      </c>
      <c r="X4" s="16" t="s">
        <v>1266</v>
      </c>
      <c r="Y4" s="16" t="s">
        <v>1267</v>
      </c>
      <c r="Z4" s="16" t="s">
        <v>1268</v>
      </c>
      <c r="AA4" s="16" t="s">
        <v>1269</v>
      </c>
      <c r="AB4" s="50" t="s">
        <v>1270</v>
      </c>
      <c r="AC4" s="50" t="s">
        <v>1271</v>
      </c>
      <c r="AD4" s="50" t="s">
        <v>1272</v>
      </c>
      <c r="AE4" s="50" t="s">
        <v>1273</v>
      </c>
      <c r="AF4" s="50" t="s">
        <v>1274</v>
      </c>
    </row>
    <row r="5" customFormat="false" ht="15" hidden="false" customHeight="false" outlineLevel="0" collapsed="false">
      <c r="A5" s="44" t="str">
        <f aca="false">IF(Weekly_Demand!A5="","",Weekly_Demand!A5)</f>
        <v>22423</v>
      </c>
      <c r="B5" s="44" t="str">
        <f aca="false">IF($A5="","",Weekly_Demand!C5)</f>
        <v>Kitchen</v>
      </c>
      <c r="C5" s="45" t="n">
        <f aca="false">IF($A5="","",Weekly_Demand!D5)</f>
        <v>7.65</v>
      </c>
      <c r="D5" s="46" t="n">
        <f aca="false">IF($A5="","",Weekly_Demand!E5+Assumptions!$B$19)</f>
        <v>8</v>
      </c>
      <c r="E5" s="46" t="n">
        <f aca="false">IF($A5="","",Weekly_Demand!F5)</f>
        <v>743</v>
      </c>
      <c r="F5" s="46" t="n">
        <f aca="false">IF($A5="","",SUM(Weekly_Demand!G5:BF5))</f>
        <v>12881</v>
      </c>
      <c r="G5" s="51" t="n">
        <f aca="false">IF($A5="","",IFERROR(F5/Assumptions!$B$6,0))</f>
        <v>247.711538461538</v>
      </c>
      <c r="H5" s="51" t="n">
        <f aca="false">IF($A5="","",STDEV(Weekly_Demand!G5:BF5))</f>
        <v>126.395479029732</v>
      </c>
      <c r="I5" s="52" t="n">
        <f aca="false">IF($A5="","",IFERROR(H5/G5,0))</f>
        <v>0.510252690749635</v>
      </c>
      <c r="J5" s="53" t="n">
        <f aca="false">IF($A5="","",F5*C5)</f>
        <v>98539.65</v>
      </c>
      <c r="K5" s="54" t="n">
        <f aca="false">IF($A5="","",IFERROR(J5/$J$505,0))</f>
        <v>0.025497367601174</v>
      </c>
      <c r="L5" s="54" t="n">
        <f aca="false">IF($A5="","",IFERROR(SUMIFS($J$5:$J$504,$AB$5:$AB$504,"&lt;="&amp;AB5)/$J$505,0))</f>
        <v>0.025497367601174</v>
      </c>
      <c r="M5" s="55" t="str">
        <f aca="false">IF($A5="","",IF(L5&lt;=Assumptions!$B$7,"A",IF(L5&lt;=Assumptions!$B$8,"B","C")))</f>
        <v>A</v>
      </c>
      <c r="N5" s="55" t="str">
        <f aca="false">IF($A5="","",IF(I5&lt;=Assumptions!$B$9,"X",IF(I5&lt;=Assumptions!$B$10,"Y","Z")))</f>
        <v>Y</v>
      </c>
      <c r="O5" s="56" t="str">
        <f aca="false">IF($A5="","",M5&amp;N5)</f>
        <v>AY</v>
      </c>
      <c r="P5" s="57" t="n">
        <f aca="false">IF($A5="","",INDEX(Assumptions!$B$35:$B$37,MATCH(M5,Assumptions!$A$35:$A$37,0)))</f>
        <v>0.98</v>
      </c>
      <c r="Q5" s="58" t="n">
        <f aca="false">IF($A5="","",NORMSINV(P5))</f>
        <v>2.05374891063182</v>
      </c>
      <c r="R5" s="48" t="n">
        <f aca="false">IF($A5="","",ROUNDUP(Q5*H5*SQRT(D5),0))</f>
        <v>735</v>
      </c>
      <c r="S5" s="48" t="n">
        <f aca="false">IF($A5="","",ROUNDUP(G5*D5+R5,0))</f>
        <v>2717</v>
      </c>
      <c r="T5" s="46" t="n">
        <f aca="false">IF($A5="","",IFERROR(ROUND(SQRT(2*F5*Assumptions!$B$4/(Assumptions!$B$5*C5)),0),0))</f>
        <v>821</v>
      </c>
      <c r="U5" s="53" t="n">
        <f aca="false">IF($A5="","",R5*C5)</f>
        <v>5622.75</v>
      </c>
      <c r="V5" s="53" t="n">
        <f aca="false">IF($A5="","",E5*C5)</f>
        <v>5683.95</v>
      </c>
      <c r="W5" s="59" t="n">
        <f aca="false">IF($A5="","",IFERROR(E5/G5,0))</f>
        <v>2.99945656393137</v>
      </c>
      <c r="X5" s="48" t="n">
        <f aca="false">IF($A5="","",S5+T5)</f>
        <v>3538</v>
      </c>
      <c r="Y5" s="48" t="n">
        <f aca="false">IF($A5="","",MAX(0,E5-X5))</f>
        <v>0</v>
      </c>
      <c r="Z5" s="53" t="n">
        <f aca="false">IF($A5="","",Y5*C5)</f>
        <v>0</v>
      </c>
      <c r="AA5" s="56" t="str">
        <f aca="false">IF($A5="","",IF(E5&lt;=R5,"Below Safety Stock",IF(E5&lt;=S5,"Reorder Now",IF(E5&gt;X5,"Excess","Healthy"))))</f>
        <v>Reorder Now</v>
      </c>
      <c r="AB5" s="48" t="n">
        <f aca="false">IF($A5="","",RANK(AF5,$AF$5:$AF$504,0)+COUNTIF($AF$5:AF5,AF5)-1)</f>
        <v>1</v>
      </c>
      <c r="AC5" s="44" t="str">
        <f aca="false">IF($A5="","",Weekly_Demand!B5)</f>
        <v>REGENCY CAKESTAND 3 TIER</v>
      </c>
      <c r="AD5" s="59" t="n">
        <f aca="false">IF($A5="","",H5*SQRT(D5))</f>
        <v>357.500401332982</v>
      </c>
      <c r="AE5" s="53" t="n">
        <f aca="false">IF($A5="","",AD5*C5)</f>
        <v>2734.87807019731</v>
      </c>
      <c r="AF5" s="53" t="n">
        <f aca="false">IF($A5="","",ROUND(J5,2))</f>
        <v>98539.65</v>
      </c>
    </row>
    <row r="6" customFormat="false" ht="15" hidden="false" customHeight="false" outlineLevel="0" collapsed="false">
      <c r="A6" s="44" t="str">
        <f aca="false">IF(Weekly_Demand!A6="","",Weekly_Demand!A6)</f>
        <v>85123A</v>
      </c>
      <c r="B6" s="44" t="str">
        <f aca="false">IF($A6="","",Weekly_Demand!C6)</f>
        <v>Lighting</v>
      </c>
      <c r="C6" s="45" t="n">
        <f aca="false">IF($A6="","",Weekly_Demand!D6)</f>
        <v>1.77</v>
      </c>
      <c r="D6" s="46" t="n">
        <f aca="false">IF($A6="","",Weekly_Demand!E6+Assumptions!$B$19)</f>
        <v>8</v>
      </c>
      <c r="E6" s="46" t="n">
        <f aca="false">IF($A6="","",Weekly_Demand!F6)</f>
        <v>1395</v>
      </c>
      <c r="F6" s="46" t="n">
        <f aca="false">IF($A6="","",SUM(Weekly_Demand!G6:BF6))</f>
        <v>36258</v>
      </c>
      <c r="G6" s="51" t="n">
        <f aca="false">IF($A6="","",IFERROR(F6/Assumptions!$B$6,0))</f>
        <v>697.269230769231</v>
      </c>
      <c r="H6" s="51" t="n">
        <f aca="false">IF($A6="","",STDEV(Weekly_Demand!G6:BF6))</f>
        <v>566.985462184709</v>
      </c>
      <c r="I6" s="52" t="n">
        <f aca="false">IF($A6="","",IFERROR(H6/G6,0))</f>
        <v>0.813151415786996</v>
      </c>
      <c r="J6" s="53" t="n">
        <f aca="false">IF($A6="","",F6*C6)</f>
        <v>64176.66</v>
      </c>
      <c r="K6" s="54" t="n">
        <f aca="false">IF($A6="","",IFERROR(J6/$J$505,0))</f>
        <v>0.016605862629262</v>
      </c>
      <c r="L6" s="54" t="n">
        <f aca="false">IF($A6="","",IFERROR(SUMIFS($J$5:$J$504,$AB$5:$AB$504,"&lt;="&amp;AB6)/$J$505,0))</f>
        <v>0.042103230230436</v>
      </c>
      <c r="M6" s="55" t="str">
        <f aca="false">IF($A6="","",IF(L6&lt;=Assumptions!$B$7,"A",IF(L6&lt;=Assumptions!$B$8,"B","C")))</f>
        <v>A</v>
      </c>
      <c r="N6" s="55" t="str">
        <f aca="false">IF($A6="","",IF(I6&lt;=Assumptions!$B$9,"X",IF(I6&lt;=Assumptions!$B$10,"Y","Z")))</f>
        <v>Y</v>
      </c>
      <c r="O6" s="56" t="str">
        <f aca="false">IF($A6="","",M6&amp;N6)</f>
        <v>AY</v>
      </c>
      <c r="P6" s="57" t="n">
        <f aca="false">IF($A6="","",INDEX(Assumptions!$B$35:$B$37,MATCH(M6,Assumptions!$A$35:$A$37,0)))</f>
        <v>0.98</v>
      </c>
      <c r="Q6" s="58" t="n">
        <f aca="false">IF($A6="","",NORMSINV(P6))</f>
        <v>2.05374891063182</v>
      </c>
      <c r="R6" s="48" t="n">
        <f aca="false">IF($A6="","",ROUNDUP(Q6*H6*SQRT(D6),0))</f>
        <v>3294</v>
      </c>
      <c r="S6" s="48" t="n">
        <f aca="false">IF($A6="","",ROUNDUP(G6*D6+R6,0))</f>
        <v>8873</v>
      </c>
      <c r="T6" s="46" t="n">
        <f aca="false">IF($A6="","",IFERROR(ROUND(SQRT(2*F6*Assumptions!$B$4/(Assumptions!$B$5*C6)),0),0))</f>
        <v>2862</v>
      </c>
      <c r="U6" s="53" t="n">
        <f aca="false">IF($A6="","",R6*C6)</f>
        <v>5830.38</v>
      </c>
      <c r="V6" s="53" t="n">
        <f aca="false">IF($A6="","",E6*C6)</f>
        <v>2469.15</v>
      </c>
      <c r="W6" s="59" t="n">
        <f aca="false">IF($A6="","",IFERROR(E6/G6,0))</f>
        <v>2.00066192288598</v>
      </c>
      <c r="X6" s="48" t="n">
        <f aca="false">IF($A6="","",S6+T6)</f>
        <v>11735</v>
      </c>
      <c r="Y6" s="48" t="n">
        <f aca="false">IF($A6="","",MAX(0,E6-X6))</f>
        <v>0</v>
      </c>
      <c r="Z6" s="53" t="n">
        <f aca="false">IF($A6="","",Y6*C6)</f>
        <v>0</v>
      </c>
      <c r="AA6" s="56" t="str">
        <f aca="false">IF($A6="","",IF(E6&lt;=R6,"Below Safety Stock",IF(E6&lt;=S6,"Reorder Now",IF(E6&gt;X6,"Excess","Healthy"))))</f>
        <v>Below Safety Stock</v>
      </c>
      <c r="AB6" s="48" t="n">
        <f aca="false">IF($A6="","",RANK(AF6,$AF$5:$AF$504,0)+COUNTIF($AF$5:AF6,AF6)-1)</f>
        <v>2</v>
      </c>
      <c r="AC6" s="44" t="str">
        <f aca="false">IF($A6="","",Weekly_Demand!B6)</f>
        <v>WHITE HANGING HEART T-LIGHT HOLDER</v>
      </c>
      <c r="AD6" s="59" t="n">
        <f aca="false">IF($A6="","",H6*SQRT(D6))</f>
        <v>1603.67706057999</v>
      </c>
      <c r="AE6" s="53" t="n">
        <f aca="false">IF($A6="","",AD6*C6)</f>
        <v>2838.50839722658</v>
      </c>
      <c r="AF6" s="53" t="n">
        <f aca="false">IF($A6="","",ROUND(J6,2))</f>
        <v>64176.66</v>
      </c>
    </row>
    <row r="7" customFormat="false" ht="15" hidden="false" customHeight="false" outlineLevel="0" collapsed="false">
      <c r="A7" s="44" t="str">
        <f aca="false">IF(Weekly_Demand!A7="","",Weekly_Demand!A7)</f>
        <v>47566</v>
      </c>
      <c r="B7" s="44" t="str">
        <f aca="false">IF($A7="","",Weekly_Demand!C7)</f>
        <v>Other</v>
      </c>
      <c r="C7" s="45" t="n">
        <f aca="false">IF($A7="","",Weekly_Demand!D7)</f>
        <v>2.97</v>
      </c>
      <c r="D7" s="46" t="n">
        <f aca="false">IF($A7="","",Weekly_Demand!E7+Assumptions!$B$19)</f>
        <v>6</v>
      </c>
      <c r="E7" s="46" t="n">
        <f aca="false">IF($A7="","",Weekly_Demand!F7)</f>
        <v>14706</v>
      </c>
      <c r="F7" s="46" t="n">
        <f aca="false">IF($A7="","",SUM(Weekly_Demand!G7:BF7))</f>
        <v>18207</v>
      </c>
      <c r="G7" s="51" t="n">
        <f aca="false">IF($A7="","",IFERROR(F7/Assumptions!$B$6,0))</f>
        <v>350.134615384615</v>
      </c>
      <c r="H7" s="51" t="n">
        <f aca="false">IF($A7="","",STDEV(Weekly_Demand!G7:BF7))</f>
        <v>251.723317517869</v>
      </c>
      <c r="I7" s="52" t="n">
        <f aca="false">IF($A7="","",IFERROR(H7/G7,0))</f>
        <v>0.718932965943275</v>
      </c>
      <c r="J7" s="53" t="n">
        <f aca="false">IF($A7="","",F7*C7)</f>
        <v>54074.79</v>
      </c>
      <c r="K7" s="54" t="n">
        <f aca="false">IF($A7="","",IFERROR(J7/$J$505,0))</f>
        <v>0.0139919798638039</v>
      </c>
      <c r="L7" s="54" t="n">
        <f aca="false">IF($A7="","",IFERROR(SUMIFS($J$5:$J$504,$AB$5:$AB$504,"&lt;="&amp;AB7)/$J$505,0))</f>
        <v>0.0713794763830089</v>
      </c>
      <c r="M7" s="55" t="str">
        <f aca="false">IF($A7="","",IF(L7&lt;=Assumptions!$B$7,"A",IF(L7&lt;=Assumptions!$B$8,"B","C")))</f>
        <v>A</v>
      </c>
      <c r="N7" s="55" t="str">
        <f aca="false">IF($A7="","",IF(I7&lt;=Assumptions!$B$9,"X",IF(I7&lt;=Assumptions!$B$10,"Y","Z")))</f>
        <v>Y</v>
      </c>
      <c r="O7" s="56" t="str">
        <f aca="false">IF($A7="","",M7&amp;N7)</f>
        <v>AY</v>
      </c>
      <c r="P7" s="57" t="n">
        <f aca="false">IF($A7="","",INDEX(Assumptions!$B$35:$B$37,MATCH(M7,Assumptions!$A$35:$A$37,0)))</f>
        <v>0.98</v>
      </c>
      <c r="Q7" s="58" t="n">
        <f aca="false">IF($A7="","",NORMSINV(P7))</f>
        <v>2.05374891063182</v>
      </c>
      <c r="R7" s="48" t="n">
        <f aca="false">IF($A7="","",ROUNDUP(Q7*H7*SQRT(D7),0))</f>
        <v>1267</v>
      </c>
      <c r="S7" s="48" t="n">
        <f aca="false">IF($A7="","",ROUNDUP(G7*D7+R7,0))</f>
        <v>3368</v>
      </c>
      <c r="T7" s="46" t="n">
        <f aca="false">IF($A7="","",IFERROR(ROUND(SQRT(2*F7*Assumptions!$B$4/(Assumptions!$B$5*C7)),0),0))</f>
        <v>1566</v>
      </c>
      <c r="U7" s="53" t="n">
        <f aca="false">IF($A7="","",R7*C7)</f>
        <v>3762.99</v>
      </c>
      <c r="V7" s="53" t="n">
        <f aca="false">IF($A7="","",E7*C7)</f>
        <v>43676.82</v>
      </c>
      <c r="W7" s="59" t="n">
        <f aca="false">IF($A7="","",IFERROR(E7/G7,0))</f>
        <v>42.0009886307464</v>
      </c>
      <c r="X7" s="48" t="n">
        <f aca="false">IF($A7="","",S7+T7)</f>
        <v>4934</v>
      </c>
      <c r="Y7" s="48" t="n">
        <f aca="false">IF($A7="","",MAX(0,E7-X7))</f>
        <v>9772</v>
      </c>
      <c r="Z7" s="53" t="n">
        <f aca="false">IF($A7="","",Y7*C7)</f>
        <v>29022.84</v>
      </c>
      <c r="AA7" s="56" t="str">
        <f aca="false">IF($A7="","",IF(E7&lt;=R7,"Below Safety Stock",IF(E7&lt;=S7,"Reorder Now",IF(E7&gt;X7,"Excess","Healthy"))))</f>
        <v>Excess</v>
      </c>
      <c r="AB7" s="48" t="n">
        <f aca="false">IF($A7="","",RANK(AF7,$AF$5:$AF$504,0)+COUNTIF($AF$5:AF7,AF7)-1)</f>
        <v>4</v>
      </c>
      <c r="AC7" s="44" t="str">
        <f aca="false">IF($A7="","",Weekly_Demand!B7)</f>
        <v>PARTY BUNTING</v>
      </c>
      <c r="AD7" s="59" t="n">
        <f aca="false">IF($A7="","",H7*SQRT(D7))</f>
        <v>616.593684279374</v>
      </c>
      <c r="AE7" s="53" t="n">
        <f aca="false">IF($A7="","",AD7*C7)</f>
        <v>1831.28324230974</v>
      </c>
      <c r="AF7" s="53" t="n">
        <f aca="false">IF($A7="","",ROUND(J7,2))</f>
        <v>54074.79</v>
      </c>
    </row>
    <row r="8" customFormat="false" ht="15" hidden="false" customHeight="false" outlineLevel="0" collapsed="false">
      <c r="A8" s="44" t="str">
        <f aca="false">IF(Weekly_Demand!A8="","",Weekly_Demand!A8)</f>
        <v>85099B</v>
      </c>
      <c r="B8" s="44" t="str">
        <f aca="false">IF($A8="","",Weekly_Demand!C8)</f>
        <v>Bags</v>
      </c>
      <c r="C8" s="45" t="n">
        <f aca="false">IF($A8="","",Weekly_Demand!D8)</f>
        <v>1.248</v>
      </c>
      <c r="D8" s="46" t="n">
        <f aca="false">IF($A8="","",Weekly_Demand!E8+Assumptions!$B$19)</f>
        <v>8</v>
      </c>
      <c r="E8" s="46" t="n">
        <f aca="false">IF($A8="","",Weekly_Demand!F8)</f>
        <v>11833</v>
      </c>
      <c r="F8" s="46" t="n">
        <f aca="false">IF($A8="","",SUM(Weekly_Demand!G8:BF8))</f>
        <v>47331</v>
      </c>
      <c r="G8" s="51" t="n">
        <f aca="false">IF($A8="","",IFERROR(F8/Assumptions!$B$6,0))</f>
        <v>910.211538461539</v>
      </c>
      <c r="H8" s="51" t="n">
        <f aca="false">IF($A8="","",STDEV(Weekly_Demand!G8:BF8))</f>
        <v>500.058597999155</v>
      </c>
      <c r="I8" s="52" t="n">
        <f aca="false">IF($A8="","",IFERROR(H8/G8,0))</f>
        <v>0.549387232383767</v>
      </c>
      <c r="J8" s="53" t="n">
        <f aca="false">IF($A8="","",F8*C8)</f>
        <v>59069.088</v>
      </c>
      <c r="K8" s="54" t="n">
        <f aca="false">IF($A8="","",IFERROR(J8/$J$505,0))</f>
        <v>0.015284266288769</v>
      </c>
      <c r="L8" s="54" t="n">
        <f aca="false">IF($A8="","",IFERROR(SUMIFS($J$5:$J$504,$AB$5:$AB$504,"&lt;="&amp;AB8)/$J$505,0))</f>
        <v>0.057387496519205</v>
      </c>
      <c r="M8" s="55" t="str">
        <f aca="false">IF($A8="","",IF(L8&lt;=Assumptions!$B$7,"A",IF(L8&lt;=Assumptions!$B$8,"B","C")))</f>
        <v>A</v>
      </c>
      <c r="N8" s="55" t="str">
        <f aca="false">IF($A8="","",IF(I8&lt;=Assumptions!$B$9,"X",IF(I8&lt;=Assumptions!$B$10,"Y","Z")))</f>
        <v>Y</v>
      </c>
      <c r="O8" s="56" t="str">
        <f aca="false">IF($A8="","",M8&amp;N8)</f>
        <v>AY</v>
      </c>
      <c r="P8" s="57" t="n">
        <f aca="false">IF($A8="","",INDEX(Assumptions!$B$35:$B$37,MATCH(M8,Assumptions!$A$35:$A$37,0)))</f>
        <v>0.98</v>
      </c>
      <c r="Q8" s="58" t="n">
        <f aca="false">IF($A8="","",NORMSINV(P8))</f>
        <v>2.05374891063182</v>
      </c>
      <c r="R8" s="48" t="n">
        <f aca="false">IF($A8="","",ROUNDUP(Q8*H8*SQRT(D8),0))</f>
        <v>2905</v>
      </c>
      <c r="S8" s="48" t="n">
        <f aca="false">IF($A8="","",ROUNDUP(G8*D8+R8,0))</f>
        <v>10187</v>
      </c>
      <c r="T8" s="46" t="n">
        <f aca="false">IF($A8="","",IFERROR(ROUND(SQRT(2*F8*Assumptions!$B$4/(Assumptions!$B$5*C8)),0),0))</f>
        <v>3895</v>
      </c>
      <c r="U8" s="53" t="n">
        <f aca="false">IF($A8="","",R8*C8)</f>
        <v>3625.44</v>
      </c>
      <c r="V8" s="53" t="n">
        <f aca="false">IF($A8="","",E8*C8)</f>
        <v>14767.584</v>
      </c>
      <c r="W8" s="59" t="n">
        <f aca="false">IF($A8="","",IFERROR(E8/G8,0))</f>
        <v>13.000274661427</v>
      </c>
      <c r="X8" s="48" t="n">
        <f aca="false">IF($A8="","",S8+T8)</f>
        <v>14082</v>
      </c>
      <c r="Y8" s="48" t="n">
        <f aca="false">IF($A8="","",MAX(0,E8-X8))</f>
        <v>0</v>
      </c>
      <c r="Z8" s="53" t="n">
        <f aca="false">IF($A8="","",Y8*C8)</f>
        <v>0</v>
      </c>
      <c r="AA8" s="56" t="str">
        <f aca="false">IF($A8="","",IF(E8&lt;=R8,"Below Safety Stock",IF(E8&lt;=S8,"Reorder Now",IF(E8&gt;X8,"Excess","Healthy"))))</f>
        <v>Healthy</v>
      </c>
      <c r="AB8" s="48" t="n">
        <f aca="false">IF($A8="","",RANK(AF8,$AF$5:$AF$504,0)+COUNTIF($AF$5:AF8,AF8)-1)</f>
        <v>3</v>
      </c>
      <c r="AC8" s="44" t="str">
        <f aca="false">IF($A8="","",Weekly_Demand!B8)</f>
        <v>JUMBO BAG RED RETROSPOT</v>
      </c>
      <c r="AD8" s="59" t="n">
        <f aca="false">IF($A8="","",H8*SQRT(D8))</f>
        <v>1414.37930254336</v>
      </c>
      <c r="AE8" s="53" t="n">
        <f aca="false">IF($A8="","",AD8*C8)</f>
        <v>1765.14536957412</v>
      </c>
      <c r="AF8" s="53" t="n">
        <f aca="false">IF($A8="","",ROUND(J8,2))</f>
        <v>59069.09</v>
      </c>
    </row>
    <row r="9" customFormat="false" ht="15" hidden="false" customHeight="false" outlineLevel="0" collapsed="false">
      <c r="A9" s="44" t="str">
        <f aca="false">IF(Weekly_Demand!A9="","",Weekly_Demand!A9)</f>
        <v>23084</v>
      </c>
      <c r="B9" s="44" t="str">
        <f aca="false">IF($A9="","",Weekly_Demand!C9)</f>
        <v>Lighting</v>
      </c>
      <c r="C9" s="45" t="n">
        <f aca="false">IF($A9="","",Weekly_Demand!D9)</f>
        <v>1.248</v>
      </c>
      <c r="D9" s="46" t="n">
        <f aca="false">IF($A9="","",Weekly_Demand!E9+Assumptions!$B$19)</f>
        <v>2</v>
      </c>
      <c r="E9" s="46" t="n">
        <f aca="false">IF($A9="","",Weekly_Demand!F9)</f>
        <v>7426</v>
      </c>
      <c r="F9" s="46" t="n">
        <f aca="false">IF($A9="","",SUM(Weekly_Demand!G9:BF9))</f>
        <v>27583</v>
      </c>
      <c r="G9" s="51" t="n">
        <f aca="false">IF($A9="","",IFERROR(F9/Assumptions!$B$6,0))</f>
        <v>530.442307692308</v>
      </c>
      <c r="H9" s="51" t="n">
        <f aca="false">IF($A9="","",STDEV(Weekly_Demand!G9:BF9))</f>
        <v>1236.01775819246</v>
      </c>
      <c r="I9" s="52" t="n">
        <f aca="false">IF($A9="","",IFERROR(H9/G9,0))</f>
        <v>2.33016435579915</v>
      </c>
      <c r="J9" s="53" t="n">
        <f aca="false">IF($A9="","",F9*C9)</f>
        <v>34423.584</v>
      </c>
      <c r="K9" s="54" t="n">
        <f aca="false">IF($A9="","",IFERROR(J9/$J$505,0))</f>
        <v>0.00890718381278897</v>
      </c>
      <c r="L9" s="54" t="n">
        <f aca="false">IF($A9="","",IFERROR(SUMIFS($J$5:$J$504,$AB$5:$AB$504,"&lt;="&amp;AB9)/$J$505,0))</f>
        <v>0.0894396085585096</v>
      </c>
      <c r="M9" s="55" t="str">
        <f aca="false">IF($A9="","",IF(L9&lt;=Assumptions!$B$7,"A",IF(L9&lt;=Assumptions!$B$8,"B","C")))</f>
        <v>A</v>
      </c>
      <c r="N9" s="55" t="str">
        <f aca="false">IF($A9="","",IF(I9&lt;=Assumptions!$B$9,"X",IF(I9&lt;=Assumptions!$B$10,"Y","Z")))</f>
        <v>Z</v>
      </c>
      <c r="O9" s="56" t="str">
        <f aca="false">IF($A9="","",M9&amp;N9)</f>
        <v>AZ</v>
      </c>
      <c r="P9" s="57" t="n">
        <f aca="false">IF($A9="","",INDEX(Assumptions!$B$35:$B$37,MATCH(M9,Assumptions!$A$35:$A$37,0)))</f>
        <v>0.98</v>
      </c>
      <c r="Q9" s="58" t="n">
        <f aca="false">IF($A9="","",NORMSINV(P9))</f>
        <v>2.05374891063182</v>
      </c>
      <c r="R9" s="48" t="n">
        <f aca="false">IF($A9="","",ROUNDUP(Q9*H9*SQRT(D9),0))</f>
        <v>3590</v>
      </c>
      <c r="S9" s="48" t="n">
        <f aca="false">IF($A9="","",ROUNDUP(G9*D9+R9,0))</f>
        <v>4651</v>
      </c>
      <c r="T9" s="46" t="n">
        <f aca="false">IF($A9="","",IFERROR(ROUND(SQRT(2*F9*Assumptions!$B$4/(Assumptions!$B$5*C9)),0),0))</f>
        <v>2973</v>
      </c>
      <c r="U9" s="53" t="n">
        <f aca="false">IF($A9="","",R9*C9)</f>
        <v>4480.32</v>
      </c>
      <c r="V9" s="53" t="n">
        <f aca="false">IF($A9="","",E9*C9)</f>
        <v>9267.648</v>
      </c>
      <c r="W9" s="59" t="n">
        <f aca="false">IF($A9="","",IFERROR(E9/G9,0))</f>
        <v>13.9996374578545</v>
      </c>
      <c r="X9" s="48" t="n">
        <f aca="false">IF($A9="","",S9+T9)</f>
        <v>7624</v>
      </c>
      <c r="Y9" s="48" t="n">
        <f aca="false">IF($A9="","",MAX(0,E9-X9))</f>
        <v>0</v>
      </c>
      <c r="Z9" s="53" t="n">
        <f aca="false">IF($A9="","",Y9*C9)</f>
        <v>0</v>
      </c>
      <c r="AA9" s="56" t="str">
        <f aca="false">IF($A9="","",IF(E9&lt;=R9,"Below Safety Stock",IF(E9&lt;=S9,"Reorder Now",IF(E9&gt;X9,"Excess","Healthy"))))</f>
        <v>Healthy</v>
      </c>
      <c r="AB9" s="48" t="n">
        <f aca="false">IF($A9="","",RANK(AF9,$AF$5:$AF$504,0)+COUNTIF($AF$5:AF9,AF9)-1)</f>
        <v>6</v>
      </c>
      <c r="AC9" s="44" t="str">
        <f aca="false">IF($A9="","",Weekly_Demand!B9)</f>
        <v>RABBIT NIGHT LIGHT</v>
      </c>
      <c r="AD9" s="59" t="n">
        <f aca="false">IF($A9="","",H9*SQRT(D9))</f>
        <v>1747.99307696977</v>
      </c>
      <c r="AE9" s="53" t="n">
        <f aca="false">IF($A9="","",AD9*C9)</f>
        <v>2181.49536005827</v>
      </c>
      <c r="AF9" s="53" t="n">
        <f aca="false">IF($A9="","",ROUND(J9,2))</f>
        <v>34423.58</v>
      </c>
    </row>
    <row r="10" customFormat="false" ht="15" hidden="false" customHeight="false" outlineLevel="0" collapsed="false">
      <c r="A10" s="44" t="str">
        <f aca="false">IF(Weekly_Demand!A10="","",Weekly_Demand!A10)</f>
        <v>22086</v>
      </c>
      <c r="B10" s="44" t="str">
        <f aca="false">IF($A10="","",Weekly_Demand!C10)</f>
        <v>Other</v>
      </c>
      <c r="C10" s="45" t="n">
        <f aca="false">IF($A10="","",Weekly_Demand!D10)</f>
        <v>1.77</v>
      </c>
      <c r="D10" s="46" t="n">
        <f aca="false">IF($A10="","",Weekly_Demand!E10+Assumptions!$B$19)</f>
        <v>6</v>
      </c>
      <c r="E10" s="46" t="n">
        <f aca="false">IF($A10="","",Weekly_Demand!F10)</f>
        <v>3304</v>
      </c>
      <c r="F10" s="46" t="n">
        <f aca="false">IF($A10="","",SUM(Weekly_Demand!G10:BF10))</f>
        <v>17180</v>
      </c>
      <c r="G10" s="51" t="n">
        <f aca="false">IF($A10="","",IFERROR(F10/Assumptions!$B$6,0))</f>
        <v>330.384615384615</v>
      </c>
      <c r="H10" s="51" t="n">
        <f aca="false">IF($A10="","",STDEV(Weekly_Demand!G10:BF10))</f>
        <v>544.366591944564</v>
      </c>
      <c r="I10" s="52" t="n">
        <f aca="false">IF($A10="","",IFERROR(H10/G10,0))</f>
        <v>1.64767536560636</v>
      </c>
      <c r="J10" s="53" t="n">
        <f aca="false">IF($A10="","",F10*C10)</f>
        <v>30408.6</v>
      </c>
      <c r="K10" s="54" t="n">
        <f aca="false">IF($A10="","",IFERROR(J10/$J$505,0))</f>
        <v>0.00786829720256829</v>
      </c>
      <c r="L10" s="54" t="n">
        <f aca="false">IF($A10="","",IFERROR(SUMIFS($J$5:$J$504,$AB$5:$AB$504,"&lt;="&amp;AB10)/$J$505,0))</f>
        <v>0.10572156238825</v>
      </c>
      <c r="M10" s="55" t="str">
        <f aca="false">IF($A10="","",IF(L10&lt;=Assumptions!$B$7,"A",IF(L10&lt;=Assumptions!$B$8,"B","C")))</f>
        <v>A</v>
      </c>
      <c r="N10" s="55" t="str">
        <f aca="false">IF($A10="","",IF(I10&lt;=Assumptions!$B$9,"X",IF(I10&lt;=Assumptions!$B$10,"Y","Z")))</f>
        <v>Z</v>
      </c>
      <c r="O10" s="56" t="str">
        <f aca="false">IF($A10="","",M10&amp;N10)</f>
        <v>AZ</v>
      </c>
      <c r="P10" s="57" t="n">
        <f aca="false">IF($A10="","",INDEX(Assumptions!$B$35:$B$37,MATCH(M10,Assumptions!$A$35:$A$37,0)))</f>
        <v>0.98</v>
      </c>
      <c r="Q10" s="58" t="n">
        <f aca="false">IF($A10="","",NORMSINV(P10))</f>
        <v>2.05374891063182</v>
      </c>
      <c r="R10" s="48" t="n">
        <f aca="false">IF($A10="","",ROUNDUP(Q10*H10*SQRT(D10),0))</f>
        <v>2739</v>
      </c>
      <c r="S10" s="48" t="n">
        <f aca="false">IF($A10="","",ROUNDUP(G10*D10+R10,0))</f>
        <v>4722</v>
      </c>
      <c r="T10" s="46" t="n">
        <f aca="false">IF($A10="","",IFERROR(ROUND(SQRT(2*F10*Assumptions!$B$4/(Assumptions!$B$5*C10)),0),0))</f>
        <v>1970</v>
      </c>
      <c r="U10" s="53" t="n">
        <f aca="false">IF($A10="","",R10*C10)</f>
        <v>4848.03</v>
      </c>
      <c r="V10" s="53" t="n">
        <f aca="false">IF($A10="","",E10*C10)</f>
        <v>5848.08</v>
      </c>
      <c r="W10" s="59" t="n">
        <f aca="false">IF($A10="","",IFERROR(E10/G10,0))</f>
        <v>10.0004656577416</v>
      </c>
      <c r="X10" s="48" t="n">
        <f aca="false">IF($A10="","",S10+T10)</f>
        <v>6692</v>
      </c>
      <c r="Y10" s="48" t="n">
        <f aca="false">IF($A10="","",MAX(0,E10-X10))</f>
        <v>0</v>
      </c>
      <c r="Z10" s="53" t="n">
        <f aca="false">IF($A10="","",Y10*C10)</f>
        <v>0</v>
      </c>
      <c r="AA10" s="56" t="str">
        <f aca="false">IF($A10="","",IF(E10&lt;=R10,"Below Safety Stock",IF(E10&lt;=S10,"Reorder Now",IF(E10&gt;X10,"Excess","Healthy"))))</f>
        <v>Reorder Now</v>
      </c>
      <c r="AB10" s="48" t="n">
        <f aca="false">IF($A10="","",RANK(AF10,$AF$5:$AF$504,0)+COUNTIF($AF$5:AF10,AF10)-1)</f>
        <v>8</v>
      </c>
      <c r="AC10" s="44" t="str">
        <f aca="false">IF($A10="","",Weekly_Demand!B10)</f>
        <v>PAPER CHAIN KIT 50'S CHRISTMAS</v>
      </c>
      <c r="AD10" s="59" t="n">
        <f aca="false">IF($A10="","",H10*SQRT(D10))</f>
        <v>1333.42038328205</v>
      </c>
      <c r="AE10" s="53" t="n">
        <f aca="false">IF($A10="","",AD10*C10)</f>
        <v>2360.15407840922</v>
      </c>
      <c r="AF10" s="53" t="n">
        <f aca="false">IF($A10="","",ROUND(J10,2))</f>
        <v>30408.6</v>
      </c>
    </row>
    <row r="11" customFormat="false" ht="15" hidden="false" customHeight="false" outlineLevel="0" collapsed="false">
      <c r="A11" s="44" t="str">
        <f aca="false">IF(Weekly_Demand!A11="","",Weekly_Demand!A11)</f>
        <v>84879</v>
      </c>
      <c r="B11" s="44" t="str">
        <f aca="false">IF($A11="","",Weekly_Demand!C11)</f>
        <v>Other</v>
      </c>
      <c r="C11" s="45" t="n">
        <f aca="false">IF($A11="","",Weekly_Demand!D11)</f>
        <v>1.014</v>
      </c>
      <c r="D11" s="46" t="n">
        <f aca="false">IF($A11="","",Weekly_Demand!E11+Assumptions!$B$19)</f>
        <v>8</v>
      </c>
      <c r="E11" s="46" t="n">
        <f aca="false">IF($A11="","",Weekly_Demand!F11)</f>
        <v>33543</v>
      </c>
      <c r="F11" s="46" t="n">
        <f aca="false">IF($A11="","",SUM(Weekly_Demand!G11:BF11))</f>
        <v>34885</v>
      </c>
      <c r="G11" s="51" t="n">
        <f aca="false">IF($A11="","",IFERROR(F11/Assumptions!$B$6,0))</f>
        <v>670.865384615385</v>
      </c>
      <c r="H11" s="51" t="n">
        <f aca="false">IF($A11="","",STDEV(Weekly_Demand!G11:BF11))</f>
        <v>560.651862509297</v>
      </c>
      <c r="I11" s="52" t="n">
        <f aca="false">IF($A11="","",IFERROR(H11/G11,0))</f>
        <v>0.835714400185851</v>
      </c>
      <c r="J11" s="53" t="n">
        <f aca="false">IF($A11="","",F11*C11)</f>
        <v>35373.39</v>
      </c>
      <c r="K11" s="54" t="n">
        <f aca="false">IF($A11="","",IFERROR(J11/$J$505,0))</f>
        <v>0.00915294836271178</v>
      </c>
      <c r="L11" s="54" t="n">
        <f aca="false">IF($A11="","",IFERROR(SUMIFS($J$5:$J$504,$AB$5:$AB$504,"&lt;="&amp;AB11)/$J$505,0))</f>
        <v>0.0805324247457206</v>
      </c>
      <c r="M11" s="55" t="str">
        <f aca="false">IF($A11="","",IF(L11&lt;=Assumptions!$B$7,"A",IF(L11&lt;=Assumptions!$B$8,"B","C")))</f>
        <v>A</v>
      </c>
      <c r="N11" s="55" t="str">
        <f aca="false">IF($A11="","",IF(I11&lt;=Assumptions!$B$9,"X",IF(I11&lt;=Assumptions!$B$10,"Y","Z")))</f>
        <v>Y</v>
      </c>
      <c r="O11" s="56" t="str">
        <f aca="false">IF($A11="","",M11&amp;N11)</f>
        <v>AY</v>
      </c>
      <c r="P11" s="57" t="n">
        <f aca="false">IF($A11="","",INDEX(Assumptions!$B$35:$B$37,MATCH(M11,Assumptions!$A$35:$A$37,0)))</f>
        <v>0.98</v>
      </c>
      <c r="Q11" s="58" t="n">
        <f aca="false">IF($A11="","",NORMSINV(P11))</f>
        <v>2.05374891063182</v>
      </c>
      <c r="R11" s="48" t="n">
        <f aca="false">IF($A11="","",ROUNDUP(Q11*H11*SQRT(D11),0))</f>
        <v>3257</v>
      </c>
      <c r="S11" s="48" t="n">
        <f aca="false">IF($A11="","",ROUNDUP(G11*D11+R11,0))</f>
        <v>8624</v>
      </c>
      <c r="T11" s="46" t="n">
        <f aca="false">IF($A11="","",IFERROR(ROUND(SQRT(2*F11*Assumptions!$B$4/(Assumptions!$B$5*C11)),0),0))</f>
        <v>3710</v>
      </c>
      <c r="U11" s="53" t="n">
        <f aca="false">IF($A11="","",R11*C11)</f>
        <v>3302.598</v>
      </c>
      <c r="V11" s="53" t="n">
        <f aca="false">IF($A11="","",E11*C11)</f>
        <v>34012.602</v>
      </c>
      <c r="W11" s="59" t="n">
        <f aca="false">IF($A11="","",IFERROR(E11/G11,0))</f>
        <v>49.9995986813817</v>
      </c>
      <c r="X11" s="48" t="n">
        <f aca="false">IF($A11="","",S11+T11)</f>
        <v>12334</v>
      </c>
      <c r="Y11" s="48" t="n">
        <f aca="false">IF($A11="","",MAX(0,E11-X11))</f>
        <v>21209</v>
      </c>
      <c r="Z11" s="53" t="n">
        <f aca="false">IF($A11="","",Y11*C11)</f>
        <v>21505.926</v>
      </c>
      <c r="AA11" s="56" t="str">
        <f aca="false">IF($A11="","",IF(E11&lt;=R11,"Below Safety Stock",IF(E11&lt;=S11,"Reorder Now",IF(E11&gt;X11,"Excess","Healthy"))))</f>
        <v>Excess</v>
      </c>
      <c r="AB11" s="48" t="n">
        <f aca="false">IF($A11="","",RANK(AF11,$AF$5:$AF$504,0)+COUNTIF($AF$5:AF11,AF11)-1)</f>
        <v>5</v>
      </c>
      <c r="AC11" s="44" t="str">
        <f aca="false">IF($A11="","",Weekly_Demand!B11)</f>
        <v>ASSORTED COLOUR BIRD ORNAMENT</v>
      </c>
      <c r="AD11" s="59" t="n">
        <f aca="false">IF($A11="","",H11*SQRT(D11))</f>
        <v>1585.76293546077</v>
      </c>
      <c r="AE11" s="53" t="n">
        <f aca="false">IF($A11="","",AD11*C11)</f>
        <v>1607.96361655722</v>
      </c>
      <c r="AF11" s="53" t="n">
        <f aca="false">IF($A11="","",ROUND(J11,2))</f>
        <v>35373.39</v>
      </c>
    </row>
    <row r="12" customFormat="false" ht="15" hidden="false" customHeight="false" outlineLevel="0" collapsed="false">
      <c r="A12" s="44" t="str">
        <f aca="false">IF(Weekly_Demand!A12="","",Weekly_Demand!A12)</f>
        <v>22502</v>
      </c>
      <c r="B12" s="44" t="str">
        <f aca="false">IF($A12="","",Weekly_Demand!C12)</f>
        <v>Other</v>
      </c>
      <c r="C12" s="45" t="n">
        <f aca="false">IF($A12="","",Weekly_Demand!D12)</f>
        <v>3.57</v>
      </c>
      <c r="D12" s="46" t="n">
        <f aca="false">IF($A12="","",Weekly_Demand!E12+Assumptions!$B$19)</f>
        <v>6</v>
      </c>
      <c r="E12" s="46" t="n">
        <f aca="false">IF($A12="","",Weekly_Demand!F12)</f>
        <v>468</v>
      </c>
      <c r="F12" s="46" t="n">
        <f aca="false">IF($A12="","",SUM(Weekly_Demand!G12:BF12))</f>
        <v>1873</v>
      </c>
      <c r="G12" s="51" t="n">
        <f aca="false">IF($A12="","",IFERROR(F12/Assumptions!$B$6,0))</f>
        <v>36.0192307692308</v>
      </c>
      <c r="H12" s="51" t="n">
        <f aca="false">IF($A12="","",STDEV(Weekly_Demand!G12:BF12))</f>
        <v>49.6902130201201</v>
      </c>
      <c r="I12" s="52" t="n">
        <f aca="false">IF($A12="","",IFERROR(H12/G12,0))</f>
        <v>1.37954675763281</v>
      </c>
      <c r="J12" s="53" t="n">
        <f aca="false">IF($A12="","",F12*C12)</f>
        <v>6686.61</v>
      </c>
      <c r="K12" s="54" t="n">
        <f aca="false">IF($A12="","",IFERROR(J12/$J$505,0))</f>
        <v>0.00173017615929918</v>
      </c>
      <c r="L12" s="54" t="n">
        <f aca="false">IF($A12="","",IFERROR(SUMIFS($J$5:$J$504,$AB$5:$AB$504,"&lt;="&amp;AB12)/$J$505,0))</f>
        <v>0.655698206131791</v>
      </c>
      <c r="M12" s="55" t="str">
        <f aca="false">IF($A12="","",IF(L12&lt;=Assumptions!$B$7,"A",IF(L12&lt;=Assumptions!$B$8,"B","C")))</f>
        <v>A</v>
      </c>
      <c r="N12" s="55" t="str">
        <f aca="false">IF($A12="","",IF(I12&lt;=Assumptions!$B$9,"X",IF(I12&lt;=Assumptions!$B$10,"Y","Z")))</f>
        <v>Z</v>
      </c>
      <c r="O12" s="56" t="str">
        <f aca="false">IF($A12="","",M12&amp;N12)</f>
        <v>AZ</v>
      </c>
      <c r="P12" s="57" t="n">
        <f aca="false">IF($A12="","",INDEX(Assumptions!$B$35:$B$37,MATCH(M12,Assumptions!$A$35:$A$37,0)))</f>
        <v>0.98</v>
      </c>
      <c r="Q12" s="58" t="n">
        <f aca="false">IF($A12="","",NORMSINV(P12))</f>
        <v>2.05374891063182</v>
      </c>
      <c r="R12" s="48" t="n">
        <f aca="false">IF($A12="","",ROUNDUP(Q12*H12*SQRT(D12),0))</f>
        <v>250</v>
      </c>
      <c r="S12" s="48" t="n">
        <f aca="false">IF($A12="","",ROUNDUP(G12*D12+R12,0))</f>
        <v>467</v>
      </c>
      <c r="T12" s="46" t="n">
        <f aca="false">IF($A12="","",IFERROR(ROUND(SQRT(2*F12*Assumptions!$B$4/(Assumptions!$B$5*C12)),0),0))</f>
        <v>458</v>
      </c>
      <c r="U12" s="53" t="n">
        <f aca="false">IF($A12="","",R12*C12)</f>
        <v>892.5</v>
      </c>
      <c r="V12" s="53" t="n">
        <f aca="false">IF($A12="","",E12*C12)</f>
        <v>1670.76</v>
      </c>
      <c r="W12" s="59" t="n">
        <f aca="false">IF($A12="","",IFERROR(E12/G12,0))</f>
        <v>12.9930592632141</v>
      </c>
      <c r="X12" s="48" t="n">
        <f aca="false">IF($A12="","",S12+T12)</f>
        <v>925</v>
      </c>
      <c r="Y12" s="48" t="n">
        <f aca="false">IF($A12="","",MAX(0,E12-X12))</f>
        <v>0</v>
      </c>
      <c r="Z12" s="53" t="n">
        <f aca="false">IF($A12="","",Y12*C12)</f>
        <v>0</v>
      </c>
      <c r="AA12" s="56" t="str">
        <f aca="false">IF($A12="","",IF(E12&lt;=R12,"Below Safety Stock",IF(E12&lt;=S12,"Reorder Now",IF(E12&gt;X12,"Excess","Healthy"))))</f>
        <v>Healthy</v>
      </c>
      <c r="AB12" s="48" t="n">
        <f aca="false">IF($A12="","",RANK(AF12,$AF$5:$AF$504,0)+COUNTIF($AF$5:AF12,AF12)-1)</f>
        <v>189</v>
      </c>
      <c r="AC12" s="44" t="str">
        <f aca="false">IF($A12="","",Weekly_Demand!B12)</f>
        <v>PICNIC BASKET WICKER SMALL</v>
      </c>
      <c r="AD12" s="59" t="n">
        <f aca="false">IF($A12="","",H12*SQRT(D12))</f>
        <v>121.715667109495</v>
      </c>
      <c r="AE12" s="53" t="n">
        <f aca="false">IF($A12="","",AD12*C12)</f>
        <v>434.524931580899</v>
      </c>
      <c r="AF12" s="53" t="n">
        <f aca="false">IF($A12="","",ROUND(J12,2))</f>
        <v>6686.61</v>
      </c>
    </row>
    <row r="13" customFormat="false" ht="15" hidden="false" customHeight="false" outlineLevel="0" collapsed="false">
      <c r="A13" s="44" t="str">
        <f aca="false">IF(Weekly_Demand!A13="","",Weekly_Demand!A13)</f>
        <v>79321</v>
      </c>
      <c r="B13" s="44" t="str">
        <f aca="false">IF($A13="","",Weekly_Demand!C13)</f>
        <v>Lighting</v>
      </c>
      <c r="C13" s="45" t="n">
        <f aca="false">IF($A13="","",Weekly_Demand!D13)</f>
        <v>3.45</v>
      </c>
      <c r="D13" s="46" t="n">
        <f aca="false">IF($A13="","",Weekly_Demand!E13+Assumptions!$B$19)</f>
        <v>4</v>
      </c>
      <c r="E13" s="46" t="n">
        <f aca="false">IF($A13="","",Weekly_Demand!F13)</f>
        <v>2900</v>
      </c>
      <c r="F13" s="46" t="n">
        <f aca="false">IF($A13="","",SUM(Weekly_Demand!G13:BF13))</f>
        <v>9425</v>
      </c>
      <c r="G13" s="51" t="n">
        <f aca="false">IF($A13="","",IFERROR(F13/Assumptions!$B$6,0))</f>
        <v>181.25</v>
      </c>
      <c r="H13" s="51" t="n">
        <f aca="false">IF($A13="","",STDEV(Weekly_Demand!G13:BF13))</f>
        <v>212.791242171989</v>
      </c>
      <c r="I13" s="52" t="n">
        <f aca="false">IF($A13="","",IFERROR(H13/G13,0))</f>
        <v>1.17402064646615</v>
      </c>
      <c r="J13" s="53" t="n">
        <f aca="false">IF($A13="","",F13*C13)</f>
        <v>32516.25</v>
      </c>
      <c r="K13" s="54" t="n">
        <f aca="false">IF($A13="","",IFERROR(J13/$J$505,0))</f>
        <v>0.00841365662717163</v>
      </c>
      <c r="L13" s="54" t="n">
        <f aca="false">IF($A13="","",IFERROR(SUMIFS($J$5:$J$504,$AB$5:$AB$504,"&lt;="&amp;AB13)/$J$505,0))</f>
        <v>0.0978532651856813</v>
      </c>
      <c r="M13" s="55" t="str">
        <f aca="false">IF($A13="","",IF(L13&lt;=Assumptions!$B$7,"A",IF(L13&lt;=Assumptions!$B$8,"B","C")))</f>
        <v>A</v>
      </c>
      <c r="N13" s="55" t="str">
        <f aca="false">IF($A13="","",IF(I13&lt;=Assumptions!$B$9,"X",IF(I13&lt;=Assumptions!$B$10,"Y","Z")))</f>
        <v>Z</v>
      </c>
      <c r="O13" s="56" t="str">
        <f aca="false">IF($A13="","",M13&amp;N13)</f>
        <v>AZ</v>
      </c>
      <c r="P13" s="57" t="n">
        <f aca="false">IF($A13="","",INDEX(Assumptions!$B$35:$B$37,MATCH(M13,Assumptions!$A$35:$A$37,0)))</f>
        <v>0.98</v>
      </c>
      <c r="Q13" s="58" t="n">
        <f aca="false">IF($A13="","",NORMSINV(P13))</f>
        <v>2.05374891063182</v>
      </c>
      <c r="R13" s="48" t="n">
        <f aca="false">IF($A13="","",ROUNDUP(Q13*H13*SQRT(D13),0))</f>
        <v>875</v>
      </c>
      <c r="S13" s="48" t="n">
        <f aca="false">IF($A13="","",ROUNDUP(G13*D13+R13,0))</f>
        <v>1600</v>
      </c>
      <c r="T13" s="46" t="n">
        <f aca="false">IF($A13="","",IFERROR(ROUND(SQRT(2*F13*Assumptions!$B$4/(Assumptions!$B$5*C13)),0),0))</f>
        <v>1045</v>
      </c>
      <c r="U13" s="53" t="n">
        <f aca="false">IF($A13="","",R13*C13)</f>
        <v>3018.75</v>
      </c>
      <c r="V13" s="53" t="n">
        <f aca="false">IF($A13="","",E13*C13)</f>
        <v>10005</v>
      </c>
      <c r="W13" s="59" t="n">
        <f aca="false">IF($A13="","",IFERROR(E13/G13,0))</f>
        <v>16</v>
      </c>
      <c r="X13" s="48" t="n">
        <f aca="false">IF($A13="","",S13+T13)</f>
        <v>2645</v>
      </c>
      <c r="Y13" s="48" t="n">
        <f aca="false">IF($A13="","",MAX(0,E13-X13))</f>
        <v>255</v>
      </c>
      <c r="Z13" s="53" t="n">
        <f aca="false">IF($A13="","",Y13*C13)</f>
        <v>879.75</v>
      </c>
      <c r="AA13" s="56" t="str">
        <f aca="false">IF($A13="","",IF(E13&lt;=R13,"Below Safety Stock",IF(E13&lt;=S13,"Reorder Now",IF(E13&gt;X13,"Excess","Healthy"))))</f>
        <v>Excess</v>
      </c>
      <c r="AB13" s="48" t="n">
        <f aca="false">IF($A13="","",RANK(AF13,$AF$5:$AF$504,0)+COUNTIF($AF$5:AF13,AF13)-1)</f>
        <v>7</v>
      </c>
      <c r="AC13" s="44" t="str">
        <f aca="false">IF($A13="","",Weekly_Demand!B13)</f>
        <v>CHILLI LIGHTS</v>
      </c>
      <c r="AD13" s="59" t="n">
        <f aca="false">IF($A13="","",H13*SQRT(D13))</f>
        <v>425.582484343978</v>
      </c>
      <c r="AE13" s="53" t="n">
        <f aca="false">IF($A13="","",AD13*C13)</f>
        <v>1468.25957098672</v>
      </c>
      <c r="AF13" s="53" t="n">
        <f aca="false">IF($A13="","",ROUND(J13,2))</f>
        <v>32516.25</v>
      </c>
    </row>
    <row r="14" customFormat="false" ht="15" hidden="false" customHeight="false" outlineLevel="0" collapsed="false">
      <c r="A14" s="44" t="str">
        <f aca="false">IF(Weekly_Demand!A14="","",Weekly_Demand!A14)</f>
        <v>22197</v>
      </c>
      <c r="B14" s="44" t="str">
        <f aca="false">IF($A14="","",Weekly_Demand!C14)</f>
        <v>Other</v>
      </c>
      <c r="C14" s="45" t="n">
        <f aca="false">IF($A14="","",Weekly_Demand!D14)</f>
        <v>0.51</v>
      </c>
      <c r="D14" s="46" t="n">
        <f aca="false">IF($A14="","",Weekly_Demand!E14+Assumptions!$B$19)</f>
        <v>4</v>
      </c>
      <c r="E14" s="46" t="n">
        <f aca="false">IF($A14="","",Weekly_Demand!F14)</f>
        <v>5997</v>
      </c>
      <c r="F14" s="46" t="n">
        <f aca="false">IF($A14="","",SUM(Weekly_Demand!G14:BF14))</f>
        <v>51972</v>
      </c>
      <c r="G14" s="51" t="n">
        <f aca="false">IF($A14="","",IFERROR(F14/Assumptions!$B$6,0))</f>
        <v>999.461538461539</v>
      </c>
      <c r="H14" s="51" t="n">
        <f aca="false">IF($A14="","",STDEV(Weekly_Demand!G14:BF14))</f>
        <v>1008.7224586038</v>
      </c>
      <c r="I14" s="52" t="n">
        <f aca="false">IF($A14="","",IFERROR(H14/G14,0))</f>
        <v>1.00926590947814</v>
      </c>
      <c r="J14" s="53" t="n">
        <f aca="false">IF($A14="","",F14*C14)</f>
        <v>26505.72</v>
      </c>
      <c r="K14" s="54" t="n">
        <f aca="false">IF($A14="","",IFERROR(J14/$J$505,0))</f>
        <v>0.00685841776760714</v>
      </c>
      <c r="L14" s="54" t="n">
        <f aca="false">IF($A14="","",IFERROR(SUMIFS($J$5:$J$504,$AB$5:$AB$504,"&lt;="&amp;AB14)/$J$505,0))</f>
        <v>0.126401167932832</v>
      </c>
      <c r="M14" s="55" t="str">
        <f aca="false">IF($A14="","",IF(L14&lt;=Assumptions!$B$7,"A",IF(L14&lt;=Assumptions!$B$8,"B","C")))</f>
        <v>A</v>
      </c>
      <c r="N14" s="55" t="str">
        <f aca="false">IF($A14="","",IF(I14&lt;=Assumptions!$B$9,"X",IF(I14&lt;=Assumptions!$B$10,"Y","Z")))</f>
        <v>Z</v>
      </c>
      <c r="O14" s="56" t="str">
        <f aca="false">IF($A14="","",M14&amp;N14)</f>
        <v>AZ</v>
      </c>
      <c r="P14" s="57" t="n">
        <f aca="false">IF($A14="","",INDEX(Assumptions!$B$35:$B$37,MATCH(M14,Assumptions!$A$35:$A$37,0)))</f>
        <v>0.98</v>
      </c>
      <c r="Q14" s="58" t="n">
        <f aca="false">IF($A14="","",NORMSINV(P14))</f>
        <v>2.05374891063182</v>
      </c>
      <c r="R14" s="48" t="n">
        <f aca="false">IF($A14="","",ROUNDUP(Q14*H14*SQRT(D14),0))</f>
        <v>4144</v>
      </c>
      <c r="S14" s="48" t="n">
        <f aca="false">IF($A14="","",ROUNDUP(G14*D14+R14,0))</f>
        <v>8142</v>
      </c>
      <c r="T14" s="46" t="n">
        <f aca="false">IF($A14="","",IFERROR(ROUND(SQRT(2*F14*Assumptions!$B$4/(Assumptions!$B$5*C14)),0),0))</f>
        <v>6385</v>
      </c>
      <c r="U14" s="53" t="n">
        <f aca="false">IF($A14="","",R14*C14)</f>
        <v>2113.44</v>
      </c>
      <c r="V14" s="53" t="n">
        <f aca="false">IF($A14="","",E14*C14)</f>
        <v>3058.47</v>
      </c>
      <c r="W14" s="59" t="n">
        <f aca="false">IF($A14="","",IFERROR(E14/G14,0))</f>
        <v>6.00023089355807</v>
      </c>
      <c r="X14" s="48" t="n">
        <f aca="false">IF($A14="","",S14+T14)</f>
        <v>14527</v>
      </c>
      <c r="Y14" s="48" t="n">
        <f aca="false">IF($A14="","",MAX(0,E14-X14))</f>
        <v>0</v>
      </c>
      <c r="Z14" s="53" t="n">
        <f aca="false">IF($A14="","",Y14*C14)</f>
        <v>0</v>
      </c>
      <c r="AA14" s="56" t="str">
        <f aca="false">IF($A14="","",IF(E14&lt;=R14,"Below Safety Stock",IF(E14&lt;=S14,"Reorder Now",IF(E14&gt;X14,"Excess","Healthy"))))</f>
        <v>Reorder Now</v>
      </c>
      <c r="AB14" s="48" t="n">
        <f aca="false">IF($A14="","",RANK(AF14,$AF$5:$AF$504,0)+COUNTIF($AF$5:AF14,AF14)-1)</f>
        <v>11</v>
      </c>
      <c r="AC14" s="44" t="str">
        <f aca="false">IF($A14="","",Weekly_Demand!B14)</f>
        <v>POPCORN HOLDER</v>
      </c>
      <c r="AD14" s="59" t="n">
        <f aca="false">IF($A14="","",H14*SQRT(D14))</f>
        <v>2017.44491720761</v>
      </c>
      <c r="AE14" s="53" t="n">
        <f aca="false">IF($A14="","",AD14*C14)</f>
        <v>1028.89690777588</v>
      </c>
      <c r="AF14" s="53" t="n">
        <f aca="false">IF($A14="","",ROUND(J14,2))</f>
        <v>26505.72</v>
      </c>
    </row>
    <row r="15" customFormat="false" ht="15" hidden="false" customHeight="false" outlineLevel="0" collapsed="false">
      <c r="A15" s="44" t="str">
        <f aca="false">IF(Weekly_Demand!A15="","",Weekly_Demand!A15)</f>
        <v>23298</v>
      </c>
      <c r="B15" s="44" t="str">
        <f aca="false">IF($A15="","",Weekly_Demand!C15)</f>
        <v>Other</v>
      </c>
      <c r="C15" s="45" t="n">
        <f aca="false">IF($A15="","",Weekly_Demand!D15)</f>
        <v>2.97</v>
      </c>
      <c r="D15" s="46" t="n">
        <f aca="false">IF($A15="","",Weekly_Demand!E15+Assumptions!$B$19)</f>
        <v>6</v>
      </c>
      <c r="E15" s="46" t="n">
        <f aca="false">IF($A15="","",Weekly_Demand!F15)</f>
        <v>4189</v>
      </c>
      <c r="F15" s="46" t="n">
        <f aca="false">IF($A15="","",SUM(Weekly_Demand!G15:BF15))</f>
        <v>8377</v>
      </c>
      <c r="G15" s="51" t="n">
        <f aca="false">IF($A15="","",IFERROR(F15/Assumptions!$B$6,0))</f>
        <v>161.096153846154</v>
      </c>
      <c r="H15" s="51" t="n">
        <f aca="false">IF($A15="","",STDEV(Weekly_Demand!G15:BF15))</f>
        <v>178.22691634657</v>
      </c>
      <c r="I15" s="52" t="n">
        <f aca="false">IF($A15="","",IFERROR(H15/G15,0))</f>
        <v>1.10633874298933</v>
      </c>
      <c r="J15" s="53" t="n">
        <f aca="false">IF($A15="","",F15*C15)</f>
        <v>24879.69</v>
      </c>
      <c r="K15" s="54" t="n">
        <f aca="false">IF($A15="","",IFERROR(J15/$J$505,0))</f>
        <v>0.00643767865760891</v>
      </c>
      <c r="L15" s="54" t="n">
        <f aca="false">IF($A15="","",IFERROR(SUMIFS($J$5:$J$504,$AB$5:$AB$504,"&lt;="&amp;AB15)/$J$505,0))</f>
        <v>0.145912477046291</v>
      </c>
      <c r="M15" s="55" t="str">
        <f aca="false">IF($A15="","",IF(L15&lt;=Assumptions!$B$7,"A",IF(L15&lt;=Assumptions!$B$8,"B","C")))</f>
        <v>A</v>
      </c>
      <c r="N15" s="55" t="str">
        <f aca="false">IF($A15="","",IF(I15&lt;=Assumptions!$B$9,"X",IF(I15&lt;=Assumptions!$B$10,"Y","Z")))</f>
        <v>Z</v>
      </c>
      <c r="O15" s="56" t="str">
        <f aca="false">IF($A15="","",M15&amp;N15)</f>
        <v>AZ</v>
      </c>
      <c r="P15" s="57" t="n">
        <f aca="false">IF($A15="","",INDEX(Assumptions!$B$35:$B$37,MATCH(M15,Assumptions!$A$35:$A$37,0)))</f>
        <v>0.98</v>
      </c>
      <c r="Q15" s="58" t="n">
        <f aca="false">IF($A15="","",NORMSINV(P15))</f>
        <v>2.05374891063182</v>
      </c>
      <c r="R15" s="48" t="n">
        <f aca="false">IF($A15="","",ROUNDUP(Q15*H15*SQRT(D15),0))</f>
        <v>897</v>
      </c>
      <c r="S15" s="48" t="n">
        <f aca="false">IF($A15="","",ROUNDUP(G15*D15+R15,0))</f>
        <v>1864</v>
      </c>
      <c r="T15" s="46" t="n">
        <f aca="false">IF($A15="","",IFERROR(ROUND(SQRT(2*F15*Assumptions!$B$4/(Assumptions!$B$5*C15)),0),0))</f>
        <v>1062</v>
      </c>
      <c r="U15" s="53" t="n">
        <f aca="false">IF($A15="","",R15*C15)</f>
        <v>2664.09</v>
      </c>
      <c r="V15" s="53" t="n">
        <f aca="false">IF($A15="","",E15*C15)</f>
        <v>12441.33</v>
      </c>
      <c r="W15" s="59" t="n">
        <f aca="false">IF($A15="","",IFERROR(E15/G15,0))</f>
        <v>26.0031037364212</v>
      </c>
      <c r="X15" s="48" t="n">
        <f aca="false">IF($A15="","",S15+T15)</f>
        <v>2926</v>
      </c>
      <c r="Y15" s="48" t="n">
        <f aca="false">IF($A15="","",MAX(0,E15-X15))</f>
        <v>1263</v>
      </c>
      <c r="Z15" s="53" t="n">
        <f aca="false">IF($A15="","",Y15*C15)</f>
        <v>3751.11</v>
      </c>
      <c r="AA15" s="56" t="str">
        <f aca="false">IF($A15="","",IF(E15&lt;=R15,"Below Safety Stock",IF(E15&lt;=S15,"Reorder Now",IF(E15&gt;X15,"Excess","Healthy"))))</f>
        <v>Excess</v>
      </c>
      <c r="AB15" s="48" t="n">
        <f aca="false">IF($A15="","",RANK(AF15,$AF$5:$AF$504,0)+COUNTIF($AF$5:AF15,AF15)-1)</f>
        <v>14</v>
      </c>
      <c r="AC15" s="44" t="str">
        <f aca="false">IF($A15="","",Weekly_Demand!B15)</f>
        <v>SPOTTY BUNTING</v>
      </c>
      <c r="AD15" s="59" t="n">
        <f aca="false">IF($A15="","",H15*SQRT(D15))</f>
        <v>436.565003478799</v>
      </c>
      <c r="AE15" s="53" t="n">
        <f aca="false">IF($A15="","",AD15*C15)</f>
        <v>1296.59806033203</v>
      </c>
      <c r="AF15" s="53" t="n">
        <f aca="false">IF($A15="","",ROUND(J15,2))</f>
        <v>24879.69</v>
      </c>
    </row>
    <row r="16" customFormat="false" ht="15" hidden="false" customHeight="false" outlineLevel="0" collapsed="false">
      <c r="A16" s="44" t="str">
        <f aca="false">IF(Weekly_Demand!A16="","",Weekly_Demand!A16)</f>
        <v>22386</v>
      </c>
      <c r="B16" s="44" t="str">
        <f aca="false">IF($A16="","",Weekly_Demand!C16)</f>
        <v>Bags</v>
      </c>
      <c r="C16" s="45" t="n">
        <f aca="false">IF($A16="","",Weekly_Demand!D16)</f>
        <v>1.248</v>
      </c>
      <c r="D16" s="46" t="n">
        <f aca="false">IF($A16="","",Weekly_Demand!E16+Assumptions!$B$19)</f>
        <v>6</v>
      </c>
      <c r="E16" s="46" t="n">
        <f aca="false">IF($A16="","",Weekly_Demand!F16)</f>
        <v>4088</v>
      </c>
      <c r="F16" s="46" t="n">
        <f aca="false">IF($A16="","",SUM(Weekly_Demand!G16:BF16))</f>
        <v>21255</v>
      </c>
      <c r="G16" s="51" t="n">
        <f aca="false">IF($A16="","",IFERROR(F16/Assumptions!$B$6,0))</f>
        <v>408.75</v>
      </c>
      <c r="H16" s="51" t="n">
        <f aca="false">IF($A16="","",STDEV(Weekly_Demand!G16:BF16))</f>
        <v>280.005103244811</v>
      </c>
      <c r="I16" s="52" t="n">
        <f aca="false">IF($A16="","",IFERROR(H16/G16,0))</f>
        <v>0.685027775522473</v>
      </c>
      <c r="J16" s="53" t="n">
        <f aca="false">IF($A16="","",F16*C16)</f>
        <v>26526.24</v>
      </c>
      <c r="K16" s="54" t="n">
        <f aca="false">IF($A16="","",IFERROR(J16/$J$505,0))</f>
        <v>0.00686372736616139</v>
      </c>
      <c r="L16" s="54" t="n">
        <f aca="false">IF($A16="","",IFERROR(SUMIFS($J$5:$J$504,$AB$5:$AB$504,"&lt;="&amp;AB16)/$J$505,0))</f>
        <v>0.119542750165225</v>
      </c>
      <c r="M16" s="55" t="str">
        <f aca="false">IF($A16="","",IF(L16&lt;=Assumptions!$B$7,"A",IF(L16&lt;=Assumptions!$B$8,"B","C")))</f>
        <v>A</v>
      </c>
      <c r="N16" s="55" t="str">
        <f aca="false">IF($A16="","",IF(I16&lt;=Assumptions!$B$9,"X",IF(I16&lt;=Assumptions!$B$10,"Y","Z")))</f>
        <v>Y</v>
      </c>
      <c r="O16" s="56" t="str">
        <f aca="false">IF($A16="","",M16&amp;N16)</f>
        <v>AY</v>
      </c>
      <c r="P16" s="57" t="n">
        <f aca="false">IF($A16="","",INDEX(Assumptions!$B$35:$B$37,MATCH(M16,Assumptions!$A$35:$A$37,0)))</f>
        <v>0.98</v>
      </c>
      <c r="Q16" s="58" t="n">
        <f aca="false">IF($A16="","",NORMSINV(P16))</f>
        <v>2.05374891063182</v>
      </c>
      <c r="R16" s="48" t="n">
        <f aca="false">IF($A16="","",ROUNDUP(Q16*H16*SQRT(D16),0))</f>
        <v>1409</v>
      </c>
      <c r="S16" s="48" t="n">
        <f aca="false">IF($A16="","",ROUNDUP(G16*D16+R16,0))</f>
        <v>3862</v>
      </c>
      <c r="T16" s="46" t="n">
        <f aca="false">IF($A16="","",IFERROR(ROUND(SQRT(2*F16*Assumptions!$B$4/(Assumptions!$B$5*C16)),0),0))</f>
        <v>2610</v>
      </c>
      <c r="U16" s="53" t="n">
        <f aca="false">IF($A16="","",R16*C16)</f>
        <v>1758.432</v>
      </c>
      <c r="V16" s="53" t="n">
        <f aca="false">IF($A16="","",E16*C16)</f>
        <v>5101.824</v>
      </c>
      <c r="W16" s="59" t="n">
        <f aca="false">IF($A16="","",IFERROR(E16/G16,0))</f>
        <v>10.0012232415902</v>
      </c>
      <c r="X16" s="48" t="n">
        <f aca="false">IF($A16="","",S16+T16)</f>
        <v>6472</v>
      </c>
      <c r="Y16" s="48" t="n">
        <f aca="false">IF($A16="","",MAX(0,E16-X16))</f>
        <v>0</v>
      </c>
      <c r="Z16" s="53" t="n">
        <f aca="false">IF($A16="","",Y16*C16)</f>
        <v>0</v>
      </c>
      <c r="AA16" s="56" t="str">
        <f aca="false">IF($A16="","",IF(E16&lt;=R16,"Below Safety Stock",IF(E16&lt;=S16,"Reorder Now",IF(E16&gt;X16,"Excess","Healthy"))))</f>
        <v>Healthy</v>
      </c>
      <c r="AB16" s="48" t="n">
        <f aca="false">IF($A16="","",RANK(AF16,$AF$5:$AF$504,0)+COUNTIF($AF$5:AF16,AF16)-1)</f>
        <v>10</v>
      </c>
      <c r="AC16" s="44" t="str">
        <f aca="false">IF($A16="","",Weekly_Demand!B16)</f>
        <v>JUMBO BAG PINK POLKADOT</v>
      </c>
      <c r="AD16" s="59" t="n">
        <f aca="false">IF($A16="","",H16*SQRT(D16))</f>
        <v>685.869628325109</v>
      </c>
      <c r="AE16" s="53" t="n">
        <f aca="false">IF($A16="","",AD16*C16)</f>
        <v>855.965296149736</v>
      </c>
      <c r="AF16" s="53" t="n">
        <f aca="false">IF($A16="","",ROUND(J16,2))</f>
        <v>26526.24</v>
      </c>
    </row>
    <row r="17" customFormat="false" ht="15" hidden="false" customHeight="false" outlineLevel="0" collapsed="false">
      <c r="A17" s="44" t="str">
        <f aca="false">IF(Weekly_Demand!A17="","",Weekly_Demand!A17)</f>
        <v>23203</v>
      </c>
      <c r="B17" s="44" t="str">
        <f aca="false">IF($A17="","",Weekly_Demand!C17)</f>
        <v>Bags</v>
      </c>
      <c r="C17" s="45" t="n">
        <f aca="false">IF($A17="","",Weekly_Demand!D17)</f>
        <v>1.248</v>
      </c>
      <c r="D17" s="46" t="n">
        <f aca="false">IF($A17="","",Weekly_Demand!E17+Assumptions!$B$19)</f>
        <v>8</v>
      </c>
      <c r="E17" s="46" t="n">
        <f aca="false">IF($A17="","",Weekly_Demand!F17)</f>
        <v>2304</v>
      </c>
      <c r="F17" s="46" t="n">
        <f aca="false">IF($A17="","",SUM(Weekly_Demand!G17:BF17))</f>
        <v>19972</v>
      </c>
      <c r="G17" s="51" t="n">
        <f aca="false">IF($A17="","",IFERROR(F17/Assumptions!$B$6,0))</f>
        <v>384.076923076923</v>
      </c>
      <c r="H17" s="51" t="n">
        <f aca="false">IF($A17="","",STDEV(Weekly_Demand!G17:BF17))</f>
        <v>423.337664613655</v>
      </c>
      <c r="I17" s="52" t="n">
        <f aca="false">IF($A17="","",IFERROR(H17/G17,0))</f>
        <v>1.10222103744793</v>
      </c>
      <c r="J17" s="53" t="n">
        <f aca="false">IF($A17="","",F17*C17)</f>
        <v>24925.056</v>
      </c>
      <c r="K17" s="54" t="n">
        <f aca="false">IF($A17="","",IFERROR(J17/$J$505,0))</f>
        <v>0.00644941721745355</v>
      </c>
      <c r="L17" s="54" t="n">
        <f aca="false">IF($A17="","",IFERROR(SUMIFS($J$5:$J$504,$AB$5:$AB$504,"&lt;="&amp;AB17)/$J$505,0))</f>
        <v>0.139474798388682</v>
      </c>
      <c r="M17" s="55" t="str">
        <f aca="false">IF($A17="","",IF(L17&lt;=Assumptions!$B$7,"A",IF(L17&lt;=Assumptions!$B$8,"B","C")))</f>
        <v>A</v>
      </c>
      <c r="N17" s="55" t="str">
        <f aca="false">IF($A17="","",IF(I17&lt;=Assumptions!$B$9,"X",IF(I17&lt;=Assumptions!$B$10,"Y","Z")))</f>
        <v>Z</v>
      </c>
      <c r="O17" s="56" t="str">
        <f aca="false">IF($A17="","",M17&amp;N17)</f>
        <v>AZ</v>
      </c>
      <c r="P17" s="57" t="n">
        <f aca="false">IF($A17="","",INDEX(Assumptions!$B$35:$B$37,MATCH(M17,Assumptions!$A$35:$A$37,0)))</f>
        <v>0.98</v>
      </c>
      <c r="Q17" s="58" t="n">
        <f aca="false">IF($A17="","",NORMSINV(P17))</f>
        <v>2.05374891063182</v>
      </c>
      <c r="R17" s="48" t="n">
        <f aca="false">IF($A17="","",ROUNDUP(Q17*H17*SQRT(D17),0))</f>
        <v>2460</v>
      </c>
      <c r="S17" s="48" t="n">
        <f aca="false">IF($A17="","",ROUNDUP(G17*D17+R17,0))</f>
        <v>5533</v>
      </c>
      <c r="T17" s="46" t="n">
        <f aca="false">IF($A17="","",IFERROR(ROUND(SQRT(2*F17*Assumptions!$B$4/(Assumptions!$B$5*C17)),0),0))</f>
        <v>2530</v>
      </c>
      <c r="U17" s="53" t="n">
        <f aca="false">IF($A17="","",R17*C17)</f>
        <v>3070.08</v>
      </c>
      <c r="V17" s="53" t="n">
        <f aca="false">IF($A17="","",E17*C17)</f>
        <v>2875.392</v>
      </c>
      <c r="W17" s="59" t="n">
        <f aca="false">IF($A17="","",IFERROR(E17/G17,0))</f>
        <v>5.9987983176447</v>
      </c>
      <c r="X17" s="48" t="n">
        <f aca="false">IF($A17="","",S17+T17)</f>
        <v>8063</v>
      </c>
      <c r="Y17" s="48" t="n">
        <f aca="false">IF($A17="","",MAX(0,E17-X17))</f>
        <v>0</v>
      </c>
      <c r="Z17" s="53" t="n">
        <f aca="false">IF($A17="","",Y17*C17)</f>
        <v>0</v>
      </c>
      <c r="AA17" s="56" t="str">
        <f aca="false">IF($A17="","",IF(E17&lt;=R17,"Below Safety Stock",IF(E17&lt;=S17,"Reorder Now",IF(E17&gt;X17,"Excess","Healthy"))))</f>
        <v>Below Safety Stock</v>
      </c>
      <c r="AB17" s="48" t="n">
        <f aca="false">IF($A17="","",RANK(AF17,$AF$5:$AF$504,0)+COUNTIF($AF$5:AF17,AF17)-1)</f>
        <v>13</v>
      </c>
      <c r="AC17" s="44" t="str">
        <f aca="false">IF($A17="","",Weekly_Demand!B17)</f>
        <v>JUMBO BAG VINTAGE DOILY</v>
      </c>
      <c r="AD17" s="59" t="n">
        <f aca="false">IF($A17="","",H17*SQRT(D17))</f>
        <v>1197.37973351997</v>
      </c>
      <c r="AE17" s="53" t="n">
        <f aca="false">IF($A17="","",AD17*C17)</f>
        <v>1494.32990743292</v>
      </c>
      <c r="AF17" s="53" t="n">
        <f aca="false">IF($A17="","",ROUND(J17,2))</f>
        <v>24925.06</v>
      </c>
    </row>
    <row r="18" customFormat="false" ht="15" hidden="false" customHeight="false" outlineLevel="0" collapsed="false">
      <c r="A18" s="44" t="str">
        <f aca="false">IF(Weekly_Demand!A18="","",Weekly_Demand!A18)</f>
        <v>22720</v>
      </c>
      <c r="B18" s="44" t="str">
        <f aca="false">IF($A18="","",Weekly_Demand!C18)</f>
        <v>Kitchen</v>
      </c>
      <c r="C18" s="45" t="n">
        <f aca="false">IF($A18="","",Weekly_Demand!D18)</f>
        <v>2.97</v>
      </c>
      <c r="D18" s="46" t="n">
        <f aca="false">IF($A18="","",Weekly_Demand!E18+Assumptions!$B$19)</f>
        <v>2</v>
      </c>
      <c r="E18" s="46" t="n">
        <f aca="false">IF($A18="","",Weekly_Demand!F18)</f>
        <v>5663</v>
      </c>
      <c r="F18" s="46" t="n">
        <f aca="false">IF($A18="","",SUM(Weekly_Demand!G18:BF18))</f>
        <v>7362</v>
      </c>
      <c r="G18" s="51" t="n">
        <f aca="false">IF($A18="","",IFERROR(F18/Assumptions!$B$6,0))</f>
        <v>141.576923076923</v>
      </c>
      <c r="H18" s="51" t="n">
        <f aca="false">IF($A18="","",STDEV(Weekly_Demand!G18:BF18))</f>
        <v>145.651120382846</v>
      </c>
      <c r="I18" s="52" t="n">
        <f aca="false">IF($A18="","",IFERROR(H18/G18,0))</f>
        <v>1.02877726975115</v>
      </c>
      <c r="J18" s="53" t="n">
        <f aca="false">IF($A18="","",F18*C18)</f>
        <v>21865.14</v>
      </c>
      <c r="K18" s="54" t="n">
        <f aca="false">IF($A18="","",IFERROR(J18/$J$505,0))</f>
        <v>0.00565765671210658</v>
      </c>
      <c r="L18" s="54" t="n">
        <f aca="false">IF($A18="","",IFERROR(SUMIFS($J$5:$J$504,$AB$5:$AB$504,"&lt;="&amp;AB18)/$J$505,0))</f>
        <v>0.151570133758398</v>
      </c>
      <c r="M18" s="55" t="str">
        <f aca="false">IF($A18="","",IF(L18&lt;=Assumptions!$B$7,"A",IF(L18&lt;=Assumptions!$B$8,"B","C")))</f>
        <v>A</v>
      </c>
      <c r="N18" s="55" t="str">
        <f aca="false">IF($A18="","",IF(I18&lt;=Assumptions!$B$9,"X",IF(I18&lt;=Assumptions!$B$10,"Y","Z")))</f>
        <v>Z</v>
      </c>
      <c r="O18" s="56" t="str">
        <f aca="false">IF($A18="","",M18&amp;N18)</f>
        <v>AZ</v>
      </c>
      <c r="P18" s="57" t="n">
        <f aca="false">IF($A18="","",INDEX(Assumptions!$B$35:$B$37,MATCH(M18,Assumptions!$A$35:$A$37,0)))</f>
        <v>0.98</v>
      </c>
      <c r="Q18" s="58" t="n">
        <f aca="false">IF($A18="","",NORMSINV(P18))</f>
        <v>2.05374891063182</v>
      </c>
      <c r="R18" s="48" t="n">
        <f aca="false">IF($A18="","",ROUNDUP(Q18*H18*SQRT(D18),0))</f>
        <v>424</v>
      </c>
      <c r="S18" s="48" t="n">
        <f aca="false">IF($A18="","",ROUNDUP(G18*D18+R18,0))</f>
        <v>708</v>
      </c>
      <c r="T18" s="46" t="n">
        <f aca="false">IF($A18="","",IFERROR(ROUND(SQRT(2*F18*Assumptions!$B$4/(Assumptions!$B$5*C18)),0),0))</f>
        <v>996</v>
      </c>
      <c r="U18" s="53" t="n">
        <f aca="false">IF($A18="","",R18*C18)</f>
        <v>1259.28</v>
      </c>
      <c r="V18" s="53" t="n">
        <f aca="false">IF($A18="","",E18*C18)</f>
        <v>16819.11</v>
      </c>
      <c r="W18" s="59" t="n">
        <f aca="false">IF($A18="","",IFERROR(E18/G18,0))</f>
        <v>39.9994566693833</v>
      </c>
      <c r="X18" s="48" t="n">
        <f aca="false">IF($A18="","",S18+T18)</f>
        <v>1704</v>
      </c>
      <c r="Y18" s="48" t="n">
        <f aca="false">IF($A18="","",MAX(0,E18-X18))</f>
        <v>3959</v>
      </c>
      <c r="Z18" s="53" t="n">
        <f aca="false">IF($A18="","",Y18*C18)</f>
        <v>11758.23</v>
      </c>
      <c r="AA18" s="56" t="str">
        <f aca="false">IF($A18="","",IF(E18&lt;=R18,"Below Safety Stock",IF(E18&lt;=S18,"Reorder Now",IF(E18&gt;X18,"Excess","Healthy"))))</f>
        <v>Excess</v>
      </c>
      <c r="AB18" s="48" t="n">
        <f aca="false">IF($A18="","",RANK(AF18,$AF$5:$AF$504,0)+COUNTIF($AF$5:AF18,AF18)-1)</f>
        <v>15</v>
      </c>
      <c r="AC18" s="44" t="str">
        <f aca="false">IF($A18="","",Weekly_Demand!B18)</f>
        <v>SET OF 3 CAKE TINS PANTRY DESIGN</v>
      </c>
      <c r="AD18" s="59" t="n">
        <f aca="false">IF($A18="","",H18*SQRT(D18))</f>
        <v>205.981789820257</v>
      </c>
      <c r="AE18" s="53" t="n">
        <f aca="false">IF($A18="","",AD18*C18)</f>
        <v>611.765915766164</v>
      </c>
      <c r="AF18" s="53" t="n">
        <f aca="false">IF($A18="","",ROUND(J18,2))</f>
        <v>21865.14</v>
      </c>
    </row>
    <row r="19" customFormat="false" ht="15" hidden="false" customHeight="false" outlineLevel="0" collapsed="false">
      <c r="A19" s="44" t="str">
        <f aca="false">IF(Weekly_Demand!A19="","",Weekly_Demand!A19)</f>
        <v>23284</v>
      </c>
      <c r="B19" s="44" t="str">
        <f aca="false">IF($A19="","",Weekly_Demand!C19)</f>
        <v>Other</v>
      </c>
      <c r="C19" s="45" t="n">
        <f aca="false">IF($A19="","",Weekly_Demand!D19)</f>
        <v>4.77</v>
      </c>
      <c r="D19" s="46" t="n">
        <f aca="false">IF($A19="","",Weekly_Demand!E19+Assumptions!$B$19)</f>
        <v>2</v>
      </c>
      <c r="E19" s="46" t="n">
        <f aca="false">IF($A19="","",Weekly_Demand!F19)</f>
        <v>1445</v>
      </c>
      <c r="F19" s="46" t="n">
        <f aca="false">IF($A19="","",SUM(Weekly_Demand!G19:BF19))</f>
        <v>5367</v>
      </c>
      <c r="G19" s="51" t="n">
        <f aca="false">IF($A19="","",IFERROR(F19/Assumptions!$B$6,0))</f>
        <v>103.211538461538</v>
      </c>
      <c r="H19" s="51" t="n">
        <f aca="false">IF($A19="","",STDEV(Weekly_Demand!G19:BF19))</f>
        <v>185.039724038101</v>
      </c>
      <c r="I19" s="52" t="n">
        <f aca="false">IF($A19="","",IFERROR(H19/G19,0))</f>
        <v>1.79282013228643</v>
      </c>
      <c r="J19" s="53" t="n">
        <f aca="false">IF($A19="","",F19*C19)</f>
        <v>25600.59</v>
      </c>
      <c r="K19" s="54" t="n">
        <f aca="false">IF($A19="","",IFERROR(J19/$J$505,0))</f>
        <v>0.0066242132383963</v>
      </c>
      <c r="L19" s="54" t="n">
        <f aca="false">IF($A19="","",IFERROR(SUMIFS($J$5:$J$504,$AB$5:$AB$504,"&lt;="&amp;AB19)/$J$505,0))</f>
        <v>0.133025381171229</v>
      </c>
      <c r="M19" s="55" t="str">
        <f aca="false">IF($A19="","",IF(L19&lt;=Assumptions!$B$7,"A",IF(L19&lt;=Assumptions!$B$8,"B","C")))</f>
        <v>A</v>
      </c>
      <c r="N19" s="55" t="str">
        <f aca="false">IF($A19="","",IF(I19&lt;=Assumptions!$B$9,"X",IF(I19&lt;=Assumptions!$B$10,"Y","Z")))</f>
        <v>Z</v>
      </c>
      <c r="O19" s="56" t="str">
        <f aca="false">IF($A19="","",M19&amp;N19)</f>
        <v>AZ</v>
      </c>
      <c r="P19" s="57" t="n">
        <f aca="false">IF($A19="","",INDEX(Assumptions!$B$35:$B$37,MATCH(M19,Assumptions!$A$35:$A$37,0)))</f>
        <v>0.98</v>
      </c>
      <c r="Q19" s="58" t="n">
        <f aca="false">IF($A19="","",NORMSINV(P19))</f>
        <v>2.05374891063182</v>
      </c>
      <c r="R19" s="48" t="n">
        <f aca="false">IF($A19="","",ROUNDUP(Q19*H19*SQRT(D19),0))</f>
        <v>538</v>
      </c>
      <c r="S19" s="48" t="n">
        <f aca="false">IF($A19="","",ROUNDUP(G19*D19+R19,0))</f>
        <v>745</v>
      </c>
      <c r="T19" s="46" t="n">
        <f aca="false">IF($A19="","",IFERROR(ROUND(SQRT(2*F19*Assumptions!$B$4/(Assumptions!$B$5*C19)),0),0))</f>
        <v>671</v>
      </c>
      <c r="U19" s="53" t="n">
        <f aca="false">IF($A19="","",R19*C19)</f>
        <v>2566.26</v>
      </c>
      <c r="V19" s="53" t="n">
        <f aca="false">IF($A19="","",E19*C19)</f>
        <v>6892.65</v>
      </c>
      <c r="W19" s="59" t="n">
        <f aca="false">IF($A19="","",IFERROR(E19/G19,0))</f>
        <v>14.0003726476616</v>
      </c>
      <c r="X19" s="48" t="n">
        <f aca="false">IF($A19="","",S19+T19)</f>
        <v>1416</v>
      </c>
      <c r="Y19" s="48" t="n">
        <f aca="false">IF($A19="","",MAX(0,E19-X19))</f>
        <v>29</v>
      </c>
      <c r="Z19" s="53" t="n">
        <f aca="false">IF($A19="","",Y19*C19)</f>
        <v>138.33</v>
      </c>
      <c r="AA19" s="56" t="str">
        <f aca="false">IF($A19="","",IF(E19&lt;=R19,"Below Safety Stock",IF(E19&lt;=S19,"Reorder Now",IF(E19&gt;X19,"Excess","Healthy"))))</f>
        <v>Excess</v>
      </c>
      <c r="AB19" s="48" t="n">
        <f aca="false">IF($A19="","",RANK(AF19,$AF$5:$AF$504,0)+COUNTIF($AF$5:AF19,AF19)-1)</f>
        <v>12</v>
      </c>
      <c r="AC19" s="44" t="str">
        <f aca="false">IF($A19="","",Weekly_Demand!B19)</f>
        <v>DOORMAT KEEP CALM AND COME IN</v>
      </c>
      <c r="AD19" s="59" t="n">
        <f aca="false">IF($A19="","",H19*SQRT(D19))</f>
        <v>261.685687312457</v>
      </c>
      <c r="AE19" s="53" t="n">
        <f aca="false">IF($A19="","",AD19*C19)</f>
        <v>1248.24072848042</v>
      </c>
      <c r="AF19" s="53" t="n">
        <f aca="false">IF($A19="","",ROUND(J19,2))</f>
        <v>25600.59</v>
      </c>
    </row>
    <row r="20" customFormat="false" ht="15" hidden="false" customHeight="false" outlineLevel="0" collapsed="false">
      <c r="A20" s="44" t="str">
        <f aca="false">IF(Weekly_Demand!A20="","",Weekly_Demand!A20)</f>
        <v>22960</v>
      </c>
      <c r="B20" s="44" t="str">
        <f aca="false">IF($A20="","",Weekly_Demand!C20)</f>
        <v>Other</v>
      </c>
      <c r="C20" s="45" t="n">
        <f aca="false">IF($A20="","",Weekly_Demand!D20)</f>
        <v>2.55</v>
      </c>
      <c r="D20" s="46" t="n">
        <f aca="false">IF($A20="","",Weekly_Demand!E20+Assumptions!$B$19)</f>
        <v>2</v>
      </c>
      <c r="E20" s="46" t="n">
        <f aca="false">IF($A20="","",Weekly_Demand!F20)</f>
        <v>7544</v>
      </c>
      <c r="F20" s="46" t="n">
        <f aca="false">IF($A20="","",SUM(Weekly_Demand!G20:BF20))</f>
        <v>8346</v>
      </c>
      <c r="G20" s="51" t="n">
        <f aca="false">IF($A20="","",IFERROR(F20/Assumptions!$B$6,0))</f>
        <v>160.5</v>
      </c>
      <c r="H20" s="51" t="n">
        <f aca="false">IF($A20="","",STDEV(Weekly_Demand!G20:BF20))</f>
        <v>95.2755549579693</v>
      </c>
      <c r="I20" s="52" t="n">
        <f aca="false">IF($A20="","",IFERROR(H20/G20,0))</f>
        <v>0.59361716484716</v>
      </c>
      <c r="J20" s="53" t="n">
        <f aca="false">IF($A20="","",F20*C20)</f>
        <v>21282.3</v>
      </c>
      <c r="K20" s="54" t="n">
        <f aca="false">IF($A20="","",IFERROR(J20/$J$505,0))</f>
        <v>0.00550684548299557</v>
      </c>
      <c r="L20" s="54" t="n">
        <f aca="false">IF($A20="","",IFERROR(SUMIFS($J$5:$J$504,$AB$5:$AB$504,"&lt;="&amp;AB20)/$J$505,0))</f>
        <v>0.168172560673741</v>
      </c>
      <c r="M20" s="55" t="str">
        <f aca="false">IF($A20="","",IF(L20&lt;=Assumptions!$B$7,"A",IF(L20&lt;=Assumptions!$B$8,"B","C")))</f>
        <v>A</v>
      </c>
      <c r="N20" s="55" t="str">
        <f aca="false">IF($A20="","",IF(I20&lt;=Assumptions!$B$9,"X",IF(I20&lt;=Assumptions!$B$10,"Y","Z")))</f>
        <v>Y</v>
      </c>
      <c r="O20" s="56" t="str">
        <f aca="false">IF($A20="","",M20&amp;N20)</f>
        <v>AY</v>
      </c>
      <c r="P20" s="57" t="n">
        <f aca="false">IF($A20="","",INDEX(Assumptions!$B$35:$B$37,MATCH(M20,Assumptions!$A$35:$A$37,0)))</f>
        <v>0.98</v>
      </c>
      <c r="Q20" s="58" t="n">
        <f aca="false">IF($A20="","",NORMSINV(P20))</f>
        <v>2.05374891063182</v>
      </c>
      <c r="R20" s="48" t="n">
        <f aca="false">IF($A20="","",ROUNDUP(Q20*H20*SQRT(D20),0))</f>
        <v>277</v>
      </c>
      <c r="S20" s="48" t="n">
        <f aca="false">IF($A20="","",ROUNDUP(G20*D20+R20,0))</f>
        <v>598</v>
      </c>
      <c r="T20" s="46" t="n">
        <f aca="false">IF($A20="","",IFERROR(ROUND(SQRT(2*F20*Assumptions!$B$4/(Assumptions!$B$5*C20)),0),0))</f>
        <v>1144</v>
      </c>
      <c r="U20" s="53" t="n">
        <f aca="false">IF($A20="","",R20*C20)</f>
        <v>706.35</v>
      </c>
      <c r="V20" s="53" t="n">
        <f aca="false">IF($A20="","",E20*C20)</f>
        <v>19237.2</v>
      </c>
      <c r="W20" s="59" t="n">
        <f aca="false">IF($A20="","",IFERROR(E20/G20,0))</f>
        <v>47.0031152647975</v>
      </c>
      <c r="X20" s="48" t="n">
        <f aca="false">IF($A20="","",S20+T20)</f>
        <v>1742</v>
      </c>
      <c r="Y20" s="48" t="n">
        <f aca="false">IF($A20="","",MAX(0,E20-X20))</f>
        <v>5802</v>
      </c>
      <c r="Z20" s="53" t="n">
        <f aca="false">IF($A20="","",Y20*C20)</f>
        <v>14795.1</v>
      </c>
      <c r="AA20" s="56" t="str">
        <f aca="false">IF($A20="","",IF(E20&lt;=R20,"Below Safety Stock",IF(E20&lt;=S20,"Reorder Now",IF(E20&gt;X20,"Excess","Healthy"))))</f>
        <v>Excess</v>
      </c>
      <c r="AB20" s="48" t="n">
        <f aca="false">IF($A20="","",RANK(AF20,$AF$5:$AF$504,0)+COUNTIF($AF$5:AF20,AF20)-1)</f>
        <v>18</v>
      </c>
      <c r="AC20" s="44" t="str">
        <f aca="false">IF($A20="","",Weekly_Demand!B20)</f>
        <v>JAM MAKING SET WITH JARS</v>
      </c>
      <c r="AD20" s="59" t="n">
        <f aca="false">IF($A20="","",H20*SQRT(D20))</f>
        <v>134.739981984183</v>
      </c>
      <c r="AE20" s="53" t="n">
        <f aca="false">IF($A20="","",AD20*C20)</f>
        <v>343.586954059667</v>
      </c>
      <c r="AF20" s="53" t="n">
        <f aca="false">IF($A20="","",ROUND(J20,2))</f>
        <v>21282.3</v>
      </c>
    </row>
    <row r="21" customFormat="false" ht="15" hidden="false" customHeight="false" outlineLevel="0" collapsed="false">
      <c r="A21" s="44" t="str">
        <f aca="false">IF(Weekly_Demand!A21="","",Weekly_Demand!A21)</f>
        <v>20725</v>
      </c>
      <c r="B21" s="44" t="str">
        <f aca="false">IF($A21="","",Weekly_Demand!C21)</f>
        <v>Bags</v>
      </c>
      <c r="C21" s="45" t="n">
        <f aca="false">IF($A21="","",Weekly_Demand!D21)</f>
        <v>0.99</v>
      </c>
      <c r="D21" s="46" t="n">
        <f aca="false">IF($A21="","",Weekly_Demand!E21+Assumptions!$B$19)</f>
        <v>4</v>
      </c>
      <c r="E21" s="46" t="n">
        <f aca="false">IF($A21="","",Weekly_Demand!F21)</f>
        <v>19071</v>
      </c>
      <c r="F21" s="46" t="n">
        <f aca="false">IF($A21="","",SUM(Weekly_Demand!G21:BF21))</f>
        <v>19071</v>
      </c>
      <c r="G21" s="51" t="n">
        <f aca="false">IF($A21="","",IFERROR(F21/Assumptions!$B$6,0))</f>
        <v>366.75</v>
      </c>
      <c r="H21" s="51" t="n">
        <f aca="false">IF($A21="","",STDEV(Weekly_Demand!G21:BF21))</f>
        <v>180.008591842875</v>
      </c>
      <c r="I21" s="52" t="n">
        <f aca="false">IF($A21="","",IFERROR(H21/G21,0))</f>
        <v>0.490820972986709</v>
      </c>
      <c r="J21" s="53" t="n">
        <f aca="false">IF($A21="","",F21*C21)</f>
        <v>18880.29</v>
      </c>
      <c r="K21" s="54" t="n">
        <f aca="false">IF($A21="","",IFERROR(J21/$J$505,0))</f>
        <v>0.00488531971188013</v>
      </c>
      <c r="L21" s="54" t="n">
        <f aca="false">IF($A21="","",IFERROR(SUMIFS($J$5:$J$504,$AB$5:$AB$504,"&lt;="&amp;AB21)/$J$505,0))</f>
        <v>0.177990272327959</v>
      </c>
      <c r="M21" s="55" t="str">
        <f aca="false">IF($A21="","",IF(L21&lt;=Assumptions!$B$7,"A",IF(L21&lt;=Assumptions!$B$8,"B","C")))</f>
        <v>A</v>
      </c>
      <c r="N21" s="55" t="str">
        <f aca="false">IF($A21="","",IF(I21&lt;=Assumptions!$B$9,"X",IF(I21&lt;=Assumptions!$B$10,"Y","Z")))</f>
        <v>X</v>
      </c>
      <c r="O21" s="56" t="str">
        <f aca="false">IF($A21="","",M21&amp;N21)</f>
        <v>AX</v>
      </c>
      <c r="P21" s="57" t="n">
        <f aca="false">IF($A21="","",INDEX(Assumptions!$B$35:$B$37,MATCH(M21,Assumptions!$A$35:$A$37,0)))</f>
        <v>0.98</v>
      </c>
      <c r="Q21" s="58" t="n">
        <f aca="false">IF($A21="","",NORMSINV(P21))</f>
        <v>2.05374891063182</v>
      </c>
      <c r="R21" s="48" t="n">
        <f aca="false">IF($A21="","",ROUNDUP(Q21*H21*SQRT(D21),0))</f>
        <v>740</v>
      </c>
      <c r="S21" s="48" t="n">
        <f aca="false">IF($A21="","",ROUNDUP(G21*D21+R21,0))</f>
        <v>2207</v>
      </c>
      <c r="T21" s="46" t="n">
        <f aca="false">IF($A21="","",IFERROR(ROUND(SQRT(2*F21*Assumptions!$B$4/(Assumptions!$B$5*C21)),0),0))</f>
        <v>2776</v>
      </c>
      <c r="U21" s="53" t="n">
        <f aca="false">IF($A21="","",R21*C21)</f>
        <v>732.6</v>
      </c>
      <c r="V21" s="53" t="n">
        <f aca="false">IF($A21="","",E21*C21)</f>
        <v>18880.29</v>
      </c>
      <c r="W21" s="59" t="n">
        <f aca="false">IF($A21="","",IFERROR(E21/G21,0))</f>
        <v>52</v>
      </c>
      <c r="X21" s="48" t="n">
        <f aca="false">IF($A21="","",S21+T21)</f>
        <v>4983</v>
      </c>
      <c r="Y21" s="48" t="n">
        <f aca="false">IF($A21="","",MAX(0,E21-X21))</f>
        <v>14088</v>
      </c>
      <c r="Z21" s="53" t="n">
        <f aca="false">IF($A21="","",Y21*C21)</f>
        <v>13947.12</v>
      </c>
      <c r="AA21" s="56" t="str">
        <f aca="false">IF($A21="","",IF(E21&lt;=R21,"Below Safety Stock",IF(E21&lt;=S21,"Reorder Now",IF(E21&gt;X21,"Excess","Healthy"))))</f>
        <v>Excess</v>
      </c>
      <c r="AB21" s="48" t="n">
        <f aca="false">IF($A21="","",RANK(AF21,$AF$5:$AF$504,0)+COUNTIF($AF$5:AF21,AF21)-1)</f>
        <v>20</v>
      </c>
      <c r="AC21" s="44" t="str">
        <f aca="false">IF($A21="","",Weekly_Demand!B21)</f>
        <v>LUNCH BAG RED RETROSPOT</v>
      </c>
      <c r="AD21" s="59" t="n">
        <f aca="false">IF($A21="","",H21*SQRT(D21))</f>
        <v>360.017183685751</v>
      </c>
      <c r="AE21" s="53" t="n">
        <f aca="false">IF($A21="","",AD21*C21)</f>
        <v>356.417011848893</v>
      </c>
      <c r="AF21" s="53" t="n">
        <f aca="false">IF($A21="","",ROUND(J21,2))</f>
        <v>18880.29</v>
      </c>
    </row>
    <row r="22" customFormat="false" ht="15" hidden="false" customHeight="false" outlineLevel="0" collapsed="false">
      <c r="A22" s="44" t="str">
        <f aca="false">IF(Weekly_Demand!A22="","",Weekly_Demand!A22)</f>
        <v>82484</v>
      </c>
      <c r="B22" s="44" t="str">
        <f aca="false">IF($A22="","",Weekly_Demand!C22)</f>
        <v>Other</v>
      </c>
      <c r="C22" s="45" t="n">
        <f aca="false">IF($A22="","",Weekly_Demand!D22)</f>
        <v>4.77</v>
      </c>
      <c r="D22" s="46" t="n">
        <f aca="false">IF($A22="","",Weekly_Demand!E22+Assumptions!$B$19)</f>
        <v>2</v>
      </c>
      <c r="E22" s="46" t="n">
        <f aca="false">IF($A22="","",Weekly_Demand!F22)</f>
        <v>1518</v>
      </c>
      <c r="F22" s="46" t="n">
        <f aca="false">IF($A22="","",SUM(Weekly_Demand!G22:BF22))</f>
        <v>5637</v>
      </c>
      <c r="G22" s="51" t="n">
        <f aca="false">IF($A22="","",IFERROR(F22/Assumptions!$B$6,0))</f>
        <v>108.403846153846</v>
      </c>
      <c r="H22" s="51" t="n">
        <f aca="false">IF($A22="","",STDEV(Weekly_Demand!G22:BF22))</f>
        <v>171.585256875624</v>
      </c>
      <c r="I22" s="52" t="n">
        <f aca="false">IF($A22="","",IFERROR(H22/G22,0))</f>
        <v>1.58283366285834</v>
      </c>
      <c r="J22" s="53" t="n">
        <f aca="false">IF($A22="","",F22*C22)</f>
        <v>26888.49</v>
      </c>
      <c r="K22" s="54" t="n">
        <f aca="false">IF($A22="","",IFERROR(J22/$J$505,0))</f>
        <v>0.00695746041081423</v>
      </c>
      <c r="L22" s="54" t="n">
        <f aca="false">IF($A22="","",IFERROR(SUMIFS($J$5:$J$504,$AB$5:$AB$504,"&lt;="&amp;AB22)/$J$505,0))</f>
        <v>0.112679022799064</v>
      </c>
      <c r="M22" s="55" t="str">
        <f aca="false">IF($A22="","",IF(L22&lt;=Assumptions!$B$7,"A",IF(L22&lt;=Assumptions!$B$8,"B","C")))</f>
        <v>A</v>
      </c>
      <c r="N22" s="55" t="str">
        <f aca="false">IF($A22="","",IF(I22&lt;=Assumptions!$B$9,"X",IF(I22&lt;=Assumptions!$B$10,"Y","Z")))</f>
        <v>Z</v>
      </c>
      <c r="O22" s="56" t="str">
        <f aca="false">IF($A22="","",M22&amp;N22)</f>
        <v>AZ</v>
      </c>
      <c r="P22" s="57" t="n">
        <f aca="false">IF($A22="","",INDEX(Assumptions!$B$35:$B$37,MATCH(M22,Assumptions!$A$35:$A$37,0)))</f>
        <v>0.98</v>
      </c>
      <c r="Q22" s="58" t="n">
        <f aca="false">IF($A22="","",NORMSINV(P22))</f>
        <v>2.05374891063182</v>
      </c>
      <c r="R22" s="48" t="n">
        <f aca="false">IF($A22="","",ROUNDUP(Q22*H22*SQRT(D22),0))</f>
        <v>499</v>
      </c>
      <c r="S22" s="48" t="n">
        <f aca="false">IF($A22="","",ROUNDUP(G22*D22+R22,0))</f>
        <v>716</v>
      </c>
      <c r="T22" s="46" t="n">
        <f aca="false">IF($A22="","",IFERROR(ROUND(SQRT(2*F22*Assumptions!$B$4/(Assumptions!$B$5*C22)),0),0))</f>
        <v>688</v>
      </c>
      <c r="U22" s="53" t="n">
        <f aca="false">IF($A22="","",R22*C22)</f>
        <v>2380.23</v>
      </c>
      <c r="V22" s="53" t="n">
        <f aca="false">IF($A22="","",E22*C22)</f>
        <v>7240.86</v>
      </c>
      <c r="W22" s="59" t="n">
        <f aca="false">IF($A22="","",IFERROR(E22/G22,0))</f>
        <v>14.0031931878659</v>
      </c>
      <c r="X22" s="48" t="n">
        <f aca="false">IF($A22="","",S22+T22)</f>
        <v>1404</v>
      </c>
      <c r="Y22" s="48" t="n">
        <f aca="false">IF($A22="","",MAX(0,E22-X22))</f>
        <v>114</v>
      </c>
      <c r="Z22" s="53" t="n">
        <f aca="false">IF($A22="","",Y22*C22)</f>
        <v>543.78</v>
      </c>
      <c r="AA22" s="56" t="str">
        <f aca="false">IF($A22="","",IF(E22&lt;=R22,"Below Safety Stock",IF(E22&lt;=S22,"Reorder Now",IF(E22&gt;X22,"Excess","Healthy"))))</f>
        <v>Excess</v>
      </c>
      <c r="AB22" s="48" t="n">
        <f aca="false">IF($A22="","",RANK(AF22,$AF$5:$AF$504,0)+COUNTIF($AF$5:AF22,AF22)-1)</f>
        <v>9</v>
      </c>
      <c r="AC22" s="44" t="str">
        <f aca="false">IF($A22="","",Weekly_Demand!B22)</f>
        <v>WOOD BLACK BOARD ANT WHITE FINISH</v>
      </c>
      <c r="AD22" s="59" t="n">
        <f aca="false">IF($A22="","",H22*SQRT(D22))</f>
        <v>242.658197376779</v>
      </c>
      <c r="AE22" s="53" t="n">
        <f aca="false">IF($A22="","",AD22*C22)</f>
        <v>1157.47960148724</v>
      </c>
      <c r="AF22" s="53" t="n">
        <f aca="false">IF($A22="","",ROUND(J22,2))</f>
        <v>26888.49</v>
      </c>
    </row>
    <row r="23" customFormat="false" ht="15" hidden="false" customHeight="false" outlineLevel="0" collapsed="false">
      <c r="A23" s="44" t="str">
        <f aca="false">IF(Weekly_Demand!A23="","",Weekly_Demand!A23)</f>
        <v>21137</v>
      </c>
      <c r="B23" s="44" t="str">
        <f aca="false">IF($A23="","",Weekly_Demand!C23)</f>
        <v>Other</v>
      </c>
      <c r="C23" s="45" t="n">
        <f aca="false">IF($A23="","",Weekly_Demand!D23)</f>
        <v>2.25</v>
      </c>
      <c r="D23" s="46" t="n">
        <f aca="false">IF($A23="","",Weekly_Demand!E23+Assumptions!$B$19)</f>
        <v>4</v>
      </c>
      <c r="E23" s="46" t="n">
        <f aca="false">IF($A23="","",Weekly_Demand!F23)</f>
        <v>1464</v>
      </c>
      <c r="F23" s="46" t="n">
        <f aca="false">IF($A23="","",SUM(Weekly_Demand!G23:BF23))</f>
        <v>9513</v>
      </c>
      <c r="G23" s="51" t="n">
        <f aca="false">IF($A23="","",IFERROR(F23/Assumptions!$B$6,0))</f>
        <v>182.942307692308</v>
      </c>
      <c r="H23" s="51" t="n">
        <f aca="false">IF($A23="","",STDEV(Weekly_Demand!G23:BF23))</f>
        <v>217.371319920504</v>
      </c>
      <c r="I23" s="52" t="n">
        <f aca="false">IF($A23="","",IFERROR(H23/G23,0))</f>
        <v>1.18819600923643</v>
      </c>
      <c r="J23" s="53" t="n">
        <f aca="false">IF($A23="","",F23*C23)</f>
        <v>21404.25</v>
      </c>
      <c r="K23" s="54" t="n">
        <f aca="false">IF($A23="","",IFERROR(J23/$J$505,0))</f>
        <v>0.00553840033405262</v>
      </c>
      <c r="L23" s="54" t="n">
        <f aca="false">IF($A23="","",IFERROR(SUMIFS($J$5:$J$504,$AB$5:$AB$504,"&lt;="&amp;AB23)/$J$505,0))</f>
        <v>0.162665715190746</v>
      </c>
      <c r="M23" s="55" t="str">
        <f aca="false">IF($A23="","",IF(L23&lt;=Assumptions!$B$7,"A",IF(L23&lt;=Assumptions!$B$8,"B","C")))</f>
        <v>A</v>
      </c>
      <c r="N23" s="55" t="str">
        <f aca="false">IF($A23="","",IF(I23&lt;=Assumptions!$B$9,"X",IF(I23&lt;=Assumptions!$B$10,"Y","Z")))</f>
        <v>Z</v>
      </c>
      <c r="O23" s="56" t="str">
        <f aca="false">IF($A23="","",M23&amp;N23)</f>
        <v>AZ</v>
      </c>
      <c r="P23" s="57" t="n">
        <f aca="false">IF($A23="","",INDEX(Assumptions!$B$35:$B$37,MATCH(M23,Assumptions!$A$35:$A$37,0)))</f>
        <v>0.98</v>
      </c>
      <c r="Q23" s="58" t="n">
        <f aca="false">IF($A23="","",NORMSINV(P23))</f>
        <v>2.05374891063182</v>
      </c>
      <c r="R23" s="48" t="n">
        <f aca="false">IF($A23="","",ROUNDUP(Q23*H23*SQRT(D23),0))</f>
        <v>893</v>
      </c>
      <c r="S23" s="48" t="n">
        <f aca="false">IF($A23="","",ROUNDUP(G23*D23+R23,0))</f>
        <v>1625</v>
      </c>
      <c r="T23" s="46" t="n">
        <f aca="false">IF($A23="","",IFERROR(ROUND(SQRT(2*F23*Assumptions!$B$4/(Assumptions!$B$5*C23)),0),0))</f>
        <v>1300</v>
      </c>
      <c r="U23" s="53" t="n">
        <f aca="false">IF($A23="","",R23*C23)</f>
        <v>2009.25</v>
      </c>
      <c r="V23" s="53" t="n">
        <f aca="false">IF($A23="","",E23*C23)</f>
        <v>3294</v>
      </c>
      <c r="W23" s="59" t="n">
        <f aca="false">IF($A23="","",IFERROR(E23/G23,0))</f>
        <v>8.00252286345002</v>
      </c>
      <c r="X23" s="48" t="n">
        <f aca="false">IF($A23="","",S23+T23)</f>
        <v>2925</v>
      </c>
      <c r="Y23" s="48" t="n">
        <f aca="false">IF($A23="","",MAX(0,E23-X23))</f>
        <v>0</v>
      </c>
      <c r="Z23" s="53" t="n">
        <f aca="false">IF($A23="","",Y23*C23)</f>
        <v>0</v>
      </c>
      <c r="AA23" s="56" t="str">
        <f aca="false">IF($A23="","",IF(E23&lt;=R23,"Below Safety Stock",IF(E23&lt;=S23,"Reorder Now",IF(E23&gt;X23,"Excess","Healthy"))))</f>
        <v>Reorder Now</v>
      </c>
      <c r="AB23" s="48" t="n">
        <f aca="false">IF($A23="","",RANK(AF23,$AF$5:$AF$504,0)+COUNTIF($AF$5:AF23,AF23)-1)</f>
        <v>17</v>
      </c>
      <c r="AC23" s="44" t="str">
        <f aca="false">IF($A23="","",Weekly_Demand!B23)</f>
        <v>BLACK RECORD COVER FRAME</v>
      </c>
      <c r="AD23" s="59" t="n">
        <f aca="false">IF($A23="","",H23*SQRT(D23))</f>
        <v>434.742639841007</v>
      </c>
      <c r="AE23" s="53" t="n">
        <f aca="false">IF($A23="","",AD23*C23)</f>
        <v>978.170939642266</v>
      </c>
      <c r="AF23" s="53" t="n">
        <f aca="false">IF($A23="","",ROUND(J23,2))</f>
        <v>21404.25</v>
      </c>
    </row>
    <row r="24" customFormat="false" ht="15" hidden="false" customHeight="false" outlineLevel="0" collapsed="false">
      <c r="A24" s="44" t="str">
        <f aca="false">IF(Weekly_Demand!A24="","",Weekly_Demand!A24)</f>
        <v>85099F</v>
      </c>
      <c r="B24" s="44" t="str">
        <f aca="false">IF($A24="","",Weekly_Demand!C24)</f>
        <v>Bags</v>
      </c>
      <c r="C24" s="45" t="n">
        <f aca="false">IF($A24="","",Weekly_Demand!D24)</f>
        <v>1.248</v>
      </c>
      <c r="D24" s="46" t="n">
        <f aca="false">IF($A24="","",Weekly_Demand!E24+Assumptions!$B$19)</f>
        <v>8</v>
      </c>
      <c r="E24" s="46" t="n">
        <f aca="false">IF($A24="","",Weekly_Demand!F24)</f>
        <v>4302</v>
      </c>
      <c r="F24" s="46" t="n">
        <f aca="false">IF($A24="","",SUM(Weekly_Demand!G24:BF24))</f>
        <v>17209</v>
      </c>
      <c r="G24" s="51" t="n">
        <f aca="false">IF($A24="","",IFERROR(F24/Assumptions!$B$6,0))</f>
        <v>330.942307692308</v>
      </c>
      <c r="H24" s="51" t="n">
        <f aca="false">IF($A24="","",STDEV(Weekly_Demand!G24:BF24))</f>
        <v>254.898089090564</v>
      </c>
      <c r="I24" s="52" t="n">
        <f aca="false">IF($A24="","",IFERROR(H24/G24,0))</f>
        <v>0.770219108182307</v>
      </c>
      <c r="J24" s="53" t="n">
        <f aca="false">IF($A24="","",F24*C24)</f>
        <v>21476.832</v>
      </c>
      <c r="K24" s="54" t="n">
        <f aca="false">IF($A24="","",IFERROR(J24/$J$505,0))</f>
        <v>0.00555718109829552</v>
      </c>
      <c r="L24" s="54" t="n">
        <f aca="false">IF($A24="","",IFERROR(SUMIFS($J$5:$J$504,$AB$5:$AB$504,"&lt;="&amp;AB24)/$J$505,0))</f>
        <v>0.157127314856693</v>
      </c>
      <c r="M24" s="55" t="str">
        <f aca="false">IF($A24="","",IF(L24&lt;=Assumptions!$B$7,"A",IF(L24&lt;=Assumptions!$B$8,"B","C")))</f>
        <v>A</v>
      </c>
      <c r="N24" s="55" t="str">
        <f aca="false">IF($A24="","",IF(I24&lt;=Assumptions!$B$9,"X",IF(I24&lt;=Assumptions!$B$10,"Y","Z")))</f>
        <v>Y</v>
      </c>
      <c r="O24" s="56" t="str">
        <f aca="false">IF($A24="","",M24&amp;N24)</f>
        <v>AY</v>
      </c>
      <c r="P24" s="57" t="n">
        <f aca="false">IF($A24="","",INDEX(Assumptions!$B$35:$B$37,MATCH(M24,Assumptions!$A$35:$A$37,0)))</f>
        <v>0.98</v>
      </c>
      <c r="Q24" s="58" t="n">
        <f aca="false">IF($A24="","",NORMSINV(P24))</f>
        <v>2.05374891063182</v>
      </c>
      <c r="R24" s="48" t="n">
        <f aca="false">IF($A24="","",ROUNDUP(Q24*H24*SQRT(D24),0))</f>
        <v>1481</v>
      </c>
      <c r="S24" s="48" t="n">
        <f aca="false">IF($A24="","",ROUNDUP(G24*D24+R24,0))</f>
        <v>4129</v>
      </c>
      <c r="T24" s="46" t="n">
        <f aca="false">IF($A24="","",IFERROR(ROUND(SQRT(2*F24*Assumptions!$B$4/(Assumptions!$B$5*C24)),0),0))</f>
        <v>2349</v>
      </c>
      <c r="U24" s="53" t="n">
        <f aca="false">IF($A24="","",R24*C24)</f>
        <v>1848.288</v>
      </c>
      <c r="V24" s="53" t="n">
        <f aca="false">IF($A24="","",E24*C24)</f>
        <v>5368.896</v>
      </c>
      <c r="W24" s="59" t="n">
        <f aca="false">IF($A24="","",IFERROR(E24/G24,0))</f>
        <v>12.9992445813237</v>
      </c>
      <c r="X24" s="48" t="n">
        <f aca="false">IF($A24="","",S24+T24)</f>
        <v>6478</v>
      </c>
      <c r="Y24" s="48" t="n">
        <f aca="false">IF($A24="","",MAX(0,E24-X24))</f>
        <v>0</v>
      </c>
      <c r="Z24" s="53" t="n">
        <f aca="false">IF($A24="","",Y24*C24)</f>
        <v>0</v>
      </c>
      <c r="AA24" s="56" t="str">
        <f aca="false">IF($A24="","",IF(E24&lt;=R24,"Below Safety Stock",IF(E24&lt;=S24,"Reorder Now",IF(E24&gt;X24,"Excess","Healthy"))))</f>
        <v>Healthy</v>
      </c>
      <c r="AB24" s="48" t="n">
        <f aca="false">IF($A24="","",RANK(AF24,$AF$5:$AF$504,0)+COUNTIF($AF$5:AF24,AF24)-1)</f>
        <v>16</v>
      </c>
      <c r="AC24" s="44" t="str">
        <f aca="false">IF($A24="","",Weekly_Demand!B24)</f>
        <v>JUMBO BAG STRAWBERRY</v>
      </c>
      <c r="AD24" s="59" t="n">
        <f aca="false">IF($A24="","",H24*SQRT(D24))</f>
        <v>720.960669229722</v>
      </c>
      <c r="AE24" s="53" t="n">
        <f aca="false">IF($A24="","",AD24*C24)</f>
        <v>899.758915198693</v>
      </c>
      <c r="AF24" s="53" t="n">
        <f aca="false">IF($A24="","",ROUND(J24,2))</f>
        <v>21476.83</v>
      </c>
    </row>
    <row r="25" customFormat="false" ht="15" hidden="false" customHeight="false" outlineLevel="0" collapsed="false">
      <c r="A25" s="44" t="str">
        <f aca="false">IF(Weekly_Demand!A25="","",Weekly_Demand!A25)</f>
        <v>22178</v>
      </c>
      <c r="B25" s="44" t="str">
        <f aca="false">IF($A25="","",Weekly_Demand!C25)</f>
        <v>Lighting</v>
      </c>
      <c r="C25" s="45" t="n">
        <f aca="false">IF($A25="","",Weekly_Demand!D25)</f>
        <v>0.75</v>
      </c>
      <c r="D25" s="46" t="n">
        <f aca="false">IF($A25="","",Weekly_Demand!E25+Assumptions!$B$19)</f>
        <v>6</v>
      </c>
      <c r="E25" s="46" t="n">
        <f aca="false">IF($A25="","",Weekly_Demand!F25)</f>
        <v>6338</v>
      </c>
      <c r="F25" s="46" t="n">
        <f aca="false">IF($A25="","",SUM(Weekly_Demand!G25:BF25))</f>
        <v>23541</v>
      </c>
      <c r="G25" s="51" t="n">
        <f aca="false">IF($A25="","",IFERROR(F25/Assumptions!$B$6,0))</f>
        <v>452.711538461538</v>
      </c>
      <c r="H25" s="51" t="n">
        <f aca="false">IF($A25="","",STDEV(Weekly_Demand!G25:BF25))</f>
        <v>279.025849989374</v>
      </c>
      <c r="I25" s="52" t="n">
        <f aca="false">IF($A25="","",IFERROR(H25/G25,0))</f>
        <v>0.616343579263729</v>
      </c>
      <c r="J25" s="53" t="n">
        <f aca="false">IF($A25="","",F25*C25)</f>
        <v>17655.75</v>
      </c>
      <c r="K25" s="54" t="n">
        <f aca="false">IF($A25="","",IFERROR(J25/$J$505,0))</f>
        <v>0.00456846708938409</v>
      </c>
      <c r="L25" s="54" t="n">
        <f aca="false">IF($A25="","",IFERROR(SUMIFS($J$5:$J$504,$AB$5:$AB$504,"&lt;="&amp;AB25)/$J$505,0))</f>
        <v>0.211102203526405</v>
      </c>
      <c r="M25" s="55" t="str">
        <f aca="false">IF($A25="","",IF(L25&lt;=Assumptions!$B$7,"A",IF(L25&lt;=Assumptions!$B$8,"B","C")))</f>
        <v>A</v>
      </c>
      <c r="N25" s="55" t="str">
        <f aca="false">IF($A25="","",IF(I25&lt;=Assumptions!$B$9,"X",IF(I25&lt;=Assumptions!$B$10,"Y","Z")))</f>
        <v>Y</v>
      </c>
      <c r="O25" s="56" t="str">
        <f aca="false">IF($A25="","",M25&amp;N25)</f>
        <v>AY</v>
      </c>
      <c r="P25" s="57" t="n">
        <f aca="false">IF($A25="","",INDEX(Assumptions!$B$35:$B$37,MATCH(M25,Assumptions!$A$35:$A$37,0)))</f>
        <v>0.98</v>
      </c>
      <c r="Q25" s="58" t="n">
        <f aca="false">IF($A25="","",NORMSINV(P25))</f>
        <v>2.05374891063182</v>
      </c>
      <c r="R25" s="48" t="n">
        <f aca="false">IF($A25="","",ROUNDUP(Q25*H25*SQRT(D25),0))</f>
        <v>1404</v>
      </c>
      <c r="S25" s="48" t="n">
        <f aca="false">IF($A25="","",ROUNDUP(G25*D25+R25,0))</f>
        <v>4121</v>
      </c>
      <c r="T25" s="46" t="n">
        <f aca="false">IF($A25="","",IFERROR(ROUND(SQRT(2*F25*Assumptions!$B$4/(Assumptions!$B$5*C25)),0),0))</f>
        <v>3543</v>
      </c>
      <c r="U25" s="53" t="n">
        <f aca="false">IF($A25="","",R25*C25)</f>
        <v>1053</v>
      </c>
      <c r="V25" s="53" t="n">
        <f aca="false">IF($A25="","",E25*C25)</f>
        <v>4753.5</v>
      </c>
      <c r="W25" s="59" t="n">
        <f aca="false">IF($A25="","",IFERROR(E25/G25,0))</f>
        <v>14.0000849581581</v>
      </c>
      <c r="X25" s="48" t="n">
        <f aca="false">IF($A25="","",S25+T25)</f>
        <v>7664</v>
      </c>
      <c r="Y25" s="48" t="n">
        <f aca="false">IF($A25="","",MAX(0,E25-X25))</f>
        <v>0</v>
      </c>
      <c r="Z25" s="53" t="n">
        <f aca="false">IF($A25="","",Y25*C25)</f>
        <v>0</v>
      </c>
      <c r="AA25" s="56" t="str">
        <f aca="false">IF($A25="","",IF(E25&lt;=R25,"Below Safety Stock",IF(E25&lt;=S25,"Reorder Now",IF(E25&gt;X25,"Excess","Healthy"))))</f>
        <v>Healthy</v>
      </c>
      <c r="AB25" s="48" t="n">
        <f aca="false">IF($A25="","",RANK(AF25,$AF$5:$AF$504,0)+COUNTIF($AF$5:AF25,AF25)-1)</f>
        <v>27</v>
      </c>
      <c r="AC25" s="44" t="str">
        <f aca="false">IF($A25="","",Weekly_Demand!B25)</f>
        <v>VICTORIAN GLASS HANGING T-LIGHT</v>
      </c>
      <c r="AD25" s="59" t="n">
        <f aca="false">IF($A25="","",H25*SQRT(D25))</f>
        <v>683.470957520329</v>
      </c>
      <c r="AE25" s="53" t="n">
        <f aca="false">IF($A25="","",AD25*C25)</f>
        <v>512.603218140247</v>
      </c>
      <c r="AF25" s="53" t="n">
        <f aca="false">IF($A25="","",ROUND(J25,2))</f>
        <v>17655.75</v>
      </c>
    </row>
    <row r="26" customFormat="false" ht="15" hidden="false" customHeight="false" outlineLevel="0" collapsed="false">
      <c r="A26" s="44" t="str">
        <f aca="false">IF(Weekly_Demand!A26="","",Weekly_Demand!A26)</f>
        <v>22469</v>
      </c>
      <c r="B26" s="44" t="str">
        <f aca="false">IF($A26="","",Weekly_Demand!C26)</f>
        <v>Other</v>
      </c>
      <c r="C26" s="45" t="n">
        <f aca="false">IF($A26="","",Weekly_Demand!D26)</f>
        <v>0.99</v>
      </c>
      <c r="D26" s="46" t="n">
        <f aca="false">IF($A26="","",Weekly_Demand!E26+Assumptions!$B$19)</f>
        <v>4</v>
      </c>
      <c r="E26" s="46" t="n">
        <f aca="false">IF($A26="","",Weekly_Demand!F26)</f>
        <v>338</v>
      </c>
      <c r="F26" s="46" t="n">
        <f aca="false">IF($A26="","",SUM(Weekly_Demand!G26:BF26))</f>
        <v>17550</v>
      </c>
      <c r="G26" s="51" t="n">
        <f aca="false">IF($A26="","",IFERROR(F26/Assumptions!$B$6,0))</f>
        <v>337.5</v>
      </c>
      <c r="H26" s="51" t="n">
        <f aca="false">IF($A26="","",STDEV(Weekly_Demand!G26:BF26))</f>
        <v>335.836590749541</v>
      </c>
      <c r="I26" s="52" t="n">
        <f aca="false">IF($A26="","",IFERROR(H26/G26,0))</f>
        <v>0.995071379998639</v>
      </c>
      <c r="J26" s="53" t="n">
        <f aca="false">IF($A26="","",F26*C26)</f>
        <v>17374.5</v>
      </c>
      <c r="K26" s="54" t="n">
        <f aca="false">IF($A26="","",IFERROR(J26/$J$505,0))</f>
        <v>0.00449569298639276</v>
      </c>
      <c r="L26" s="54" t="n">
        <f aca="false">IF($A26="","",IFERROR(SUMIFS($J$5:$J$504,$AB$5:$AB$504,"&lt;="&amp;AB26)/$J$505,0))</f>
        <v>0.220127589560108</v>
      </c>
      <c r="M26" s="55" t="str">
        <f aca="false">IF($A26="","",IF(L26&lt;=Assumptions!$B$7,"A",IF(L26&lt;=Assumptions!$B$8,"B","C")))</f>
        <v>A</v>
      </c>
      <c r="N26" s="55" t="str">
        <f aca="false">IF($A26="","",IF(I26&lt;=Assumptions!$B$9,"X",IF(I26&lt;=Assumptions!$B$10,"Y","Z")))</f>
        <v>Y</v>
      </c>
      <c r="O26" s="56" t="str">
        <f aca="false">IF($A26="","",M26&amp;N26)</f>
        <v>AY</v>
      </c>
      <c r="P26" s="57" t="n">
        <f aca="false">IF($A26="","",INDEX(Assumptions!$B$35:$B$37,MATCH(M26,Assumptions!$A$35:$A$37,0)))</f>
        <v>0.98</v>
      </c>
      <c r="Q26" s="58" t="n">
        <f aca="false">IF($A26="","",NORMSINV(P26))</f>
        <v>2.05374891063182</v>
      </c>
      <c r="R26" s="48" t="n">
        <f aca="false">IF($A26="","",ROUNDUP(Q26*H26*SQRT(D26),0))</f>
        <v>1380</v>
      </c>
      <c r="S26" s="48" t="n">
        <f aca="false">IF($A26="","",ROUNDUP(G26*D26+R26,0))</f>
        <v>2730</v>
      </c>
      <c r="T26" s="46" t="n">
        <f aca="false">IF($A26="","",IFERROR(ROUND(SQRT(2*F26*Assumptions!$B$4/(Assumptions!$B$5*C26)),0),0))</f>
        <v>2663</v>
      </c>
      <c r="U26" s="53" t="n">
        <f aca="false">IF($A26="","",R26*C26)</f>
        <v>1366.2</v>
      </c>
      <c r="V26" s="53" t="n">
        <f aca="false">IF($A26="","",E26*C26)</f>
        <v>334.62</v>
      </c>
      <c r="W26" s="59" t="n">
        <f aca="false">IF($A26="","",IFERROR(E26/G26,0))</f>
        <v>1.00148148148148</v>
      </c>
      <c r="X26" s="48" t="n">
        <f aca="false">IF($A26="","",S26+T26)</f>
        <v>5393</v>
      </c>
      <c r="Y26" s="48" t="n">
        <f aca="false">IF($A26="","",MAX(0,E26-X26))</f>
        <v>0</v>
      </c>
      <c r="Z26" s="53" t="n">
        <f aca="false">IF($A26="","",Y26*C26)</f>
        <v>0</v>
      </c>
      <c r="AA26" s="56" t="str">
        <f aca="false">IF($A26="","",IF(E26&lt;=R26,"Below Safety Stock",IF(E26&lt;=S26,"Reorder Now",IF(E26&gt;X26,"Excess","Healthy"))))</f>
        <v>Below Safety Stock</v>
      </c>
      <c r="AB26" s="48" t="n">
        <f aca="false">IF($A26="","",RANK(AF26,$AF$5:$AF$504,0)+COUNTIF($AF$5:AF26,AF26)-1)</f>
        <v>29</v>
      </c>
      <c r="AC26" s="44" t="str">
        <f aca="false">IF($A26="","",Weekly_Demand!B26)</f>
        <v>HEART OF WICKER SMALL</v>
      </c>
      <c r="AD26" s="59" t="n">
        <f aca="false">IF($A26="","",H26*SQRT(D26))</f>
        <v>671.673181499082</v>
      </c>
      <c r="AE26" s="53" t="n">
        <f aca="false">IF($A26="","",AD26*C26)</f>
        <v>664.956449684091</v>
      </c>
      <c r="AF26" s="53" t="n">
        <f aca="false">IF($A26="","",ROUND(J26,2))</f>
        <v>17374.5</v>
      </c>
    </row>
    <row r="27" customFormat="false" ht="15" hidden="false" customHeight="false" outlineLevel="0" collapsed="false">
      <c r="A27" s="44" t="str">
        <f aca="false">IF(Weekly_Demand!A27="","",Weekly_Demand!A27)</f>
        <v>23199</v>
      </c>
      <c r="B27" s="44" t="str">
        <f aca="false">IF($A27="","",Weekly_Demand!C27)</f>
        <v>Bags</v>
      </c>
      <c r="C27" s="45" t="n">
        <f aca="false">IF($A27="","",Weekly_Demand!D27)</f>
        <v>1.248</v>
      </c>
      <c r="D27" s="46" t="n">
        <f aca="false">IF($A27="","",Weekly_Demand!E27+Assumptions!$B$19)</f>
        <v>8</v>
      </c>
      <c r="E27" s="46" t="n">
        <f aca="false">IF($A27="","",Weekly_Demand!F27)</f>
        <v>853</v>
      </c>
      <c r="F27" s="46" t="n">
        <f aca="false">IF($A27="","",SUM(Weekly_Demand!G27:BF27))</f>
        <v>14777</v>
      </c>
      <c r="G27" s="51" t="n">
        <f aca="false">IF($A27="","",IFERROR(F27/Assumptions!$B$6,0))</f>
        <v>284.173076923077</v>
      </c>
      <c r="H27" s="51" t="n">
        <f aca="false">IF($A27="","",STDEV(Weekly_Demand!G27:BF27))</f>
        <v>278.083688993915</v>
      </c>
      <c r="I27" s="52" t="n">
        <f aca="false">IF($A27="","",IFERROR(H27/G27,0))</f>
        <v>0.978571552255775</v>
      </c>
      <c r="J27" s="53" t="n">
        <f aca="false">IF($A27="","",F27*C27)</f>
        <v>18441.696</v>
      </c>
      <c r="K27" s="54" t="n">
        <f aca="false">IF($A27="","",IFERROR(J27/$J$505,0))</f>
        <v>0.00477183247658277</v>
      </c>
      <c r="L27" s="54" t="n">
        <f aca="false">IF($A27="","",IFERROR(SUMIFS($J$5:$J$504,$AB$5:$AB$504,"&lt;="&amp;AB27)/$J$505,0))</f>
        <v>0.192416841280914</v>
      </c>
      <c r="M27" s="55" t="str">
        <f aca="false">IF($A27="","",IF(L27&lt;=Assumptions!$B$7,"A",IF(L27&lt;=Assumptions!$B$8,"B","C")))</f>
        <v>A</v>
      </c>
      <c r="N27" s="55" t="str">
        <f aca="false">IF($A27="","",IF(I27&lt;=Assumptions!$B$9,"X",IF(I27&lt;=Assumptions!$B$10,"Y","Z")))</f>
        <v>Y</v>
      </c>
      <c r="O27" s="56" t="str">
        <f aca="false">IF($A27="","",M27&amp;N27)</f>
        <v>AY</v>
      </c>
      <c r="P27" s="57" t="n">
        <f aca="false">IF($A27="","",INDEX(Assumptions!$B$35:$B$37,MATCH(M27,Assumptions!$A$35:$A$37,0)))</f>
        <v>0.98</v>
      </c>
      <c r="Q27" s="58" t="n">
        <f aca="false">IF($A27="","",NORMSINV(P27))</f>
        <v>2.05374891063182</v>
      </c>
      <c r="R27" s="48" t="n">
        <f aca="false">IF($A27="","",ROUNDUP(Q27*H27*SQRT(D27),0))</f>
        <v>1616</v>
      </c>
      <c r="S27" s="48" t="n">
        <f aca="false">IF($A27="","",ROUNDUP(G27*D27+R27,0))</f>
        <v>3890</v>
      </c>
      <c r="T27" s="46" t="n">
        <f aca="false">IF($A27="","",IFERROR(ROUND(SQRT(2*F27*Assumptions!$B$4/(Assumptions!$B$5*C27)),0),0))</f>
        <v>2176</v>
      </c>
      <c r="U27" s="53" t="n">
        <f aca="false">IF($A27="","",R27*C27)</f>
        <v>2016.768</v>
      </c>
      <c r="V27" s="53" t="n">
        <f aca="false">IF($A27="","",E27*C27)</f>
        <v>1064.544</v>
      </c>
      <c r="W27" s="59" t="n">
        <f aca="false">IF($A27="","",IFERROR(E27/G27,0))</f>
        <v>3.00169181836638</v>
      </c>
      <c r="X27" s="48" t="n">
        <f aca="false">IF($A27="","",S27+T27)</f>
        <v>6066</v>
      </c>
      <c r="Y27" s="48" t="n">
        <f aca="false">IF($A27="","",MAX(0,E27-X27))</f>
        <v>0</v>
      </c>
      <c r="Z27" s="53" t="n">
        <f aca="false">IF($A27="","",Y27*C27)</f>
        <v>0</v>
      </c>
      <c r="AA27" s="56" t="str">
        <f aca="false">IF($A27="","",IF(E27&lt;=R27,"Below Safety Stock",IF(E27&lt;=S27,"Reorder Now",IF(E27&gt;X27,"Excess","Healthy"))))</f>
        <v>Below Safety Stock</v>
      </c>
      <c r="AB27" s="48" t="n">
        <f aca="false">IF($A27="","",RANK(AF27,$AF$5:$AF$504,0)+COUNTIF($AF$5:AF27,AF27)-1)</f>
        <v>23</v>
      </c>
      <c r="AC27" s="44" t="str">
        <f aca="false">IF($A27="","",Weekly_Demand!B27)</f>
        <v>JUMBO BAG APPLES</v>
      </c>
      <c r="AD27" s="59" t="n">
        <f aca="false">IF($A27="","",H27*SQRT(D27))</f>
        <v>786.539448899873</v>
      </c>
      <c r="AE27" s="53" t="n">
        <f aca="false">IF($A27="","",AD27*C27)</f>
        <v>981.601232227042</v>
      </c>
      <c r="AF27" s="53" t="n">
        <f aca="false">IF($A27="","",ROUND(J27,2))</f>
        <v>18441.7</v>
      </c>
    </row>
    <row r="28" customFormat="false" ht="15" hidden="false" customHeight="false" outlineLevel="0" collapsed="false">
      <c r="A28" s="44" t="str">
        <f aca="false">IF(Weekly_Demand!A28="","",Weekly_Demand!A28)</f>
        <v>21931</v>
      </c>
      <c r="B28" s="44" t="str">
        <f aca="false">IF($A28="","",Weekly_Demand!C28)</f>
        <v>Bags</v>
      </c>
      <c r="C28" s="45" t="n">
        <f aca="false">IF($A28="","",Weekly_Demand!D28)</f>
        <v>1.248</v>
      </c>
      <c r="D28" s="46" t="n">
        <f aca="false">IF($A28="","",Weekly_Demand!E28+Assumptions!$B$19)</f>
        <v>8</v>
      </c>
      <c r="E28" s="46" t="n">
        <f aca="false">IF($A28="","",Weekly_Demand!F28)</f>
        <v>771</v>
      </c>
      <c r="F28" s="46" t="n">
        <f aca="false">IF($A28="","",SUM(Weekly_Demand!G28:BF28))</f>
        <v>13357</v>
      </c>
      <c r="G28" s="51" t="n">
        <f aca="false">IF($A28="","",IFERROR(F28/Assumptions!$B$6,0))</f>
        <v>256.865384615385</v>
      </c>
      <c r="H28" s="51" t="n">
        <f aca="false">IF($A28="","",STDEV(Weekly_Demand!G28:BF28))</f>
        <v>117.080000945583</v>
      </c>
      <c r="I28" s="52" t="n">
        <f aca="false">IF($A28="","",IFERROR(H28/G28,0))</f>
        <v>0.455802953445409</v>
      </c>
      <c r="J28" s="53" t="n">
        <f aca="false">IF($A28="","",F28*C28)</f>
        <v>16669.536</v>
      </c>
      <c r="K28" s="54" t="n">
        <f aca="false">IF($A28="","",IFERROR(J28/$J$505,0))</f>
        <v>0.00431328188331299</v>
      </c>
      <c r="L28" s="54" t="n">
        <f aca="false">IF($A28="","",IFERROR(SUMIFS($J$5:$J$504,$AB$5:$AB$504,"&lt;="&amp;AB28)/$J$505,0))</f>
        <v>0.246338458530979</v>
      </c>
      <c r="M28" s="55" t="str">
        <f aca="false">IF($A28="","",IF(L28&lt;=Assumptions!$B$7,"A",IF(L28&lt;=Assumptions!$B$8,"B","C")))</f>
        <v>A</v>
      </c>
      <c r="N28" s="55" t="str">
        <f aca="false">IF($A28="","",IF(I28&lt;=Assumptions!$B$9,"X",IF(I28&lt;=Assumptions!$B$10,"Y","Z")))</f>
        <v>X</v>
      </c>
      <c r="O28" s="56" t="str">
        <f aca="false">IF($A28="","",M28&amp;N28)</f>
        <v>AX</v>
      </c>
      <c r="P28" s="57" t="n">
        <f aca="false">IF($A28="","",INDEX(Assumptions!$B$35:$B$37,MATCH(M28,Assumptions!$A$35:$A$37,0)))</f>
        <v>0.98</v>
      </c>
      <c r="Q28" s="58" t="n">
        <f aca="false">IF($A28="","",NORMSINV(P28))</f>
        <v>2.05374891063182</v>
      </c>
      <c r="R28" s="48" t="n">
        <f aca="false">IF($A28="","",ROUNDUP(Q28*H28*SQRT(D28),0))</f>
        <v>681</v>
      </c>
      <c r="S28" s="48" t="n">
        <f aca="false">IF($A28="","",ROUNDUP(G28*D28+R28,0))</f>
        <v>2736</v>
      </c>
      <c r="T28" s="46" t="n">
        <f aca="false">IF($A28="","",IFERROR(ROUND(SQRT(2*F28*Assumptions!$B$4/(Assumptions!$B$5*C28)),0),0))</f>
        <v>2069</v>
      </c>
      <c r="U28" s="53" t="n">
        <f aca="false">IF($A28="","",R28*C28)</f>
        <v>849.888</v>
      </c>
      <c r="V28" s="53" t="n">
        <f aca="false">IF($A28="","",E28*C28)</f>
        <v>962.208</v>
      </c>
      <c r="W28" s="59" t="n">
        <f aca="false">IF($A28="","",IFERROR(E28/G28,0))</f>
        <v>3.00157220932844</v>
      </c>
      <c r="X28" s="48" t="n">
        <f aca="false">IF($A28="","",S28+T28)</f>
        <v>4805</v>
      </c>
      <c r="Y28" s="48" t="n">
        <f aca="false">IF($A28="","",MAX(0,E28-X28))</f>
        <v>0</v>
      </c>
      <c r="Z28" s="53" t="n">
        <f aca="false">IF($A28="","",Y28*C28)</f>
        <v>0</v>
      </c>
      <c r="AA28" s="56" t="str">
        <f aca="false">IF($A28="","",IF(E28&lt;=R28,"Below Safety Stock",IF(E28&lt;=S28,"Reorder Now",IF(E28&gt;X28,"Excess","Healthy"))))</f>
        <v>Reorder Now</v>
      </c>
      <c r="AB28" s="48" t="n">
        <f aca="false">IF($A28="","",RANK(AF28,$AF$5:$AF$504,0)+COUNTIF($AF$5:AF28,AF28)-1)</f>
        <v>35</v>
      </c>
      <c r="AC28" s="44" t="str">
        <f aca="false">IF($A28="","",Weekly_Demand!B28)</f>
        <v>JUMBO STORAGE BAG SUKI</v>
      </c>
      <c r="AD28" s="59" t="n">
        <f aca="false">IF($A28="","",H28*SQRT(D28))</f>
        <v>331.152250439798</v>
      </c>
      <c r="AE28" s="53" t="n">
        <f aca="false">IF($A28="","",AD28*C28)</f>
        <v>413.278008548867</v>
      </c>
      <c r="AF28" s="53" t="n">
        <f aca="false">IF($A28="","",ROUND(J28,2))</f>
        <v>16669.54</v>
      </c>
    </row>
    <row r="29" customFormat="false" ht="15" hidden="false" customHeight="false" outlineLevel="0" collapsed="false">
      <c r="A29" s="44" t="str">
        <f aca="false">IF(Weekly_Demand!A29="","",Weekly_Demand!A29)</f>
        <v>23245</v>
      </c>
      <c r="B29" s="44" t="str">
        <f aca="false">IF($A29="","",Weekly_Demand!C29)</f>
        <v>Kitchen</v>
      </c>
      <c r="C29" s="45" t="n">
        <f aca="false">IF($A29="","",Weekly_Demand!D29)</f>
        <v>2.97</v>
      </c>
      <c r="D29" s="46" t="n">
        <f aca="false">IF($A29="","",Weekly_Demand!E29+Assumptions!$B$19)</f>
        <v>4</v>
      </c>
      <c r="E29" s="46" t="n">
        <f aca="false">IF($A29="","",Weekly_Demand!F29)</f>
        <v>1779</v>
      </c>
      <c r="F29" s="46" t="n">
        <f aca="false">IF($A29="","",SUM(Weekly_Demand!G29:BF29))</f>
        <v>6168</v>
      </c>
      <c r="G29" s="51" t="n">
        <f aca="false">IF($A29="","",IFERROR(F29/Assumptions!$B$6,0))</f>
        <v>118.615384615385</v>
      </c>
      <c r="H29" s="51" t="n">
        <f aca="false">IF($A29="","",STDEV(Weekly_Demand!G29:BF29))</f>
        <v>156.188819092959</v>
      </c>
      <c r="I29" s="52" t="n">
        <f aca="false">IF($A29="","",IFERROR(H29/G29,0))</f>
        <v>1.31676695733364</v>
      </c>
      <c r="J29" s="53" t="n">
        <f aca="false">IF($A29="","",F29*C29)</f>
        <v>18318.96</v>
      </c>
      <c r="K29" s="54" t="n">
        <f aca="false">IF($A29="","",IFERROR(J29/$J$505,0))</f>
        <v>0.0047400742461659</v>
      </c>
      <c r="L29" s="54" t="n">
        <f aca="false">IF($A29="","",IFERROR(SUMIFS($J$5:$J$504,$AB$5:$AB$504,"&lt;="&amp;AB29)/$J$505,0))</f>
        <v>0.201913943228279</v>
      </c>
      <c r="M29" s="55" t="str">
        <f aca="false">IF($A29="","",IF(L29&lt;=Assumptions!$B$7,"A",IF(L29&lt;=Assumptions!$B$8,"B","C")))</f>
        <v>A</v>
      </c>
      <c r="N29" s="55" t="str">
        <f aca="false">IF($A29="","",IF(I29&lt;=Assumptions!$B$9,"X",IF(I29&lt;=Assumptions!$B$10,"Y","Z")))</f>
        <v>Z</v>
      </c>
      <c r="O29" s="56" t="str">
        <f aca="false">IF($A29="","",M29&amp;N29)</f>
        <v>AZ</v>
      </c>
      <c r="P29" s="57" t="n">
        <f aca="false">IF($A29="","",INDEX(Assumptions!$B$35:$B$37,MATCH(M29,Assumptions!$A$35:$A$37,0)))</f>
        <v>0.98</v>
      </c>
      <c r="Q29" s="58" t="n">
        <f aca="false">IF($A29="","",NORMSINV(P29))</f>
        <v>2.05374891063182</v>
      </c>
      <c r="R29" s="48" t="n">
        <f aca="false">IF($A29="","",ROUNDUP(Q29*H29*SQRT(D29),0))</f>
        <v>642</v>
      </c>
      <c r="S29" s="48" t="n">
        <f aca="false">IF($A29="","",ROUNDUP(G29*D29+R29,0))</f>
        <v>1117</v>
      </c>
      <c r="T29" s="46" t="n">
        <f aca="false">IF($A29="","",IFERROR(ROUND(SQRT(2*F29*Assumptions!$B$4/(Assumptions!$B$5*C29)),0),0))</f>
        <v>911</v>
      </c>
      <c r="U29" s="53" t="n">
        <f aca="false">IF($A29="","",R29*C29)</f>
        <v>1906.74</v>
      </c>
      <c r="V29" s="53" t="n">
        <f aca="false">IF($A29="","",E29*C29)</f>
        <v>5283.63</v>
      </c>
      <c r="W29" s="59" t="n">
        <f aca="false">IF($A29="","",IFERROR(E29/G29,0))</f>
        <v>14.9980544747082</v>
      </c>
      <c r="X29" s="48" t="n">
        <f aca="false">IF($A29="","",S29+T29)</f>
        <v>2028</v>
      </c>
      <c r="Y29" s="48" t="n">
        <f aca="false">IF($A29="","",MAX(0,E29-X29))</f>
        <v>0</v>
      </c>
      <c r="Z29" s="53" t="n">
        <f aca="false">IF($A29="","",Y29*C29)</f>
        <v>0</v>
      </c>
      <c r="AA29" s="56" t="str">
        <f aca="false">IF($A29="","",IF(E29&lt;=R29,"Below Safety Stock",IF(E29&lt;=S29,"Reorder Now",IF(E29&gt;X29,"Excess","Healthy"))))</f>
        <v>Healthy</v>
      </c>
      <c r="AB29" s="48" t="n">
        <f aca="false">IF($A29="","",RANK(AF29,$AF$5:$AF$504,0)+COUNTIF($AF$5:AF29,AF29)-1)</f>
        <v>25</v>
      </c>
      <c r="AC29" s="44" t="str">
        <f aca="false">IF($A29="","",Weekly_Demand!B29)</f>
        <v>SET OF 3 REGENCY CAKE TINS</v>
      </c>
      <c r="AD29" s="59" t="n">
        <f aca="false">IF($A29="","",H29*SQRT(D29))</f>
        <v>312.377638185918</v>
      </c>
      <c r="AE29" s="53" t="n">
        <f aca="false">IF($A29="","",AD29*C29)</f>
        <v>927.761585412177</v>
      </c>
      <c r="AF29" s="53" t="n">
        <f aca="false">IF($A29="","",ROUND(J29,2))</f>
        <v>18318.96</v>
      </c>
    </row>
    <row r="30" customFormat="false" ht="15" hidden="false" customHeight="false" outlineLevel="0" collapsed="false">
      <c r="A30" s="44" t="str">
        <f aca="false">IF(Weekly_Demand!A30="","",Weekly_Demand!A30)</f>
        <v>22112</v>
      </c>
      <c r="B30" s="44" t="str">
        <f aca="false">IF($A30="","",Weekly_Demand!C30)</f>
        <v>Other</v>
      </c>
      <c r="C30" s="45" t="n">
        <f aca="false">IF($A30="","",Weekly_Demand!D30)</f>
        <v>2.97</v>
      </c>
      <c r="D30" s="46" t="n">
        <f aca="false">IF($A30="","",Weekly_Demand!E30+Assumptions!$B$19)</f>
        <v>2</v>
      </c>
      <c r="E30" s="46" t="n">
        <f aca="false">IF($A30="","",Weekly_Demand!F30)</f>
        <v>4634</v>
      </c>
      <c r="F30" s="46" t="n">
        <f aca="false">IF($A30="","",SUM(Weekly_Demand!G30:BF30))</f>
        <v>5477</v>
      </c>
      <c r="G30" s="51" t="n">
        <f aca="false">IF($A30="","",IFERROR(F30/Assumptions!$B$6,0))</f>
        <v>105.326923076923</v>
      </c>
      <c r="H30" s="51" t="n">
        <f aca="false">IF($A30="","",STDEV(Weekly_Demand!G30:BF30))</f>
        <v>138.477820288722</v>
      </c>
      <c r="I30" s="52" t="n">
        <f aca="false">IF($A30="","",IFERROR(H30/G30,0))</f>
        <v>1.3147428619707</v>
      </c>
      <c r="J30" s="53" t="n">
        <f aca="false">IF($A30="","",F30*C30)</f>
        <v>16266.69</v>
      </c>
      <c r="K30" s="54" t="n">
        <f aca="false">IF($A30="","",IFERROR(J30/$J$505,0))</f>
        <v>0.00420904452760225</v>
      </c>
      <c r="L30" s="54" t="n">
        <f aca="false">IF($A30="","",IFERROR(SUMIFS($J$5:$J$504,$AB$5:$AB$504,"&lt;="&amp;AB30)/$J$505,0))</f>
        <v>0.25904266202356</v>
      </c>
      <c r="M30" s="55" t="str">
        <f aca="false">IF($A30="","",IF(L30&lt;=Assumptions!$B$7,"A",IF(L30&lt;=Assumptions!$B$8,"B","C")))</f>
        <v>A</v>
      </c>
      <c r="N30" s="55" t="str">
        <f aca="false">IF($A30="","",IF(I30&lt;=Assumptions!$B$9,"X",IF(I30&lt;=Assumptions!$B$10,"Y","Z")))</f>
        <v>Z</v>
      </c>
      <c r="O30" s="56" t="str">
        <f aca="false">IF($A30="","",M30&amp;N30)</f>
        <v>AZ</v>
      </c>
      <c r="P30" s="57" t="n">
        <f aca="false">IF($A30="","",INDEX(Assumptions!$B$35:$B$37,MATCH(M30,Assumptions!$A$35:$A$37,0)))</f>
        <v>0.98</v>
      </c>
      <c r="Q30" s="58" t="n">
        <f aca="false">IF($A30="","",NORMSINV(P30))</f>
        <v>2.05374891063182</v>
      </c>
      <c r="R30" s="48" t="n">
        <f aca="false">IF($A30="","",ROUNDUP(Q30*H30*SQRT(D30),0))</f>
        <v>403</v>
      </c>
      <c r="S30" s="48" t="n">
        <f aca="false">IF($A30="","",ROUNDUP(G30*D30+R30,0))</f>
        <v>614</v>
      </c>
      <c r="T30" s="46" t="n">
        <f aca="false">IF($A30="","",IFERROR(ROUND(SQRT(2*F30*Assumptions!$B$4/(Assumptions!$B$5*C30)),0),0))</f>
        <v>859</v>
      </c>
      <c r="U30" s="53" t="n">
        <f aca="false">IF($A30="","",R30*C30)</f>
        <v>1196.91</v>
      </c>
      <c r="V30" s="53" t="n">
        <f aca="false">IF($A30="","",E30*C30)</f>
        <v>13762.98</v>
      </c>
      <c r="W30" s="59" t="n">
        <f aca="false">IF($A30="","",IFERROR(E30/G30,0))</f>
        <v>43.9963483658937</v>
      </c>
      <c r="X30" s="48" t="n">
        <f aca="false">IF($A30="","",S30+T30)</f>
        <v>1473</v>
      </c>
      <c r="Y30" s="48" t="n">
        <f aca="false">IF($A30="","",MAX(0,E30-X30))</f>
        <v>3161</v>
      </c>
      <c r="Z30" s="53" t="n">
        <f aca="false">IF($A30="","",Y30*C30)</f>
        <v>9388.17</v>
      </c>
      <c r="AA30" s="56" t="str">
        <f aca="false">IF($A30="","",IF(E30&lt;=R30,"Below Safety Stock",IF(E30&lt;=S30,"Reorder Now",IF(E30&gt;X30,"Excess","Healthy"))))</f>
        <v>Excess</v>
      </c>
      <c r="AB30" s="48" t="n">
        <f aca="false">IF($A30="","",RANK(AF30,$AF$5:$AF$504,0)+COUNTIF($AF$5:AF30,AF30)-1)</f>
        <v>38</v>
      </c>
      <c r="AC30" s="44" t="str">
        <f aca="false">IF($A30="","",Weekly_Demand!B30)</f>
        <v>CHOCOLATE HOT WATER BOTTLE</v>
      </c>
      <c r="AD30" s="59" t="n">
        <f aca="false">IF($A30="","",H30*SQRT(D30))</f>
        <v>195.837211540175</v>
      </c>
      <c r="AE30" s="53" t="n">
        <f aca="false">IF($A30="","",AD30*C30)</f>
        <v>581.636518274318</v>
      </c>
      <c r="AF30" s="53" t="n">
        <f aca="false">IF($A30="","",ROUND(J30,2))</f>
        <v>16266.69</v>
      </c>
    </row>
    <row r="31" customFormat="false" ht="15" hidden="false" customHeight="false" outlineLevel="0" collapsed="false">
      <c r="A31" s="44" t="str">
        <f aca="false">IF(Weekly_Demand!A31="","",Weekly_Demand!A31)</f>
        <v>22470</v>
      </c>
      <c r="B31" s="44" t="str">
        <f aca="false">IF($A31="","",Weekly_Demand!C31)</f>
        <v>Other</v>
      </c>
      <c r="C31" s="45" t="n">
        <f aca="false">IF($A31="","",Weekly_Demand!D31)</f>
        <v>1.77</v>
      </c>
      <c r="D31" s="46" t="n">
        <f aca="false">IF($A31="","",Weekly_Demand!E31+Assumptions!$B$19)</f>
        <v>6</v>
      </c>
      <c r="E31" s="46" t="n">
        <f aca="false">IF($A31="","",Weekly_Demand!F31)</f>
        <v>1301</v>
      </c>
      <c r="F31" s="46" t="n">
        <f aca="false">IF($A31="","",SUM(Weekly_Demand!G31:BF31))</f>
        <v>9668</v>
      </c>
      <c r="G31" s="51" t="n">
        <f aca="false">IF($A31="","",IFERROR(F31/Assumptions!$B$6,0))</f>
        <v>185.923076923077</v>
      </c>
      <c r="H31" s="51" t="n">
        <f aca="false">IF($A31="","",STDEV(Weekly_Demand!G31:BF31))</f>
        <v>267.260088212085</v>
      </c>
      <c r="I31" s="52" t="n">
        <f aca="false">IF($A31="","",IFERROR(H31/G31,0))</f>
        <v>1.43747668463264</v>
      </c>
      <c r="J31" s="53" t="n">
        <f aca="false">IF($A31="","",F31*C31)</f>
        <v>17112.36</v>
      </c>
      <c r="K31" s="54" t="n">
        <f aca="false">IF($A31="","",IFERROR(J31/$J$505,0))</f>
        <v>0.00442786364111934</v>
      </c>
      <c r="L31" s="54" t="n">
        <f aca="false">IF($A31="","",IFERROR(SUMIFS($J$5:$J$504,$AB$5:$AB$504,"&lt;="&amp;AB31)/$J$505,0))</f>
        <v>0.228985172096812</v>
      </c>
      <c r="M31" s="55" t="str">
        <f aca="false">IF($A31="","",IF(L31&lt;=Assumptions!$B$7,"A",IF(L31&lt;=Assumptions!$B$8,"B","C")))</f>
        <v>A</v>
      </c>
      <c r="N31" s="55" t="str">
        <f aca="false">IF($A31="","",IF(I31&lt;=Assumptions!$B$9,"X",IF(I31&lt;=Assumptions!$B$10,"Y","Z")))</f>
        <v>Z</v>
      </c>
      <c r="O31" s="56" t="str">
        <f aca="false">IF($A31="","",M31&amp;N31)</f>
        <v>AZ</v>
      </c>
      <c r="P31" s="57" t="n">
        <f aca="false">IF($A31="","",INDEX(Assumptions!$B$35:$B$37,MATCH(M31,Assumptions!$A$35:$A$37,0)))</f>
        <v>0.98</v>
      </c>
      <c r="Q31" s="58" t="n">
        <f aca="false">IF($A31="","",NORMSINV(P31))</f>
        <v>2.05374891063182</v>
      </c>
      <c r="R31" s="48" t="n">
        <f aca="false">IF($A31="","",ROUNDUP(Q31*H31*SQRT(D31),0))</f>
        <v>1345</v>
      </c>
      <c r="S31" s="48" t="n">
        <f aca="false">IF($A31="","",ROUNDUP(G31*D31+R31,0))</f>
        <v>2461</v>
      </c>
      <c r="T31" s="46" t="n">
        <f aca="false">IF($A31="","",IFERROR(ROUND(SQRT(2*F31*Assumptions!$B$4/(Assumptions!$B$5*C31)),0),0))</f>
        <v>1478</v>
      </c>
      <c r="U31" s="53" t="n">
        <f aca="false">IF($A31="","",R31*C31)</f>
        <v>2380.65</v>
      </c>
      <c r="V31" s="53" t="n">
        <f aca="false">IF($A31="","",E31*C31)</f>
        <v>2302.77</v>
      </c>
      <c r="W31" s="59" t="n">
        <f aca="false">IF($A31="","",IFERROR(E31/G31,0))</f>
        <v>6.99751758378155</v>
      </c>
      <c r="X31" s="48" t="n">
        <f aca="false">IF($A31="","",S31+T31)</f>
        <v>3939</v>
      </c>
      <c r="Y31" s="48" t="n">
        <f aca="false">IF($A31="","",MAX(0,E31-X31))</f>
        <v>0</v>
      </c>
      <c r="Z31" s="53" t="n">
        <f aca="false">IF($A31="","",Y31*C31)</f>
        <v>0</v>
      </c>
      <c r="AA31" s="56" t="str">
        <f aca="false">IF($A31="","",IF(E31&lt;=R31,"Below Safety Stock",IF(E31&lt;=S31,"Reorder Now",IF(E31&gt;X31,"Excess","Healthy"))))</f>
        <v>Below Safety Stock</v>
      </c>
      <c r="AB31" s="48" t="n">
        <f aca="false">IF($A31="","",RANK(AF31,$AF$5:$AF$504,0)+COUNTIF($AF$5:AF31,AF31)-1)</f>
        <v>31</v>
      </c>
      <c r="AC31" s="44" t="str">
        <f aca="false">IF($A31="","",Weekly_Demand!B31)</f>
        <v>HEART OF WICKER LARGE</v>
      </c>
      <c r="AD31" s="59" t="n">
        <f aca="false">IF($A31="","",H31*SQRT(D31))</f>
        <v>654.650844730829</v>
      </c>
      <c r="AE31" s="53" t="n">
        <f aca="false">IF($A31="","",AD31*C31)</f>
        <v>1158.73199517357</v>
      </c>
      <c r="AF31" s="53" t="n">
        <f aca="false">IF($A31="","",ROUND(J31,2))</f>
        <v>17112.36</v>
      </c>
    </row>
    <row r="32" customFormat="false" ht="15" hidden="false" customHeight="false" outlineLevel="0" collapsed="false">
      <c r="A32" s="44" t="str">
        <f aca="false">IF(Weekly_Demand!A32="","",Weekly_Demand!A32)</f>
        <v>22910</v>
      </c>
      <c r="B32" s="44" t="str">
        <f aca="false">IF($A32="","",Weekly_Demand!C32)</f>
        <v>Other</v>
      </c>
      <c r="C32" s="45" t="n">
        <f aca="false">IF($A32="","",Weekly_Demand!D32)</f>
        <v>1.77</v>
      </c>
      <c r="D32" s="46" t="n">
        <f aca="false">IF($A32="","",Weekly_Demand!E32+Assumptions!$B$19)</f>
        <v>6</v>
      </c>
      <c r="E32" s="46" t="n">
        <f aca="false">IF($A32="","",Weekly_Demand!F32)</f>
        <v>1634</v>
      </c>
      <c r="F32" s="46" t="n">
        <f aca="false">IF($A32="","",SUM(Weekly_Demand!G32:BF32))</f>
        <v>9441</v>
      </c>
      <c r="G32" s="51" t="n">
        <f aca="false">IF($A32="","",IFERROR(F32/Assumptions!$B$6,0))</f>
        <v>181.557692307692</v>
      </c>
      <c r="H32" s="51" t="n">
        <f aca="false">IF($A32="","",STDEV(Weekly_Demand!G32:BF32))</f>
        <v>287.417876657005</v>
      </c>
      <c r="I32" s="52" t="n">
        <f aca="false">IF($A32="","",IFERROR(H32/G32,0))</f>
        <v>1.58306636862242</v>
      </c>
      <c r="J32" s="53" t="n">
        <f aca="false">IF($A32="","",F32*C32)</f>
        <v>16710.57</v>
      </c>
      <c r="K32" s="54" t="n">
        <f aca="false">IF($A32="","",IFERROR(J32/$J$505,0))</f>
        <v>0.00432389952790729</v>
      </c>
      <c r="L32" s="54" t="n">
        <f aca="false">IF($A32="","",IFERROR(SUMIFS($J$5:$J$504,$AB$5:$AB$504,"&lt;="&amp;AB32)/$J$505,0))</f>
        <v>0.242025176647666</v>
      </c>
      <c r="M32" s="55" t="str">
        <f aca="false">IF($A32="","",IF(L32&lt;=Assumptions!$B$7,"A",IF(L32&lt;=Assumptions!$B$8,"B","C")))</f>
        <v>A</v>
      </c>
      <c r="N32" s="55" t="str">
        <f aca="false">IF($A32="","",IF(I32&lt;=Assumptions!$B$9,"X",IF(I32&lt;=Assumptions!$B$10,"Y","Z")))</f>
        <v>Z</v>
      </c>
      <c r="O32" s="56" t="str">
        <f aca="false">IF($A32="","",M32&amp;N32)</f>
        <v>AZ</v>
      </c>
      <c r="P32" s="57" t="n">
        <f aca="false">IF($A32="","",INDEX(Assumptions!$B$35:$B$37,MATCH(M32,Assumptions!$A$35:$A$37,0)))</f>
        <v>0.98</v>
      </c>
      <c r="Q32" s="58" t="n">
        <f aca="false">IF($A32="","",NORMSINV(P32))</f>
        <v>2.05374891063182</v>
      </c>
      <c r="R32" s="48" t="n">
        <f aca="false">IF($A32="","",ROUNDUP(Q32*H32*SQRT(D32),0))</f>
        <v>1446</v>
      </c>
      <c r="S32" s="48" t="n">
        <f aca="false">IF($A32="","",ROUNDUP(G32*D32+R32,0))</f>
        <v>2536</v>
      </c>
      <c r="T32" s="46" t="n">
        <f aca="false">IF($A32="","",IFERROR(ROUND(SQRT(2*F32*Assumptions!$B$4/(Assumptions!$B$5*C32)),0),0))</f>
        <v>1461</v>
      </c>
      <c r="U32" s="53" t="n">
        <f aca="false">IF($A32="","",R32*C32)</f>
        <v>2559.42</v>
      </c>
      <c r="V32" s="53" t="n">
        <f aca="false">IF($A32="","",E32*C32)</f>
        <v>2892.18</v>
      </c>
      <c r="W32" s="59" t="n">
        <f aca="false">IF($A32="","",IFERROR(E32/G32,0))</f>
        <v>8.99989407901705</v>
      </c>
      <c r="X32" s="48" t="n">
        <f aca="false">IF($A32="","",S32+T32)</f>
        <v>3997</v>
      </c>
      <c r="Y32" s="48" t="n">
        <f aca="false">IF($A32="","",MAX(0,E32-X32))</f>
        <v>0</v>
      </c>
      <c r="Z32" s="53" t="n">
        <f aca="false">IF($A32="","",Y32*C32)</f>
        <v>0</v>
      </c>
      <c r="AA32" s="56" t="str">
        <f aca="false">IF($A32="","",IF(E32&lt;=R32,"Below Safety Stock",IF(E32&lt;=S32,"Reorder Now",IF(E32&gt;X32,"Excess","Healthy"))))</f>
        <v>Reorder Now</v>
      </c>
      <c r="AB32" s="48" t="n">
        <f aca="false">IF($A32="","",RANK(AF32,$AF$5:$AF$504,0)+COUNTIF($AF$5:AF32,AF32)-1)</f>
        <v>34</v>
      </c>
      <c r="AC32" s="44" t="str">
        <f aca="false">IF($A32="","",Weekly_Demand!B32)</f>
        <v>PAPER CHAIN KIT VINTAGE CHRISTMAS</v>
      </c>
      <c r="AD32" s="59" t="n">
        <f aca="false">IF($A32="","",H32*SQRT(D32))</f>
        <v>704.027140763853</v>
      </c>
      <c r="AE32" s="53" t="n">
        <f aca="false">IF($A32="","",AD32*C32)</f>
        <v>1246.12803915202</v>
      </c>
      <c r="AF32" s="53" t="n">
        <f aca="false">IF($A32="","",ROUND(J32,2))</f>
        <v>16710.57</v>
      </c>
    </row>
    <row r="33" customFormat="false" ht="15" hidden="false" customHeight="false" outlineLevel="0" collapsed="false">
      <c r="A33" s="44" t="str">
        <f aca="false">IF(Weekly_Demand!A33="","",Weekly_Demand!A33)</f>
        <v>22114</v>
      </c>
      <c r="B33" s="44" t="str">
        <f aca="false">IF($A33="","",Weekly_Demand!C33)</f>
        <v>Other</v>
      </c>
      <c r="C33" s="45" t="n">
        <f aca="false">IF($A33="","",Weekly_Demand!D33)</f>
        <v>2.55</v>
      </c>
      <c r="D33" s="46" t="n">
        <f aca="false">IF($A33="","",Weekly_Demand!E33+Assumptions!$B$19)</f>
        <v>6</v>
      </c>
      <c r="E33" s="46" t="n">
        <f aca="false">IF($A33="","",Weekly_Demand!F33)</f>
        <v>1253</v>
      </c>
      <c r="F33" s="46" t="n">
        <f aca="false">IF($A33="","",SUM(Weekly_Demand!G33:BF33))</f>
        <v>5012</v>
      </c>
      <c r="G33" s="51" t="n">
        <f aca="false">IF($A33="","",IFERROR(F33/Assumptions!$B$6,0))</f>
        <v>96.3846153846154</v>
      </c>
      <c r="H33" s="51" t="n">
        <f aca="false">IF($A33="","",STDEV(Weekly_Demand!G33:BF33))</f>
        <v>163.985072712117</v>
      </c>
      <c r="I33" s="52" t="n">
        <f aca="false">IF($A33="","",IFERROR(H33/G33,0))</f>
        <v>1.70136148863329</v>
      </c>
      <c r="J33" s="53" t="n">
        <f aca="false">IF($A33="","",F33*C33)</f>
        <v>12780.6</v>
      </c>
      <c r="K33" s="54" t="n">
        <f aca="false">IF($A33="","",IFERROR(J33/$J$505,0))</f>
        <v>0.00330701049134601</v>
      </c>
      <c r="L33" s="54" t="n">
        <f aca="false">IF($A33="","",IFERROR(SUMIFS($J$5:$J$504,$AB$5:$AB$504,"&lt;="&amp;AB33)/$J$505,0))</f>
        <v>0.375005933903326</v>
      </c>
      <c r="M33" s="55" t="str">
        <f aca="false">IF($A33="","",IF(L33&lt;=Assumptions!$B$7,"A",IF(L33&lt;=Assumptions!$B$8,"B","C")))</f>
        <v>A</v>
      </c>
      <c r="N33" s="55" t="str">
        <f aca="false">IF($A33="","",IF(I33&lt;=Assumptions!$B$9,"X",IF(I33&lt;=Assumptions!$B$10,"Y","Z")))</f>
        <v>Z</v>
      </c>
      <c r="O33" s="56" t="str">
        <f aca="false">IF($A33="","",M33&amp;N33)</f>
        <v>AZ</v>
      </c>
      <c r="P33" s="57" t="n">
        <f aca="false">IF($A33="","",INDEX(Assumptions!$B$35:$B$37,MATCH(M33,Assumptions!$A$35:$A$37,0)))</f>
        <v>0.98</v>
      </c>
      <c r="Q33" s="58" t="n">
        <f aca="false">IF($A33="","",NORMSINV(P33))</f>
        <v>2.05374891063182</v>
      </c>
      <c r="R33" s="48" t="n">
        <f aca="false">IF($A33="","",ROUNDUP(Q33*H33*SQRT(D33),0))</f>
        <v>825</v>
      </c>
      <c r="S33" s="48" t="n">
        <f aca="false">IF($A33="","",ROUNDUP(G33*D33+R33,0))</f>
        <v>1404</v>
      </c>
      <c r="T33" s="46" t="n">
        <f aca="false">IF($A33="","",IFERROR(ROUND(SQRT(2*F33*Assumptions!$B$4/(Assumptions!$B$5*C33)),0),0))</f>
        <v>887</v>
      </c>
      <c r="U33" s="53" t="n">
        <f aca="false">IF($A33="","",R33*C33)</f>
        <v>2103.75</v>
      </c>
      <c r="V33" s="53" t="n">
        <f aca="false">IF($A33="","",E33*C33)</f>
        <v>3195.15</v>
      </c>
      <c r="W33" s="59" t="n">
        <f aca="false">IF($A33="","",IFERROR(E33/G33,0))</f>
        <v>13</v>
      </c>
      <c r="X33" s="48" t="n">
        <f aca="false">IF($A33="","",S33+T33)</f>
        <v>2291</v>
      </c>
      <c r="Y33" s="48" t="n">
        <f aca="false">IF($A33="","",MAX(0,E33-X33))</f>
        <v>0</v>
      </c>
      <c r="Z33" s="53" t="n">
        <f aca="false">IF($A33="","",Y33*C33)</f>
        <v>0</v>
      </c>
      <c r="AA33" s="56" t="str">
        <f aca="false">IF($A33="","",IF(E33&lt;=R33,"Below Safety Stock",IF(E33&lt;=S33,"Reorder Now",IF(E33&gt;X33,"Excess","Healthy"))))</f>
        <v>Reorder Now</v>
      </c>
      <c r="AB33" s="48" t="n">
        <f aca="false">IF($A33="","",RANK(AF33,$AF$5:$AF$504,0)+COUNTIF($AF$5:AF33,AF33)-1)</f>
        <v>70</v>
      </c>
      <c r="AC33" s="44" t="str">
        <f aca="false">IF($A33="","",Weekly_Demand!B33)</f>
        <v>HOT WATER BOTTLE TEA AND SYMPATHY</v>
      </c>
      <c r="AD33" s="59" t="n">
        <f aca="false">IF($A33="","",H33*SQRT(D33))</f>
        <v>401.679753577883</v>
      </c>
      <c r="AE33" s="53" t="n">
        <f aca="false">IF($A33="","",AD33*C33)</f>
        <v>1024.2833716236</v>
      </c>
      <c r="AF33" s="53" t="n">
        <f aca="false">IF($A33="","",ROUND(J33,2))</f>
        <v>12780.6</v>
      </c>
    </row>
    <row r="34" customFormat="false" ht="15" hidden="false" customHeight="false" outlineLevel="0" collapsed="false">
      <c r="A34" s="44" t="str">
        <f aca="false">IF(Weekly_Demand!A34="","",Weekly_Demand!A34)</f>
        <v>22699</v>
      </c>
      <c r="B34" s="44" t="str">
        <f aca="false">IF($A34="","",Weekly_Demand!C34)</f>
        <v>Other</v>
      </c>
      <c r="C34" s="45" t="n">
        <f aca="false">IF($A34="","",Weekly_Demand!D34)</f>
        <v>1.77</v>
      </c>
      <c r="D34" s="46" t="n">
        <f aca="false">IF($A34="","",Weekly_Demand!E34+Assumptions!$B$19)</f>
        <v>8</v>
      </c>
      <c r="E34" s="46" t="n">
        <f aca="false">IF($A34="","",Weekly_Demand!F34)</f>
        <v>547</v>
      </c>
      <c r="F34" s="46" t="n">
        <f aca="false">IF($A34="","",SUM(Weekly_Demand!G34:BF34))</f>
        <v>9485</v>
      </c>
      <c r="G34" s="51" t="n">
        <f aca="false">IF($A34="","",IFERROR(F34/Assumptions!$B$6,0))</f>
        <v>182.403846153846</v>
      </c>
      <c r="H34" s="51" t="n">
        <f aca="false">IF($A34="","",STDEV(Weekly_Demand!G34:BF34))</f>
        <v>133.929343328954</v>
      </c>
      <c r="I34" s="52" t="n">
        <f aca="false">IF($A34="","",IFERROR(H34/G34,0))</f>
        <v>0.734246268118673</v>
      </c>
      <c r="J34" s="53" t="n">
        <f aca="false">IF($A34="","",F34*C34)</f>
        <v>16788.45</v>
      </c>
      <c r="K34" s="54" t="n">
        <f aca="false">IF($A34="","",IFERROR(J34/$J$505,0))</f>
        <v>0.00434405116218628</v>
      </c>
      <c r="L34" s="54" t="n">
        <f aca="false">IF($A34="","",IFERROR(SUMIFS($J$5:$J$504,$AB$5:$AB$504,"&lt;="&amp;AB34)/$J$505,0))</f>
        <v>0.237701277119759</v>
      </c>
      <c r="M34" s="55" t="str">
        <f aca="false">IF($A34="","",IF(L34&lt;=Assumptions!$B$7,"A",IF(L34&lt;=Assumptions!$B$8,"B","C")))</f>
        <v>A</v>
      </c>
      <c r="N34" s="55" t="str">
        <f aca="false">IF($A34="","",IF(I34&lt;=Assumptions!$B$9,"X",IF(I34&lt;=Assumptions!$B$10,"Y","Z")))</f>
        <v>Y</v>
      </c>
      <c r="O34" s="56" t="str">
        <f aca="false">IF($A34="","",M34&amp;N34)</f>
        <v>AY</v>
      </c>
      <c r="P34" s="57" t="n">
        <f aca="false">IF($A34="","",INDEX(Assumptions!$B$35:$B$37,MATCH(M34,Assumptions!$A$35:$A$37,0)))</f>
        <v>0.98</v>
      </c>
      <c r="Q34" s="58" t="n">
        <f aca="false">IF($A34="","",NORMSINV(P34))</f>
        <v>2.05374891063182</v>
      </c>
      <c r="R34" s="48" t="n">
        <f aca="false">IF($A34="","",ROUNDUP(Q34*H34*SQRT(D34),0))</f>
        <v>778</v>
      </c>
      <c r="S34" s="48" t="n">
        <f aca="false">IF($A34="","",ROUNDUP(G34*D34+R34,0))</f>
        <v>2238</v>
      </c>
      <c r="T34" s="46" t="n">
        <f aca="false">IF($A34="","",IFERROR(ROUND(SQRT(2*F34*Assumptions!$B$4/(Assumptions!$B$5*C34)),0),0))</f>
        <v>1464</v>
      </c>
      <c r="U34" s="53" t="n">
        <f aca="false">IF($A34="","",R34*C34)</f>
        <v>1377.06</v>
      </c>
      <c r="V34" s="53" t="n">
        <f aca="false">IF($A34="","",E34*C34)</f>
        <v>968.19</v>
      </c>
      <c r="W34" s="59" t="n">
        <f aca="false">IF($A34="","",IFERROR(E34/G34,0))</f>
        <v>2.99884027411703</v>
      </c>
      <c r="X34" s="48" t="n">
        <f aca="false">IF($A34="","",S34+T34)</f>
        <v>3702</v>
      </c>
      <c r="Y34" s="48" t="n">
        <f aca="false">IF($A34="","",MAX(0,E34-X34))</f>
        <v>0</v>
      </c>
      <c r="Z34" s="53" t="n">
        <f aca="false">IF($A34="","",Y34*C34)</f>
        <v>0</v>
      </c>
      <c r="AA34" s="56" t="str">
        <f aca="false">IF($A34="","",IF(E34&lt;=R34,"Below Safety Stock",IF(E34&lt;=S34,"Reorder Now",IF(E34&gt;X34,"Excess","Healthy"))))</f>
        <v>Below Safety Stock</v>
      </c>
      <c r="AB34" s="48" t="n">
        <f aca="false">IF($A34="","",RANK(AF34,$AF$5:$AF$504,0)+COUNTIF($AF$5:AF34,AF34)-1)</f>
        <v>33</v>
      </c>
      <c r="AC34" s="44" t="str">
        <f aca="false">IF($A34="","",Weekly_Demand!B34)</f>
        <v>ROSES REGENCY TEACUP AND SAUCER</v>
      </c>
      <c r="AD34" s="59" t="n">
        <f aca="false">IF($A34="","",H34*SQRT(D34))</f>
        <v>378.809387471059</v>
      </c>
      <c r="AE34" s="53" t="n">
        <f aca="false">IF($A34="","",AD34*C34)</f>
        <v>670.492615823775</v>
      </c>
      <c r="AF34" s="53" t="n">
        <f aca="false">IF($A34="","",ROUND(J34,2))</f>
        <v>16788.45</v>
      </c>
    </row>
    <row r="35" customFormat="false" ht="15" hidden="false" customHeight="false" outlineLevel="0" collapsed="false">
      <c r="A35" s="44" t="str">
        <f aca="false">IF(Weekly_Demand!A35="","",Weekly_Demand!A35)</f>
        <v>22411</v>
      </c>
      <c r="B35" s="44" t="str">
        <f aca="false">IF($A35="","",Weekly_Demand!C35)</f>
        <v>Other</v>
      </c>
      <c r="C35" s="45" t="n">
        <f aca="false">IF($A35="","",Weekly_Demand!D35)</f>
        <v>1.248</v>
      </c>
      <c r="D35" s="46" t="n">
        <f aca="false">IF($A35="","",Weekly_Demand!E35+Assumptions!$B$19)</f>
        <v>8</v>
      </c>
      <c r="E35" s="46" t="n">
        <f aca="false">IF($A35="","",Weekly_Demand!F35)</f>
        <v>3031</v>
      </c>
      <c r="F35" s="46" t="n">
        <f aca="false">IF($A35="","",SUM(Weekly_Demand!G35:BF35))</f>
        <v>12122</v>
      </c>
      <c r="G35" s="51" t="n">
        <f aca="false">IF($A35="","",IFERROR(F35/Assumptions!$B$6,0))</f>
        <v>233.115384615385</v>
      </c>
      <c r="H35" s="51" t="n">
        <f aca="false">IF($A35="","",STDEV(Weekly_Demand!G35:BF35))</f>
        <v>134.607294305477</v>
      </c>
      <c r="I35" s="52" t="n">
        <f aca="false">IF($A35="","",IFERROR(H35/G35,0))</f>
        <v>0.577427759766112</v>
      </c>
      <c r="J35" s="53" t="n">
        <f aca="false">IF($A35="","",F35*C35)</f>
        <v>15128.256</v>
      </c>
      <c r="K35" s="54" t="n">
        <f aca="false">IF($A35="","",IFERROR(J35/$J$505,0))</f>
        <v>0.00391447203634949</v>
      </c>
      <c r="L35" s="54" t="n">
        <f aca="false">IF($A35="","",IFERROR(SUMIFS($J$5:$J$504,$AB$5:$AB$504,"&lt;="&amp;AB35)/$J$505,0))</f>
        <v>0.279285057835027</v>
      </c>
      <c r="M35" s="55" t="str">
        <f aca="false">IF($A35="","",IF(L35&lt;=Assumptions!$B$7,"A",IF(L35&lt;=Assumptions!$B$8,"B","C")))</f>
        <v>A</v>
      </c>
      <c r="N35" s="55" t="str">
        <f aca="false">IF($A35="","",IF(I35&lt;=Assumptions!$B$9,"X",IF(I35&lt;=Assumptions!$B$10,"Y","Z")))</f>
        <v>Y</v>
      </c>
      <c r="O35" s="56" t="str">
        <f aca="false">IF($A35="","",M35&amp;N35)</f>
        <v>AY</v>
      </c>
      <c r="P35" s="57" t="n">
        <f aca="false">IF($A35="","",INDEX(Assumptions!$B$35:$B$37,MATCH(M35,Assumptions!$A$35:$A$37,0)))</f>
        <v>0.98</v>
      </c>
      <c r="Q35" s="58" t="n">
        <f aca="false">IF($A35="","",NORMSINV(P35))</f>
        <v>2.05374891063182</v>
      </c>
      <c r="R35" s="48" t="n">
        <f aca="false">IF($A35="","",ROUNDUP(Q35*H35*SQRT(D35),0))</f>
        <v>782</v>
      </c>
      <c r="S35" s="48" t="n">
        <f aca="false">IF($A35="","",ROUNDUP(G35*D35+R35,0))</f>
        <v>2647</v>
      </c>
      <c r="T35" s="46" t="n">
        <f aca="false">IF($A35="","",IFERROR(ROUND(SQRT(2*F35*Assumptions!$B$4/(Assumptions!$B$5*C35)),0),0))</f>
        <v>1971</v>
      </c>
      <c r="U35" s="53" t="n">
        <f aca="false">IF($A35="","",R35*C35)</f>
        <v>975.936</v>
      </c>
      <c r="V35" s="53" t="n">
        <f aca="false">IF($A35="","",E35*C35)</f>
        <v>3782.688</v>
      </c>
      <c r="W35" s="59" t="n">
        <f aca="false">IF($A35="","",IFERROR(E35/G35,0))</f>
        <v>13.0021448605841</v>
      </c>
      <c r="X35" s="48" t="n">
        <f aca="false">IF($A35="","",S35+T35)</f>
        <v>4618</v>
      </c>
      <c r="Y35" s="48" t="n">
        <f aca="false">IF($A35="","",MAX(0,E35-X35))</f>
        <v>0</v>
      </c>
      <c r="Z35" s="53" t="n">
        <f aca="false">IF($A35="","",Y35*C35)</f>
        <v>0</v>
      </c>
      <c r="AA35" s="56" t="str">
        <f aca="false">IF($A35="","",IF(E35&lt;=R35,"Below Safety Stock",IF(E35&lt;=S35,"Reorder Now",IF(E35&gt;X35,"Excess","Healthy"))))</f>
        <v>Healthy</v>
      </c>
      <c r="AB35" s="48" t="n">
        <f aca="false">IF($A35="","",RANK(AF35,$AF$5:$AF$504,0)+COUNTIF($AF$5:AF35,AF35)-1)</f>
        <v>43</v>
      </c>
      <c r="AC35" s="44" t="str">
        <f aca="false">IF($A35="","",Weekly_Demand!B35)</f>
        <v>JUMBO SHOPPER VINTAGE RED PAISLEY</v>
      </c>
      <c r="AD35" s="59" t="n">
        <f aca="false">IF($A35="","",H35*SQRT(D35))</f>
        <v>380.726922402305</v>
      </c>
      <c r="AE35" s="53" t="n">
        <f aca="false">IF($A35="","",AD35*C35)</f>
        <v>475.147199158076</v>
      </c>
      <c r="AF35" s="53" t="n">
        <f aca="false">IF($A35="","",ROUND(J35,2))</f>
        <v>15128.26</v>
      </c>
    </row>
    <row r="36" customFormat="false" ht="15" hidden="false" customHeight="false" outlineLevel="0" collapsed="false">
      <c r="A36" s="44" t="str">
        <f aca="false">IF(Weekly_Demand!A36="","",Weekly_Demand!A36)</f>
        <v>23201</v>
      </c>
      <c r="B36" s="44" t="str">
        <f aca="false">IF($A36="","",Weekly_Demand!C36)</f>
        <v>Bags</v>
      </c>
      <c r="C36" s="45" t="n">
        <f aca="false">IF($A36="","",Weekly_Demand!D36)</f>
        <v>1.248</v>
      </c>
      <c r="D36" s="46" t="n">
        <f aca="false">IF($A36="","",Weekly_Demand!E36+Assumptions!$B$19)</f>
        <v>4</v>
      </c>
      <c r="E36" s="46" t="n">
        <f aca="false">IF($A36="","",Weekly_Demand!F36)</f>
        <v>9406</v>
      </c>
      <c r="F36" s="46" t="n">
        <f aca="false">IF($A36="","",SUM(Weekly_Demand!G36:BF36))</f>
        <v>13219</v>
      </c>
      <c r="G36" s="51" t="n">
        <f aca="false">IF($A36="","",IFERROR(F36/Assumptions!$B$6,0))</f>
        <v>254.211538461538</v>
      </c>
      <c r="H36" s="51" t="n">
        <f aca="false">IF($A36="","",STDEV(Weekly_Demand!G36:BF36))</f>
        <v>256.188452123643</v>
      </c>
      <c r="I36" s="52" t="n">
        <f aca="false">IF($A36="","",IFERROR(H36/G36,0))</f>
        <v>1.00777664803914</v>
      </c>
      <c r="J36" s="53" t="n">
        <f aca="false">IF($A36="","",F36*C36)</f>
        <v>16497.312</v>
      </c>
      <c r="K36" s="54" t="n">
        <f aca="false">IF($A36="","",IFERROR(J36/$J$505,0))</f>
        <v>0.00426871851579804</v>
      </c>
      <c r="L36" s="54" t="n">
        <f aca="false">IF($A36="","",IFERROR(SUMIFS($J$5:$J$504,$AB$5:$AB$504,"&lt;="&amp;AB36)/$J$505,0))</f>
        <v>0.250607177046777</v>
      </c>
      <c r="M36" s="55" t="str">
        <f aca="false">IF($A36="","",IF(L36&lt;=Assumptions!$B$7,"A",IF(L36&lt;=Assumptions!$B$8,"B","C")))</f>
        <v>A</v>
      </c>
      <c r="N36" s="55" t="str">
        <f aca="false">IF($A36="","",IF(I36&lt;=Assumptions!$B$9,"X",IF(I36&lt;=Assumptions!$B$10,"Y","Z")))</f>
        <v>Z</v>
      </c>
      <c r="O36" s="56" t="str">
        <f aca="false">IF($A36="","",M36&amp;N36)</f>
        <v>AZ</v>
      </c>
      <c r="P36" s="57" t="n">
        <f aca="false">IF($A36="","",INDEX(Assumptions!$B$35:$B$37,MATCH(M36,Assumptions!$A$35:$A$37,0)))</f>
        <v>0.98</v>
      </c>
      <c r="Q36" s="58" t="n">
        <f aca="false">IF($A36="","",NORMSINV(P36))</f>
        <v>2.05374891063182</v>
      </c>
      <c r="R36" s="48" t="n">
        <f aca="false">IF($A36="","",ROUNDUP(Q36*H36*SQRT(D36),0))</f>
        <v>1053</v>
      </c>
      <c r="S36" s="48" t="n">
        <f aca="false">IF($A36="","",ROUNDUP(G36*D36+R36,0))</f>
        <v>2070</v>
      </c>
      <c r="T36" s="46" t="n">
        <f aca="false">IF($A36="","",IFERROR(ROUND(SQRT(2*F36*Assumptions!$B$4/(Assumptions!$B$5*C36)),0),0))</f>
        <v>2058</v>
      </c>
      <c r="U36" s="53" t="n">
        <f aca="false">IF($A36="","",R36*C36)</f>
        <v>1314.144</v>
      </c>
      <c r="V36" s="53" t="n">
        <f aca="false">IF($A36="","",E36*C36)</f>
        <v>11738.688</v>
      </c>
      <c r="W36" s="59" t="n">
        <f aca="false">IF($A36="","",IFERROR(E36/G36,0))</f>
        <v>37.0006808381875</v>
      </c>
      <c r="X36" s="48" t="n">
        <f aca="false">IF($A36="","",S36+T36)</f>
        <v>4128</v>
      </c>
      <c r="Y36" s="48" t="n">
        <f aca="false">IF($A36="","",MAX(0,E36-X36))</f>
        <v>5278</v>
      </c>
      <c r="Z36" s="53" t="n">
        <f aca="false">IF($A36="","",Y36*C36)</f>
        <v>6586.944</v>
      </c>
      <c r="AA36" s="56" t="str">
        <f aca="false">IF($A36="","",IF(E36&lt;=R36,"Below Safety Stock",IF(E36&lt;=S36,"Reorder Now",IF(E36&gt;X36,"Excess","Healthy"))))</f>
        <v>Excess</v>
      </c>
      <c r="AB36" s="48" t="n">
        <f aca="false">IF($A36="","",RANK(AF36,$AF$5:$AF$504,0)+COUNTIF($AF$5:AF36,AF36)-1)</f>
        <v>36</v>
      </c>
      <c r="AC36" s="44" t="str">
        <f aca="false">IF($A36="","",Weekly_Demand!B36)</f>
        <v>JUMBO BAG ALPHABET</v>
      </c>
      <c r="AD36" s="59" t="n">
        <f aca="false">IF($A36="","",H36*SQRT(D36))</f>
        <v>512.376904247287</v>
      </c>
      <c r="AE36" s="53" t="n">
        <f aca="false">IF($A36="","",AD36*C36)</f>
        <v>639.446376500614</v>
      </c>
      <c r="AF36" s="53" t="n">
        <f aca="false">IF($A36="","",ROUND(J36,2))</f>
        <v>16497.31</v>
      </c>
    </row>
    <row r="37" customFormat="false" ht="15" hidden="false" customHeight="false" outlineLevel="0" collapsed="false">
      <c r="A37" s="44" t="str">
        <f aca="false">IF(Weekly_Demand!A37="","",Weekly_Demand!A37)</f>
        <v>22355</v>
      </c>
      <c r="B37" s="44" t="str">
        <f aca="false">IF($A37="","",Weekly_Demand!C37)</f>
        <v>Bags</v>
      </c>
      <c r="C37" s="45" t="n">
        <f aca="false">IF($A37="","",Weekly_Demand!D37)</f>
        <v>0.51</v>
      </c>
      <c r="D37" s="46" t="n">
        <f aca="false">IF($A37="","",Weekly_Demand!E37+Assumptions!$B$19)</f>
        <v>8</v>
      </c>
      <c r="E37" s="46" t="n">
        <f aca="false">IF($A37="","",Weekly_Demand!F37)</f>
        <v>11522</v>
      </c>
      <c r="F37" s="46" t="n">
        <f aca="false">IF($A37="","",SUM(Weekly_Demand!G37:BF37))</f>
        <v>17118</v>
      </c>
      <c r="G37" s="51" t="n">
        <f aca="false">IF($A37="","",IFERROR(F37/Assumptions!$B$6,0))</f>
        <v>329.192307692308</v>
      </c>
      <c r="H37" s="51" t="n">
        <f aca="false">IF($A37="","",STDEV(Weekly_Demand!G37:BF37))</f>
        <v>159.70414294251</v>
      </c>
      <c r="I37" s="52" t="n">
        <f aca="false">IF($A37="","",IFERROR(H37/G37,0))</f>
        <v>0.485139352319809</v>
      </c>
      <c r="J37" s="53" t="n">
        <f aca="false">IF($A37="","",F37*C37)</f>
        <v>8730.18</v>
      </c>
      <c r="K37" s="54" t="n">
        <f aca="false">IF($A37="","",IFERROR(J37/$J$505,0))</f>
        <v>0.00225895473227698</v>
      </c>
      <c r="L37" s="54" t="n">
        <f aca="false">IF($A37="","",IFERROR(SUMIFS($J$5:$J$504,$AB$5:$AB$504,"&lt;="&amp;AB37)/$J$505,0))</f>
        <v>0.544644797660848</v>
      </c>
      <c r="M37" s="55" t="str">
        <f aca="false">IF($A37="","",IF(L37&lt;=Assumptions!$B$7,"A",IF(L37&lt;=Assumptions!$B$8,"B","C")))</f>
        <v>A</v>
      </c>
      <c r="N37" s="55" t="str">
        <f aca="false">IF($A37="","",IF(I37&lt;=Assumptions!$B$9,"X",IF(I37&lt;=Assumptions!$B$10,"Y","Z")))</f>
        <v>X</v>
      </c>
      <c r="O37" s="56" t="str">
        <f aca="false">IF($A37="","",M37&amp;N37)</f>
        <v>AX</v>
      </c>
      <c r="P37" s="57" t="n">
        <f aca="false">IF($A37="","",INDEX(Assumptions!$B$35:$B$37,MATCH(M37,Assumptions!$A$35:$A$37,0)))</f>
        <v>0.98</v>
      </c>
      <c r="Q37" s="58" t="n">
        <f aca="false">IF($A37="","",NORMSINV(P37))</f>
        <v>2.05374891063182</v>
      </c>
      <c r="R37" s="48" t="n">
        <f aca="false">IF($A37="","",ROUNDUP(Q37*H37*SQRT(D37),0))</f>
        <v>928</v>
      </c>
      <c r="S37" s="48" t="n">
        <f aca="false">IF($A37="","",ROUNDUP(G37*D37+R37,0))</f>
        <v>3562</v>
      </c>
      <c r="T37" s="46" t="n">
        <f aca="false">IF($A37="","",IFERROR(ROUND(SQRT(2*F37*Assumptions!$B$4/(Assumptions!$B$5*C37)),0),0))</f>
        <v>3664</v>
      </c>
      <c r="U37" s="53" t="n">
        <f aca="false">IF($A37="","",R37*C37)</f>
        <v>473.28</v>
      </c>
      <c r="V37" s="53" t="n">
        <f aca="false">IF($A37="","",E37*C37)</f>
        <v>5876.22</v>
      </c>
      <c r="W37" s="59" t="n">
        <f aca="false">IF($A37="","",IFERROR(E37/G37,0))</f>
        <v>35.0008178525529</v>
      </c>
      <c r="X37" s="48" t="n">
        <f aca="false">IF($A37="","",S37+T37)</f>
        <v>7226</v>
      </c>
      <c r="Y37" s="48" t="n">
        <f aca="false">IF($A37="","",MAX(0,E37-X37))</f>
        <v>4296</v>
      </c>
      <c r="Z37" s="53" t="n">
        <f aca="false">IF($A37="","",Y37*C37)</f>
        <v>2190.96</v>
      </c>
      <c r="AA37" s="56" t="str">
        <f aca="false">IF($A37="","",IF(E37&lt;=R37,"Below Safety Stock",IF(E37&lt;=S37,"Reorder Now",IF(E37&gt;X37,"Excess","Healthy"))))</f>
        <v>Excess</v>
      </c>
      <c r="AB37" s="48" t="n">
        <f aca="false">IF($A37="","",RANK(AF37,$AF$5:$AF$504,0)+COUNTIF($AF$5:AF37,AF37)-1)</f>
        <v>132</v>
      </c>
      <c r="AC37" s="44" t="str">
        <f aca="false">IF($A37="","",Weekly_Demand!B37)</f>
        <v>CHARLOTTE BAG SUKI DESIGN</v>
      </c>
      <c r="AD37" s="59" t="n">
        <f aca="false">IF($A37="","",H37*SQRT(D37))</f>
        <v>451.711529832937</v>
      </c>
      <c r="AE37" s="53" t="n">
        <f aca="false">IF($A37="","",AD37*C37)</f>
        <v>230.372880214798</v>
      </c>
      <c r="AF37" s="53" t="n">
        <f aca="false">IF($A37="","",ROUND(J37,2))</f>
        <v>8730.18</v>
      </c>
    </row>
    <row r="38" customFormat="false" ht="15" hidden="false" customHeight="false" outlineLevel="0" collapsed="false">
      <c r="A38" s="44" t="str">
        <f aca="false">IF(Weekly_Demand!A38="","",Weekly_Demand!A38)</f>
        <v>85099C</v>
      </c>
      <c r="B38" s="44" t="str">
        <f aca="false">IF($A38="","",Weekly_Demand!C38)</f>
        <v>Bags</v>
      </c>
      <c r="C38" s="45" t="n">
        <f aca="false">IF($A38="","",Weekly_Demand!D38)</f>
        <v>1.248</v>
      </c>
      <c r="D38" s="46" t="n">
        <f aca="false">IF($A38="","",Weekly_Demand!E38+Assumptions!$B$19)</f>
        <v>8</v>
      </c>
      <c r="E38" s="46" t="n">
        <f aca="false">IF($A38="","",Weekly_Demand!F38)</f>
        <v>3385</v>
      </c>
      <c r="F38" s="46" t="n">
        <f aca="false">IF($A38="","",SUM(Weekly_Demand!G38:BF38))</f>
        <v>13539</v>
      </c>
      <c r="G38" s="51" t="n">
        <f aca="false">IF($A38="","",IFERROR(F38/Assumptions!$B$6,0))</f>
        <v>260.365384615385</v>
      </c>
      <c r="H38" s="51" t="n">
        <f aca="false">IF($A38="","",STDEV(Weekly_Demand!G38:BF38))</f>
        <v>149.236754770261</v>
      </c>
      <c r="I38" s="52" t="n">
        <f aca="false">IF($A38="","",IFERROR(H38/G38,0))</f>
        <v>0.573182011083061</v>
      </c>
      <c r="J38" s="53" t="n">
        <f aca="false">IF($A38="","",F38*C38)</f>
        <v>16896.672</v>
      </c>
      <c r="K38" s="54" t="n">
        <f aca="false">IF($A38="","",IFERROR(J38/$J$505,0))</f>
        <v>0.00437205386076025</v>
      </c>
      <c r="L38" s="54" t="n">
        <f aca="false">IF($A38="","",IFERROR(SUMIFS($J$5:$J$504,$AB$5:$AB$504,"&lt;="&amp;AB38)/$J$505,0))</f>
        <v>0.233357225957572</v>
      </c>
      <c r="M38" s="55" t="str">
        <f aca="false">IF($A38="","",IF(L38&lt;=Assumptions!$B$7,"A",IF(L38&lt;=Assumptions!$B$8,"B","C")))</f>
        <v>A</v>
      </c>
      <c r="N38" s="55" t="str">
        <f aca="false">IF($A38="","",IF(I38&lt;=Assumptions!$B$9,"X",IF(I38&lt;=Assumptions!$B$10,"Y","Z")))</f>
        <v>Y</v>
      </c>
      <c r="O38" s="56" t="str">
        <f aca="false">IF($A38="","",M38&amp;N38)</f>
        <v>AY</v>
      </c>
      <c r="P38" s="57" t="n">
        <f aca="false">IF($A38="","",INDEX(Assumptions!$B$35:$B$37,MATCH(M38,Assumptions!$A$35:$A$37,0)))</f>
        <v>0.98</v>
      </c>
      <c r="Q38" s="58" t="n">
        <f aca="false">IF($A38="","",NORMSINV(P38))</f>
        <v>2.05374891063182</v>
      </c>
      <c r="R38" s="48" t="n">
        <f aca="false">IF($A38="","",ROUNDUP(Q38*H38*SQRT(D38),0))</f>
        <v>867</v>
      </c>
      <c r="S38" s="48" t="n">
        <f aca="false">IF($A38="","",ROUNDUP(G38*D38+R38,0))</f>
        <v>2950</v>
      </c>
      <c r="T38" s="46" t="n">
        <f aca="false">IF($A38="","",IFERROR(ROUND(SQRT(2*F38*Assumptions!$B$4/(Assumptions!$B$5*C38)),0),0))</f>
        <v>2083</v>
      </c>
      <c r="U38" s="53" t="n">
        <f aca="false">IF($A38="","",R38*C38)</f>
        <v>1082.016</v>
      </c>
      <c r="V38" s="53" t="n">
        <f aca="false">IF($A38="","",E38*C38)</f>
        <v>4224.48</v>
      </c>
      <c r="W38" s="59" t="n">
        <f aca="false">IF($A38="","",IFERROR(E38/G38,0))</f>
        <v>13.0009601890834</v>
      </c>
      <c r="X38" s="48" t="n">
        <f aca="false">IF($A38="","",S38+T38)</f>
        <v>5033</v>
      </c>
      <c r="Y38" s="48" t="n">
        <f aca="false">IF($A38="","",MAX(0,E38-X38))</f>
        <v>0</v>
      </c>
      <c r="Z38" s="53" t="n">
        <f aca="false">IF($A38="","",Y38*C38)</f>
        <v>0</v>
      </c>
      <c r="AA38" s="56" t="str">
        <f aca="false">IF($A38="","",IF(E38&lt;=R38,"Below Safety Stock",IF(E38&lt;=S38,"Reorder Now",IF(E38&gt;X38,"Excess","Healthy"))))</f>
        <v>Healthy</v>
      </c>
      <c r="AB38" s="48" t="n">
        <f aca="false">IF($A38="","",RANK(AF38,$AF$5:$AF$504,0)+COUNTIF($AF$5:AF38,AF38)-1)</f>
        <v>32</v>
      </c>
      <c r="AC38" s="44" t="str">
        <f aca="false">IF($A38="","",Weekly_Demand!B38)</f>
        <v>JUMBO  BAG BAROQUE BLACK WHITE</v>
      </c>
      <c r="AD38" s="59" t="n">
        <f aca="false">IF($A38="","",H38*SQRT(D38))</f>
        <v>422.105285201301</v>
      </c>
      <c r="AE38" s="53" t="n">
        <f aca="false">IF($A38="","",AD38*C38)</f>
        <v>526.787395931224</v>
      </c>
      <c r="AF38" s="53" t="n">
        <f aca="false">IF($A38="","",ROUND(J38,2))</f>
        <v>16896.67</v>
      </c>
    </row>
    <row r="39" customFormat="false" ht="15" hidden="false" customHeight="false" outlineLevel="0" collapsed="false">
      <c r="A39" s="44" t="str">
        <f aca="false">IF(Weekly_Demand!A39="","",Weekly_Demand!A39)</f>
        <v>20685</v>
      </c>
      <c r="B39" s="44" t="str">
        <f aca="false">IF($A39="","",Weekly_Demand!C39)</f>
        <v>Other</v>
      </c>
      <c r="C39" s="45" t="n">
        <f aca="false">IF($A39="","",Weekly_Demand!D39)</f>
        <v>4.77</v>
      </c>
      <c r="D39" s="46" t="n">
        <f aca="false">IF($A39="","",Weekly_Demand!E39+Assumptions!$B$19)</f>
        <v>4</v>
      </c>
      <c r="E39" s="46" t="n">
        <f aca="false">IF($A39="","",Weekly_Demand!F39)</f>
        <v>76</v>
      </c>
      <c r="F39" s="46" t="n">
        <f aca="false">IF($A39="","",SUM(Weekly_Demand!G39:BF39))</f>
        <v>3929</v>
      </c>
      <c r="G39" s="51" t="n">
        <f aca="false">IF($A39="","",IFERROR(F39/Assumptions!$B$6,0))</f>
        <v>75.5576923076923</v>
      </c>
      <c r="H39" s="51" t="n">
        <f aca="false">IF($A39="","",STDEV(Weekly_Demand!G39:BF39))</f>
        <v>96.0272456152549</v>
      </c>
      <c r="I39" s="52" t="n">
        <f aca="false">IF($A39="","",IFERROR(H39/G39,0))</f>
        <v>1.27091289691862</v>
      </c>
      <c r="J39" s="53" t="n">
        <f aca="false">IF($A39="","",F39*C39)</f>
        <v>18741.33</v>
      </c>
      <c r="K39" s="54" t="n">
        <f aca="false">IF($A39="","",IFERROR(J39/$J$505,0))</f>
        <v>0.00484936348307417</v>
      </c>
      <c r="L39" s="54" t="n">
        <f aca="false">IF($A39="","",IFERROR(SUMIFS($J$5:$J$504,$AB$5:$AB$504,"&lt;="&amp;AB39)/$J$505,0))</f>
        <v>0.182839635811033</v>
      </c>
      <c r="M39" s="55" t="str">
        <f aca="false">IF($A39="","",IF(L39&lt;=Assumptions!$B$7,"A",IF(L39&lt;=Assumptions!$B$8,"B","C")))</f>
        <v>A</v>
      </c>
      <c r="N39" s="55" t="str">
        <f aca="false">IF($A39="","",IF(I39&lt;=Assumptions!$B$9,"X",IF(I39&lt;=Assumptions!$B$10,"Y","Z")))</f>
        <v>Z</v>
      </c>
      <c r="O39" s="56" t="str">
        <f aca="false">IF($A39="","",M39&amp;N39)</f>
        <v>AZ</v>
      </c>
      <c r="P39" s="57" t="n">
        <f aca="false">IF($A39="","",INDEX(Assumptions!$B$35:$B$37,MATCH(M39,Assumptions!$A$35:$A$37,0)))</f>
        <v>0.98</v>
      </c>
      <c r="Q39" s="58" t="n">
        <f aca="false">IF($A39="","",NORMSINV(P39))</f>
        <v>2.05374891063182</v>
      </c>
      <c r="R39" s="48" t="n">
        <f aca="false">IF($A39="","",ROUNDUP(Q39*H39*SQRT(D39),0))</f>
        <v>395</v>
      </c>
      <c r="S39" s="48" t="n">
        <f aca="false">IF($A39="","",ROUNDUP(G39*D39+R39,0))</f>
        <v>698</v>
      </c>
      <c r="T39" s="46" t="n">
        <f aca="false">IF($A39="","",IFERROR(ROUND(SQRT(2*F39*Assumptions!$B$4/(Assumptions!$B$5*C39)),0),0))</f>
        <v>574</v>
      </c>
      <c r="U39" s="53" t="n">
        <f aca="false">IF($A39="","",R39*C39)</f>
        <v>1884.15</v>
      </c>
      <c r="V39" s="53" t="n">
        <f aca="false">IF($A39="","",E39*C39)</f>
        <v>362.52</v>
      </c>
      <c r="W39" s="59" t="n">
        <f aca="false">IF($A39="","",IFERROR(E39/G39,0))</f>
        <v>1.00585390684653</v>
      </c>
      <c r="X39" s="48" t="n">
        <f aca="false">IF($A39="","",S39+T39)</f>
        <v>1272</v>
      </c>
      <c r="Y39" s="48" t="n">
        <f aca="false">IF($A39="","",MAX(0,E39-X39))</f>
        <v>0</v>
      </c>
      <c r="Z39" s="53" t="n">
        <f aca="false">IF($A39="","",Y39*C39)</f>
        <v>0</v>
      </c>
      <c r="AA39" s="56" t="str">
        <f aca="false">IF($A39="","",IF(E39&lt;=R39,"Below Safety Stock",IF(E39&lt;=S39,"Reorder Now",IF(E39&gt;X39,"Excess","Healthy"))))</f>
        <v>Below Safety Stock</v>
      </c>
      <c r="AB39" s="48" t="n">
        <f aca="false">IF($A39="","",RANK(AF39,$AF$5:$AF$504,0)+COUNTIF($AF$5:AF39,AF39)-1)</f>
        <v>21</v>
      </c>
      <c r="AC39" s="44" t="str">
        <f aca="false">IF($A39="","",Weekly_Demand!B39)</f>
        <v>DOORMAT RED RETROSPOT</v>
      </c>
      <c r="AD39" s="59" t="n">
        <f aca="false">IF($A39="","",H39*SQRT(D39))</f>
        <v>192.05449123051</v>
      </c>
      <c r="AE39" s="53" t="n">
        <f aca="false">IF($A39="","",AD39*C39)</f>
        <v>916.099923169532</v>
      </c>
      <c r="AF39" s="53" t="n">
        <f aca="false">IF($A39="","",ROUND(J39,2))</f>
        <v>18741.33</v>
      </c>
    </row>
    <row r="40" customFormat="false" ht="15" hidden="false" customHeight="false" outlineLevel="0" collapsed="false">
      <c r="A40" s="44" t="str">
        <f aca="false">IF(Weekly_Demand!A40="","",Weekly_Demand!A40)</f>
        <v>22727</v>
      </c>
      <c r="B40" s="44" t="str">
        <f aca="false">IF($A40="","",Weekly_Demand!C40)</f>
        <v>Other</v>
      </c>
      <c r="C40" s="45" t="n">
        <f aca="false">IF($A40="","",Weekly_Demand!D40)</f>
        <v>2.25</v>
      </c>
      <c r="D40" s="46" t="n">
        <f aca="false">IF($A40="","",Weekly_Demand!E40+Assumptions!$B$19)</f>
        <v>8</v>
      </c>
      <c r="E40" s="46" t="n">
        <f aca="false">IF($A40="","",Weekly_Demand!F40)</f>
        <v>2046</v>
      </c>
      <c r="F40" s="46" t="n">
        <f aca="false">IF($A40="","",SUM(Weekly_Demand!G40:BF40))</f>
        <v>6650</v>
      </c>
      <c r="G40" s="51" t="n">
        <f aca="false">IF($A40="","",IFERROR(F40/Assumptions!$B$6,0))</f>
        <v>127.884615384615</v>
      </c>
      <c r="H40" s="51" t="n">
        <f aca="false">IF($A40="","",STDEV(Weekly_Demand!G40:BF40))</f>
        <v>133.422468320708</v>
      </c>
      <c r="I40" s="52" t="n">
        <f aca="false">IF($A40="","",IFERROR(H40/G40,0))</f>
        <v>1.04330351168072</v>
      </c>
      <c r="J40" s="53" t="n">
        <f aca="false">IF($A40="","",F40*C40)</f>
        <v>14962.5</v>
      </c>
      <c r="K40" s="54" t="n">
        <f aca="false">IF($A40="","",IFERROR(J40/$J$505,0))</f>
        <v>0.00387158227913906</v>
      </c>
      <c r="L40" s="54" t="n">
        <f aca="false">IF($A40="","",IFERROR(SUMIFS($J$5:$J$504,$AB$5:$AB$504,"&lt;="&amp;AB40)/$J$505,0))</f>
        <v>0.283156640114166</v>
      </c>
      <c r="M40" s="55" t="str">
        <f aca="false">IF($A40="","",IF(L40&lt;=Assumptions!$B$7,"A",IF(L40&lt;=Assumptions!$B$8,"B","C")))</f>
        <v>A</v>
      </c>
      <c r="N40" s="55" t="str">
        <f aca="false">IF($A40="","",IF(I40&lt;=Assumptions!$B$9,"X",IF(I40&lt;=Assumptions!$B$10,"Y","Z")))</f>
        <v>Z</v>
      </c>
      <c r="O40" s="56" t="str">
        <f aca="false">IF($A40="","",M40&amp;N40)</f>
        <v>AZ</v>
      </c>
      <c r="P40" s="57" t="n">
        <f aca="false">IF($A40="","",INDEX(Assumptions!$B$35:$B$37,MATCH(M40,Assumptions!$A$35:$A$37,0)))</f>
        <v>0.98</v>
      </c>
      <c r="Q40" s="58" t="n">
        <f aca="false">IF($A40="","",NORMSINV(P40))</f>
        <v>2.05374891063182</v>
      </c>
      <c r="R40" s="48" t="n">
        <f aca="false">IF($A40="","",ROUNDUP(Q40*H40*SQRT(D40),0))</f>
        <v>776</v>
      </c>
      <c r="S40" s="48" t="n">
        <f aca="false">IF($A40="","",ROUNDUP(G40*D40+R40,0))</f>
        <v>1800</v>
      </c>
      <c r="T40" s="46" t="n">
        <f aca="false">IF($A40="","",IFERROR(ROUND(SQRT(2*F40*Assumptions!$B$4/(Assumptions!$B$5*C40)),0),0))</f>
        <v>1087</v>
      </c>
      <c r="U40" s="53" t="n">
        <f aca="false">IF($A40="","",R40*C40)</f>
        <v>1746</v>
      </c>
      <c r="V40" s="53" t="n">
        <f aca="false">IF($A40="","",E40*C40)</f>
        <v>4603.5</v>
      </c>
      <c r="W40" s="59" t="n">
        <f aca="false">IF($A40="","",IFERROR(E40/G40,0))</f>
        <v>15.9987969924812</v>
      </c>
      <c r="X40" s="48" t="n">
        <f aca="false">IF($A40="","",S40+T40)</f>
        <v>2887</v>
      </c>
      <c r="Y40" s="48" t="n">
        <f aca="false">IF($A40="","",MAX(0,E40-X40))</f>
        <v>0</v>
      </c>
      <c r="Z40" s="53" t="n">
        <f aca="false">IF($A40="","",Y40*C40)</f>
        <v>0</v>
      </c>
      <c r="AA40" s="56" t="str">
        <f aca="false">IF($A40="","",IF(E40&lt;=R40,"Below Safety Stock",IF(E40&lt;=S40,"Reorder Now",IF(E40&gt;X40,"Excess","Healthy"))))</f>
        <v>Healthy</v>
      </c>
      <c r="AB40" s="48" t="n">
        <f aca="false">IF($A40="","",RANK(AF40,$AF$5:$AF$504,0)+COUNTIF($AF$5:AF40,AF40)-1)</f>
        <v>44</v>
      </c>
      <c r="AC40" s="44" t="str">
        <f aca="false">IF($A40="","",Weekly_Demand!B40)</f>
        <v>ALARM CLOCK BAKELIKE RED</v>
      </c>
      <c r="AD40" s="59" t="n">
        <f aca="false">IF($A40="","",H40*SQRT(D40))</f>
        <v>377.37572844888</v>
      </c>
      <c r="AE40" s="53" t="n">
        <f aca="false">IF($A40="","",AD40*C40)</f>
        <v>849.09538900998</v>
      </c>
      <c r="AF40" s="53" t="n">
        <f aca="false">IF($A40="","",ROUND(J40,2))</f>
        <v>14962.5</v>
      </c>
    </row>
    <row r="41" customFormat="false" ht="15" hidden="false" customHeight="false" outlineLevel="0" collapsed="false">
      <c r="A41" s="44" t="str">
        <f aca="false">IF(Weekly_Demand!A41="","",Weekly_Demand!A41)</f>
        <v>21175</v>
      </c>
      <c r="B41" s="44" t="str">
        <f aca="false">IF($A41="","",Weekly_Demand!C41)</f>
        <v>Other</v>
      </c>
      <c r="C41" s="45" t="n">
        <f aca="false">IF($A41="","",Weekly_Demand!D41)</f>
        <v>1.53</v>
      </c>
      <c r="D41" s="46" t="n">
        <f aca="false">IF($A41="","",Weekly_Demand!E41+Assumptions!$B$19)</f>
        <v>8</v>
      </c>
      <c r="E41" s="46" t="n">
        <f aca="false">IF($A41="","",Weekly_Demand!F41)</f>
        <v>3235</v>
      </c>
      <c r="F41" s="46" t="n">
        <f aca="false">IF($A41="","",SUM(Weekly_Demand!G41:BF41))</f>
        <v>12016</v>
      </c>
      <c r="G41" s="51" t="n">
        <f aca="false">IF($A41="","",IFERROR(F41/Assumptions!$B$6,0))</f>
        <v>231.076923076923</v>
      </c>
      <c r="H41" s="51" t="n">
        <f aca="false">IF($A41="","",STDEV(Weekly_Demand!G41:BF41))</f>
        <v>394.889055958553</v>
      </c>
      <c r="I41" s="52" t="n">
        <f aca="false">IF($A41="","",IFERROR(H41/G41,0))</f>
        <v>1.70890736599906</v>
      </c>
      <c r="J41" s="53" t="n">
        <f aca="false">IF($A41="","",F41*C41)</f>
        <v>18384.48</v>
      </c>
      <c r="K41" s="54" t="n">
        <f aca="false">IF($A41="","",IFERROR(J41/$J$505,0))</f>
        <v>0.00475702770119876</v>
      </c>
      <c r="L41" s="54" t="n">
        <f aca="false">IF($A41="","",IFERROR(SUMIFS($J$5:$J$504,$AB$5:$AB$504,"&lt;="&amp;AB41)/$J$505,0))</f>
        <v>0.197173868982113</v>
      </c>
      <c r="M41" s="55" t="str">
        <f aca="false">IF($A41="","",IF(L41&lt;=Assumptions!$B$7,"A",IF(L41&lt;=Assumptions!$B$8,"B","C")))</f>
        <v>A</v>
      </c>
      <c r="N41" s="55" t="str">
        <f aca="false">IF($A41="","",IF(I41&lt;=Assumptions!$B$9,"X",IF(I41&lt;=Assumptions!$B$10,"Y","Z")))</f>
        <v>Z</v>
      </c>
      <c r="O41" s="56" t="str">
        <f aca="false">IF($A41="","",M41&amp;N41)</f>
        <v>AZ</v>
      </c>
      <c r="P41" s="57" t="n">
        <f aca="false">IF($A41="","",INDEX(Assumptions!$B$35:$B$37,MATCH(M41,Assumptions!$A$35:$A$37,0)))</f>
        <v>0.98</v>
      </c>
      <c r="Q41" s="58" t="n">
        <f aca="false">IF($A41="","",NORMSINV(P41))</f>
        <v>2.05374891063182</v>
      </c>
      <c r="R41" s="48" t="n">
        <f aca="false">IF($A41="","",ROUNDUP(Q41*H41*SQRT(D41),0))</f>
        <v>2294</v>
      </c>
      <c r="S41" s="48" t="n">
        <f aca="false">IF($A41="","",ROUNDUP(G41*D41+R41,0))</f>
        <v>4143</v>
      </c>
      <c r="T41" s="46" t="n">
        <f aca="false">IF($A41="","",IFERROR(ROUND(SQRT(2*F41*Assumptions!$B$4/(Assumptions!$B$5*C41)),0),0))</f>
        <v>1772</v>
      </c>
      <c r="U41" s="53" t="n">
        <f aca="false">IF($A41="","",R41*C41)</f>
        <v>3509.82</v>
      </c>
      <c r="V41" s="53" t="n">
        <f aca="false">IF($A41="","",E41*C41)</f>
        <v>4949.55</v>
      </c>
      <c r="W41" s="59" t="n">
        <f aca="false">IF($A41="","",IFERROR(E41/G41,0))</f>
        <v>13.9996671105193</v>
      </c>
      <c r="X41" s="48" t="n">
        <f aca="false">IF($A41="","",S41+T41)</f>
        <v>5915</v>
      </c>
      <c r="Y41" s="48" t="n">
        <f aca="false">IF($A41="","",MAX(0,E41-X41))</f>
        <v>0</v>
      </c>
      <c r="Z41" s="53" t="n">
        <f aca="false">IF($A41="","",Y41*C41)</f>
        <v>0</v>
      </c>
      <c r="AA41" s="56" t="str">
        <f aca="false">IF($A41="","",IF(E41&lt;=R41,"Below Safety Stock",IF(E41&lt;=S41,"Reorder Now",IF(E41&gt;X41,"Excess","Healthy"))))</f>
        <v>Reorder Now</v>
      </c>
      <c r="AB41" s="48" t="n">
        <f aca="false">IF($A41="","",RANK(AF41,$AF$5:$AF$504,0)+COUNTIF($AF$5:AF41,AF41)-1)</f>
        <v>24</v>
      </c>
      <c r="AC41" s="44" t="str">
        <f aca="false">IF($A41="","",Weekly_Demand!B41)</f>
        <v>GIN + TONIC DIET METAL SIGN</v>
      </c>
      <c r="AD41" s="59" t="n">
        <f aca="false">IF($A41="","",H41*SQRT(D41))</f>
        <v>1116.91491713859</v>
      </c>
      <c r="AE41" s="53" t="n">
        <f aca="false">IF($A41="","",AD41*C41)</f>
        <v>1708.87982322204</v>
      </c>
      <c r="AF41" s="53" t="n">
        <f aca="false">IF($A41="","",ROUND(J41,2))</f>
        <v>18384.48</v>
      </c>
    </row>
    <row r="42" customFormat="false" ht="15" hidden="false" customHeight="false" outlineLevel="0" collapsed="false">
      <c r="A42" s="44" t="str">
        <f aca="false">IF(Weekly_Demand!A42="","",Weekly_Demand!A42)</f>
        <v>23355</v>
      </c>
      <c r="B42" s="44" t="str">
        <f aca="false">IF($A42="","",Weekly_Demand!C42)</f>
        <v>Other</v>
      </c>
      <c r="C42" s="45" t="n">
        <f aca="false">IF($A42="","",Weekly_Demand!D42)</f>
        <v>2.97</v>
      </c>
      <c r="D42" s="46" t="n">
        <f aca="false">IF($A42="","",Weekly_Demand!E42+Assumptions!$B$19)</f>
        <v>8</v>
      </c>
      <c r="E42" s="46" t="n">
        <f aca="false">IF($A42="","",Weekly_Demand!F42)</f>
        <v>3641</v>
      </c>
      <c r="F42" s="46" t="n">
        <f aca="false">IF($A42="","",SUM(Weekly_Demand!G42:BF42))</f>
        <v>5409</v>
      </c>
      <c r="G42" s="51" t="n">
        <f aca="false">IF($A42="","",IFERROR(F42/Assumptions!$B$6,0))</f>
        <v>104.019230769231</v>
      </c>
      <c r="H42" s="51" t="n">
        <f aca="false">IF($A42="","",STDEV(Weekly_Demand!G42:BF42))</f>
        <v>187.581772013044</v>
      </c>
      <c r="I42" s="52" t="n">
        <f aca="false">IF($A42="","",IFERROR(H42/G42,0))</f>
        <v>1.80333742737628</v>
      </c>
      <c r="J42" s="53" t="n">
        <f aca="false">IF($A42="","",F42*C42)</f>
        <v>16064.73</v>
      </c>
      <c r="K42" s="54" t="n">
        <f aca="false">IF($A42="","",IFERROR(J42/$J$505,0))</f>
        <v>0.00415678689972623</v>
      </c>
      <c r="L42" s="54" t="n">
        <f aca="false">IF($A42="","",IFERROR(SUMIFS($J$5:$J$504,$AB$5:$AB$504,"&lt;="&amp;AB42)/$J$505,0))</f>
        <v>0.263199448923287</v>
      </c>
      <c r="M42" s="55" t="str">
        <f aca="false">IF($A42="","",IF(L42&lt;=Assumptions!$B$7,"A",IF(L42&lt;=Assumptions!$B$8,"B","C")))</f>
        <v>A</v>
      </c>
      <c r="N42" s="55" t="str">
        <f aca="false">IF($A42="","",IF(I42&lt;=Assumptions!$B$9,"X",IF(I42&lt;=Assumptions!$B$10,"Y","Z")))</f>
        <v>Z</v>
      </c>
      <c r="O42" s="56" t="str">
        <f aca="false">IF($A42="","",M42&amp;N42)</f>
        <v>AZ</v>
      </c>
      <c r="P42" s="57" t="n">
        <f aca="false">IF($A42="","",INDEX(Assumptions!$B$35:$B$37,MATCH(M42,Assumptions!$A$35:$A$37,0)))</f>
        <v>0.98</v>
      </c>
      <c r="Q42" s="58" t="n">
        <f aca="false">IF($A42="","",NORMSINV(P42))</f>
        <v>2.05374891063182</v>
      </c>
      <c r="R42" s="48" t="n">
        <f aca="false">IF($A42="","",ROUNDUP(Q42*H42*SQRT(D42),0))</f>
        <v>1090</v>
      </c>
      <c r="S42" s="48" t="n">
        <f aca="false">IF($A42="","",ROUNDUP(G42*D42+R42,0))</f>
        <v>1923</v>
      </c>
      <c r="T42" s="46" t="n">
        <f aca="false">IF($A42="","",IFERROR(ROUND(SQRT(2*F42*Assumptions!$B$4/(Assumptions!$B$5*C42)),0),0))</f>
        <v>854</v>
      </c>
      <c r="U42" s="53" t="n">
        <f aca="false">IF($A42="","",R42*C42)</f>
        <v>3237.3</v>
      </c>
      <c r="V42" s="53" t="n">
        <f aca="false">IF($A42="","",E42*C42)</f>
        <v>10813.77</v>
      </c>
      <c r="W42" s="59" t="n">
        <f aca="false">IF($A42="","",IFERROR(E42/G42,0))</f>
        <v>35.0031429099649</v>
      </c>
      <c r="X42" s="48" t="n">
        <f aca="false">IF($A42="","",S42+T42)</f>
        <v>2777</v>
      </c>
      <c r="Y42" s="48" t="n">
        <f aca="false">IF($A42="","",MAX(0,E42-X42))</f>
        <v>864</v>
      </c>
      <c r="Z42" s="53" t="n">
        <f aca="false">IF($A42="","",Y42*C42)</f>
        <v>2566.08</v>
      </c>
      <c r="AA42" s="56" t="str">
        <f aca="false">IF($A42="","",IF(E42&lt;=R42,"Below Safety Stock",IF(E42&lt;=S42,"Reorder Now",IF(E42&gt;X42,"Excess","Healthy"))))</f>
        <v>Excess</v>
      </c>
      <c r="AB42" s="48" t="n">
        <f aca="false">IF($A42="","",RANK(AF42,$AF$5:$AF$504,0)+COUNTIF($AF$5:AF42,AF42)-1)</f>
        <v>39</v>
      </c>
      <c r="AC42" s="44" t="str">
        <f aca="false">IF($A42="","",Weekly_Demand!B42)</f>
        <v>HOT WATER BOTTLE KEEP CALM</v>
      </c>
      <c r="AD42" s="59" t="n">
        <f aca="false">IF($A42="","",H42*SQRT(D42))</f>
        <v>530.561372069649</v>
      </c>
      <c r="AE42" s="53" t="n">
        <f aca="false">IF($A42="","",AD42*C42)</f>
        <v>1575.76727504686</v>
      </c>
      <c r="AF42" s="53" t="n">
        <f aca="false">IF($A42="","",ROUND(J42,2))</f>
        <v>16064.73</v>
      </c>
    </row>
    <row r="43" customFormat="false" ht="15" hidden="false" customHeight="false" outlineLevel="0" collapsed="false">
      <c r="A43" s="44" t="str">
        <f aca="false">IF(Weekly_Demand!A43="","",Weekly_Demand!A43)</f>
        <v>22457</v>
      </c>
      <c r="B43" s="44" t="str">
        <f aca="false">IF($A43="","",Weekly_Demand!C43)</f>
        <v>Other</v>
      </c>
      <c r="C43" s="45" t="n">
        <f aca="false">IF($A43="","",Weekly_Demand!D43)</f>
        <v>1.77</v>
      </c>
      <c r="D43" s="46" t="n">
        <f aca="false">IF($A43="","",Weekly_Demand!E43+Assumptions!$B$19)</f>
        <v>4</v>
      </c>
      <c r="E43" s="46" t="n">
        <f aca="false">IF($A43="","",Weekly_Demand!F43)</f>
        <v>2386</v>
      </c>
      <c r="F43" s="46" t="n">
        <f aca="false">IF($A43="","",SUM(Weekly_Demand!G43:BF43))</f>
        <v>8271</v>
      </c>
      <c r="G43" s="51" t="n">
        <f aca="false">IF($A43="","",IFERROR(F43/Assumptions!$B$6,0))</f>
        <v>159.057692307692</v>
      </c>
      <c r="H43" s="51" t="n">
        <f aca="false">IF($A43="","",STDEV(Weekly_Demand!G43:BF43))</f>
        <v>70.2866437711273</v>
      </c>
      <c r="I43" s="52" t="n">
        <f aca="false">IF($A43="","",IFERROR(H43/G43,0))</f>
        <v>0.441894024434605</v>
      </c>
      <c r="J43" s="53" t="n">
        <f aca="false">IF($A43="","",F43*C43)</f>
        <v>14639.67</v>
      </c>
      <c r="K43" s="54" t="n">
        <f aca="false">IF($A43="","",IFERROR(J43/$J$505,0))</f>
        <v>0.00378804925276149</v>
      </c>
      <c r="L43" s="54" t="n">
        <f aca="false">IF($A43="","",IFERROR(SUMIFS($J$5:$J$504,$AB$5:$AB$504,"&lt;="&amp;AB43)/$J$505,0))</f>
        <v>0.294635433283339</v>
      </c>
      <c r="M43" s="55" t="str">
        <f aca="false">IF($A43="","",IF(L43&lt;=Assumptions!$B$7,"A",IF(L43&lt;=Assumptions!$B$8,"B","C")))</f>
        <v>A</v>
      </c>
      <c r="N43" s="55" t="str">
        <f aca="false">IF($A43="","",IF(I43&lt;=Assumptions!$B$9,"X",IF(I43&lt;=Assumptions!$B$10,"Y","Z")))</f>
        <v>X</v>
      </c>
      <c r="O43" s="56" t="str">
        <f aca="false">IF($A43="","",M43&amp;N43)</f>
        <v>AX</v>
      </c>
      <c r="P43" s="57" t="n">
        <f aca="false">IF($A43="","",INDEX(Assumptions!$B$35:$B$37,MATCH(M43,Assumptions!$A$35:$A$37,0)))</f>
        <v>0.98</v>
      </c>
      <c r="Q43" s="58" t="n">
        <f aca="false">IF($A43="","",NORMSINV(P43))</f>
        <v>2.05374891063182</v>
      </c>
      <c r="R43" s="48" t="n">
        <f aca="false">IF($A43="","",ROUNDUP(Q43*H43*SQRT(D43),0))</f>
        <v>289</v>
      </c>
      <c r="S43" s="48" t="n">
        <f aca="false">IF($A43="","",ROUNDUP(G43*D43+R43,0))</f>
        <v>926</v>
      </c>
      <c r="T43" s="46" t="n">
        <f aca="false">IF($A43="","",IFERROR(ROUND(SQRT(2*F43*Assumptions!$B$4/(Assumptions!$B$5*C43)),0),0))</f>
        <v>1367</v>
      </c>
      <c r="U43" s="53" t="n">
        <f aca="false">IF($A43="","",R43*C43)</f>
        <v>511.53</v>
      </c>
      <c r="V43" s="53" t="n">
        <f aca="false">IF($A43="","",E43*C43)</f>
        <v>4223.22</v>
      </c>
      <c r="W43" s="59" t="n">
        <f aca="false">IF($A43="","",IFERROR(E43/G43,0))</f>
        <v>15.0008463305525</v>
      </c>
      <c r="X43" s="48" t="n">
        <f aca="false">IF($A43="","",S43+T43)</f>
        <v>2293</v>
      </c>
      <c r="Y43" s="48" t="n">
        <f aca="false">IF($A43="","",MAX(0,E43-X43))</f>
        <v>93</v>
      </c>
      <c r="Z43" s="53" t="n">
        <f aca="false">IF($A43="","",Y43*C43)</f>
        <v>164.61</v>
      </c>
      <c r="AA43" s="56" t="str">
        <f aca="false">IF($A43="","",IF(E43&lt;=R43,"Below Safety Stock",IF(E43&lt;=S43,"Reorder Now",IF(E43&gt;X43,"Excess","Healthy"))))</f>
        <v>Excess</v>
      </c>
      <c r="AB43" s="48" t="n">
        <f aca="false">IF($A43="","",RANK(AF43,$AF$5:$AF$504,0)+COUNTIF($AF$5:AF43,AF43)-1)</f>
        <v>47</v>
      </c>
      <c r="AC43" s="44" t="str">
        <f aca="false">IF($A43="","",Weekly_Demand!B43)</f>
        <v>NATURAL SLATE HEART CHALKBOARD</v>
      </c>
      <c r="AD43" s="59" t="n">
        <f aca="false">IF($A43="","",H43*SQRT(D43))</f>
        <v>140.573287542255</v>
      </c>
      <c r="AE43" s="53" t="n">
        <f aca="false">IF($A43="","",AD43*C43)</f>
        <v>248.814718949791</v>
      </c>
      <c r="AF43" s="53" t="n">
        <f aca="false">IF($A43="","",ROUND(J43,2))</f>
        <v>14639.67</v>
      </c>
    </row>
    <row r="44" customFormat="false" ht="15" hidden="false" customHeight="false" outlineLevel="0" collapsed="false">
      <c r="A44" s="44" t="str">
        <f aca="false">IF(Weekly_Demand!A44="","",Weekly_Demand!A44)</f>
        <v>22726</v>
      </c>
      <c r="B44" s="44" t="str">
        <f aca="false">IF($A44="","",Weekly_Demand!C44)</f>
        <v>Other</v>
      </c>
      <c r="C44" s="45" t="n">
        <f aca="false">IF($A44="","",Weekly_Demand!D44)</f>
        <v>2.25</v>
      </c>
      <c r="D44" s="46" t="n">
        <f aca="false">IF($A44="","",Weekly_Demand!E44+Assumptions!$B$19)</f>
        <v>6</v>
      </c>
      <c r="E44" s="46" t="n">
        <f aca="false">IF($A44="","",Weekly_Demand!F44)</f>
        <v>232</v>
      </c>
      <c r="F44" s="46" t="n">
        <f aca="false">IF($A44="","",SUM(Weekly_Demand!G44:BF44))</f>
        <v>6023</v>
      </c>
      <c r="G44" s="51" t="n">
        <f aca="false">IF($A44="","",IFERROR(F44/Assumptions!$B$6,0))</f>
        <v>115.826923076923</v>
      </c>
      <c r="H44" s="51" t="n">
        <f aca="false">IF($A44="","",STDEV(Weekly_Demand!G44:BF44))</f>
        <v>111.180778624027</v>
      </c>
      <c r="I44" s="52" t="n">
        <f aca="false">IF($A44="","",IFERROR(H44/G44,0))</f>
        <v>0.959887180549463</v>
      </c>
      <c r="J44" s="53" t="n">
        <f aca="false">IF($A44="","",F44*C44)</f>
        <v>13551.75</v>
      </c>
      <c r="K44" s="54" t="n">
        <f aca="false">IF($A44="","",IFERROR(J44/$J$505,0))</f>
        <v>0.00350654737853452</v>
      </c>
      <c r="L44" s="54" t="n">
        <f aca="false">IF($A44="","",IFERROR(SUMIFS($J$5:$J$504,$AB$5:$AB$504,"&lt;="&amp;AB44)/$J$505,0))</f>
        <v>0.33082796406519</v>
      </c>
      <c r="M44" s="55" t="str">
        <f aca="false">IF($A44="","",IF(L44&lt;=Assumptions!$B$7,"A",IF(L44&lt;=Assumptions!$B$8,"B","C")))</f>
        <v>A</v>
      </c>
      <c r="N44" s="55" t="str">
        <f aca="false">IF($A44="","",IF(I44&lt;=Assumptions!$B$9,"X",IF(I44&lt;=Assumptions!$B$10,"Y","Z")))</f>
        <v>Y</v>
      </c>
      <c r="O44" s="56" t="str">
        <f aca="false">IF($A44="","",M44&amp;N44)</f>
        <v>AY</v>
      </c>
      <c r="P44" s="57" t="n">
        <f aca="false">IF($A44="","",INDEX(Assumptions!$B$35:$B$37,MATCH(M44,Assumptions!$A$35:$A$37,0)))</f>
        <v>0.98</v>
      </c>
      <c r="Q44" s="58" t="n">
        <f aca="false">IF($A44="","",NORMSINV(P44))</f>
        <v>2.05374891063182</v>
      </c>
      <c r="R44" s="48" t="n">
        <f aca="false">IF($A44="","",ROUNDUP(Q44*H44*SQRT(D44),0))</f>
        <v>560</v>
      </c>
      <c r="S44" s="48" t="n">
        <f aca="false">IF($A44="","",ROUNDUP(G44*D44+R44,0))</f>
        <v>1255</v>
      </c>
      <c r="T44" s="46" t="n">
        <f aca="false">IF($A44="","",IFERROR(ROUND(SQRT(2*F44*Assumptions!$B$4/(Assumptions!$B$5*C44)),0),0))</f>
        <v>1035</v>
      </c>
      <c r="U44" s="53" t="n">
        <f aca="false">IF($A44="","",R44*C44)</f>
        <v>1260</v>
      </c>
      <c r="V44" s="53" t="n">
        <f aca="false">IF($A44="","",E44*C44)</f>
        <v>522</v>
      </c>
      <c r="W44" s="59" t="n">
        <f aca="false">IF($A44="","",IFERROR(E44/G44,0))</f>
        <v>2.00298854391499</v>
      </c>
      <c r="X44" s="48" t="n">
        <f aca="false">IF($A44="","",S44+T44)</f>
        <v>2290</v>
      </c>
      <c r="Y44" s="48" t="n">
        <f aca="false">IF($A44="","",MAX(0,E44-X44))</f>
        <v>0</v>
      </c>
      <c r="Z44" s="53" t="n">
        <f aca="false">IF($A44="","",Y44*C44)</f>
        <v>0</v>
      </c>
      <c r="AA44" s="56" t="str">
        <f aca="false">IF($A44="","",IF(E44&lt;=R44,"Below Safety Stock",IF(E44&lt;=S44,"Reorder Now",IF(E44&gt;X44,"Excess","Healthy"))))</f>
        <v>Below Safety Stock</v>
      </c>
      <c r="AB44" s="48" t="n">
        <f aca="false">IF($A44="","",RANK(AF44,$AF$5:$AF$504,0)+COUNTIF($AF$5:AF44,AF44)-1)</f>
        <v>57</v>
      </c>
      <c r="AC44" s="44" t="str">
        <f aca="false">IF($A44="","",Weekly_Demand!B44)</f>
        <v>ALARM CLOCK BAKELIKE GREEN</v>
      </c>
      <c r="AD44" s="59" t="n">
        <f aca="false">IF($A44="","",H44*SQRT(D44))</f>
        <v>272.336176834202</v>
      </c>
      <c r="AE44" s="53" t="n">
        <f aca="false">IF($A44="","",AD44*C44)</f>
        <v>612.756397876954</v>
      </c>
      <c r="AF44" s="53" t="n">
        <f aca="false">IF($A44="","",ROUND(J44,2))</f>
        <v>13551.75</v>
      </c>
    </row>
    <row r="45" customFormat="false" ht="15" hidden="false" customHeight="false" outlineLevel="0" collapsed="false">
      <c r="A45" s="44" t="str">
        <f aca="false">IF(Weekly_Demand!A45="","",Weekly_Demand!A45)</f>
        <v>48138</v>
      </c>
      <c r="B45" s="44" t="str">
        <f aca="false">IF($A45="","",Weekly_Demand!C45)</f>
        <v>Other</v>
      </c>
      <c r="C45" s="45" t="n">
        <f aca="false">IF($A45="","",Weekly_Demand!D45)</f>
        <v>4.77</v>
      </c>
      <c r="D45" s="46" t="n">
        <f aca="false">IF($A45="","",Weekly_Demand!E45+Assumptions!$B$19)</f>
        <v>6</v>
      </c>
      <c r="E45" s="46" t="n">
        <f aca="false">IF($A45="","",Weekly_Demand!F45)</f>
        <v>847</v>
      </c>
      <c r="F45" s="46" t="n">
        <f aca="false">IF($A45="","",SUM(Weekly_Demand!G45:BF45))</f>
        <v>3670</v>
      </c>
      <c r="G45" s="51" t="n">
        <f aca="false">IF($A45="","",IFERROR(F45/Assumptions!$B$6,0))</f>
        <v>70.5769230769231</v>
      </c>
      <c r="H45" s="51" t="n">
        <f aca="false">IF($A45="","",STDEV(Weekly_Demand!G45:BF45))</f>
        <v>101.010647109909</v>
      </c>
      <c r="I45" s="52" t="n">
        <f aca="false">IF($A45="","",IFERROR(H45/G45,0))</f>
        <v>1.43121352853277</v>
      </c>
      <c r="J45" s="53" t="n">
        <f aca="false">IF($A45="","",F45*C45)</f>
        <v>17505.9</v>
      </c>
      <c r="K45" s="54" t="n">
        <f aca="false">IF($A45="","",IFERROR(J45/$J$505,0))</f>
        <v>0.00452969304731031</v>
      </c>
      <c r="L45" s="54" t="n">
        <f aca="false">IF($A45="","",IFERROR(SUMIFS($J$5:$J$504,$AB$5:$AB$504,"&lt;="&amp;AB45)/$J$505,0))</f>
        <v>0.215631896573715</v>
      </c>
      <c r="M45" s="55" t="str">
        <f aca="false">IF($A45="","",IF(L45&lt;=Assumptions!$B$7,"A",IF(L45&lt;=Assumptions!$B$8,"B","C")))</f>
        <v>A</v>
      </c>
      <c r="N45" s="55" t="str">
        <f aca="false">IF($A45="","",IF(I45&lt;=Assumptions!$B$9,"X",IF(I45&lt;=Assumptions!$B$10,"Y","Z")))</f>
        <v>Z</v>
      </c>
      <c r="O45" s="56" t="str">
        <f aca="false">IF($A45="","",M45&amp;N45)</f>
        <v>AZ</v>
      </c>
      <c r="P45" s="57" t="n">
        <f aca="false">IF($A45="","",INDEX(Assumptions!$B$35:$B$37,MATCH(M45,Assumptions!$A$35:$A$37,0)))</f>
        <v>0.98</v>
      </c>
      <c r="Q45" s="58" t="n">
        <f aca="false">IF($A45="","",NORMSINV(P45))</f>
        <v>2.05374891063182</v>
      </c>
      <c r="R45" s="48" t="n">
        <f aca="false">IF($A45="","",ROUNDUP(Q45*H45*SQRT(D45),0))</f>
        <v>509</v>
      </c>
      <c r="S45" s="48" t="n">
        <f aca="false">IF($A45="","",ROUNDUP(G45*D45+R45,0))</f>
        <v>933</v>
      </c>
      <c r="T45" s="46" t="n">
        <f aca="false">IF($A45="","",IFERROR(ROUND(SQRT(2*F45*Assumptions!$B$4/(Assumptions!$B$5*C45)),0),0))</f>
        <v>555</v>
      </c>
      <c r="U45" s="53" t="n">
        <f aca="false">IF($A45="","",R45*C45)</f>
        <v>2427.93</v>
      </c>
      <c r="V45" s="53" t="n">
        <f aca="false">IF($A45="","",E45*C45)</f>
        <v>4040.19</v>
      </c>
      <c r="W45" s="59" t="n">
        <f aca="false">IF($A45="","",IFERROR(E45/G45,0))</f>
        <v>12.0010899182561</v>
      </c>
      <c r="X45" s="48" t="n">
        <f aca="false">IF($A45="","",S45+T45)</f>
        <v>1488</v>
      </c>
      <c r="Y45" s="48" t="n">
        <f aca="false">IF($A45="","",MAX(0,E45-X45))</f>
        <v>0</v>
      </c>
      <c r="Z45" s="53" t="n">
        <f aca="false">IF($A45="","",Y45*C45)</f>
        <v>0</v>
      </c>
      <c r="AA45" s="56" t="str">
        <f aca="false">IF($A45="","",IF(E45&lt;=R45,"Below Safety Stock",IF(E45&lt;=S45,"Reorder Now",IF(E45&gt;X45,"Excess","Healthy"))))</f>
        <v>Reorder Now</v>
      </c>
      <c r="AB45" s="48" t="n">
        <f aca="false">IF($A45="","",RANK(AF45,$AF$5:$AF$504,0)+COUNTIF($AF$5:AF45,AF45)-1)</f>
        <v>28</v>
      </c>
      <c r="AC45" s="44" t="str">
        <f aca="false">IF($A45="","",Weekly_Demand!B45)</f>
        <v>DOORMAT UNION FLAG</v>
      </c>
      <c r="AD45" s="59" t="n">
        <f aca="false">IF($A45="","",H45*SQRT(D45))</f>
        <v>247.424544007614</v>
      </c>
      <c r="AE45" s="53" t="n">
        <f aca="false">IF($A45="","",AD45*C45)</f>
        <v>1180.21507491632</v>
      </c>
      <c r="AF45" s="53" t="n">
        <f aca="false">IF($A45="","",ROUND(J45,2))</f>
        <v>17505.9</v>
      </c>
    </row>
    <row r="46" customFormat="false" ht="15" hidden="false" customHeight="false" outlineLevel="0" collapsed="false">
      <c r="A46" s="44" t="str">
        <f aca="false">IF(Weekly_Demand!A46="","",Weekly_Demand!A46)</f>
        <v>22629</v>
      </c>
      <c r="B46" s="44" t="str">
        <f aca="false">IF($A46="","",Weekly_Demand!C46)</f>
        <v>Other</v>
      </c>
      <c r="C46" s="45" t="n">
        <f aca="false">IF($A46="","",Weekly_Demand!D46)</f>
        <v>1.17</v>
      </c>
      <c r="D46" s="46" t="n">
        <f aca="false">IF($A46="","",Weekly_Demand!E46+Assumptions!$B$19)</f>
        <v>4</v>
      </c>
      <c r="E46" s="46" t="n">
        <f aca="false">IF($A46="","",Weekly_Demand!F46)</f>
        <v>3160</v>
      </c>
      <c r="F46" s="46" t="n">
        <f aca="false">IF($A46="","",SUM(Weekly_Demand!G46:BF46))</f>
        <v>13694</v>
      </c>
      <c r="G46" s="51" t="n">
        <f aca="false">IF($A46="","",IFERROR(F46/Assumptions!$B$6,0))</f>
        <v>263.346153846154</v>
      </c>
      <c r="H46" s="51" t="n">
        <f aca="false">IF($A46="","",STDEV(Weekly_Demand!G46:BF46))</f>
        <v>176.197848311558</v>
      </c>
      <c r="I46" s="52" t="n">
        <f aca="false">IF($A46="","",IFERROR(H46/G46,0))</f>
        <v>0.669073178925152</v>
      </c>
      <c r="J46" s="53" t="n">
        <f aca="false">IF($A46="","",F46*C46)</f>
        <v>16021.98</v>
      </c>
      <c r="K46" s="54" t="n">
        <f aca="false">IF($A46="","",IFERROR(J46/$J$505,0))</f>
        <v>0.00414572523607154</v>
      </c>
      <c r="L46" s="54" t="n">
        <f aca="false">IF($A46="","",IFERROR(SUMIFS($J$5:$J$504,$AB$5:$AB$504,"&lt;="&amp;AB46)/$J$505,0))</f>
        <v>0.267345174159358</v>
      </c>
      <c r="M46" s="55" t="str">
        <f aca="false">IF($A46="","",IF(L46&lt;=Assumptions!$B$7,"A",IF(L46&lt;=Assumptions!$B$8,"B","C")))</f>
        <v>A</v>
      </c>
      <c r="N46" s="55" t="str">
        <f aca="false">IF($A46="","",IF(I46&lt;=Assumptions!$B$9,"X",IF(I46&lt;=Assumptions!$B$10,"Y","Z")))</f>
        <v>Y</v>
      </c>
      <c r="O46" s="56" t="str">
        <f aca="false">IF($A46="","",M46&amp;N46)</f>
        <v>AY</v>
      </c>
      <c r="P46" s="57" t="n">
        <f aca="false">IF($A46="","",INDEX(Assumptions!$B$35:$B$37,MATCH(M46,Assumptions!$A$35:$A$37,0)))</f>
        <v>0.98</v>
      </c>
      <c r="Q46" s="58" t="n">
        <f aca="false">IF($A46="","",NORMSINV(P46))</f>
        <v>2.05374891063182</v>
      </c>
      <c r="R46" s="48" t="n">
        <f aca="false">IF($A46="","",ROUNDUP(Q46*H46*SQRT(D46),0))</f>
        <v>724</v>
      </c>
      <c r="S46" s="48" t="n">
        <f aca="false">IF($A46="","",ROUNDUP(G46*D46+R46,0))</f>
        <v>1778</v>
      </c>
      <c r="T46" s="46" t="n">
        <f aca="false">IF($A46="","",IFERROR(ROUND(SQRT(2*F46*Assumptions!$B$4/(Assumptions!$B$5*C46)),0),0))</f>
        <v>2164</v>
      </c>
      <c r="U46" s="53" t="n">
        <f aca="false">IF($A46="","",R46*C46)</f>
        <v>847.08</v>
      </c>
      <c r="V46" s="53" t="n">
        <f aca="false">IF($A46="","",E46*C46)</f>
        <v>3697.2</v>
      </c>
      <c r="W46" s="59" t="n">
        <f aca="false">IF($A46="","",IFERROR(E46/G46,0))</f>
        <v>11.9994158025413</v>
      </c>
      <c r="X46" s="48" t="n">
        <f aca="false">IF($A46="","",S46+T46)</f>
        <v>3942</v>
      </c>
      <c r="Y46" s="48" t="n">
        <f aca="false">IF($A46="","",MAX(0,E46-X46))</f>
        <v>0</v>
      </c>
      <c r="Z46" s="53" t="n">
        <f aca="false">IF($A46="","",Y46*C46)</f>
        <v>0</v>
      </c>
      <c r="AA46" s="56" t="str">
        <f aca="false">IF($A46="","",IF(E46&lt;=R46,"Below Safety Stock",IF(E46&lt;=S46,"Reorder Now",IF(E46&gt;X46,"Excess","Healthy"))))</f>
        <v>Healthy</v>
      </c>
      <c r="AB46" s="48" t="n">
        <f aca="false">IF($A46="","",RANK(AF46,$AF$5:$AF$504,0)+COUNTIF($AF$5:AF46,AF46)-1)</f>
        <v>40</v>
      </c>
      <c r="AC46" s="44" t="str">
        <f aca="false">IF($A46="","",Weekly_Demand!B46)</f>
        <v>SPACEBOY LUNCH BOX</v>
      </c>
      <c r="AD46" s="59" t="n">
        <f aca="false">IF($A46="","",H46*SQRT(D46))</f>
        <v>352.395696623117</v>
      </c>
      <c r="AE46" s="53" t="n">
        <f aca="false">IF($A46="","",AD46*C46)</f>
        <v>412.302965049047</v>
      </c>
      <c r="AF46" s="53" t="n">
        <f aca="false">IF($A46="","",ROUND(J46,2))</f>
        <v>16021.98</v>
      </c>
    </row>
    <row r="47" customFormat="false" ht="15" hidden="false" customHeight="false" outlineLevel="0" collapsed="false">
      <c r="A47" s="44" t="str">
        <f aca="false">IF(Weekly_Demand!A47="","",Weekly_Demand!A47)</f>
        <v>84946</v>
      </c>
      <c r="B47" s="44" t="str">
        <f aca="false">IF($A47="","",Weekly_Demand!C47)</f>
        <v>Lighting</v>
      </c>
      <c r="C47" s="45" t="n">
        <f aca="false">IF($A47="","",Weekly_Demand!D47)</f>
        <v>0.75</v>
      </c>
      <c r="D47" s="46" t="n">
        <f aca="false">IF($A47="","",Weekly_Demand!E47+Assumptions!$B$19)</f>
        <v>6</v>
      </c>
      <c r="E47" s="46" t="n">
        <f aca="false">IF($A47="","",Weekly_Demand!F47)</f>
        <v>2816</v>
      </c>
      <c r="F47" s="46" t="n">
        <f aca="false">IF($A47="","",SUM(Weekly_Demand!G47:BF47))</f>
        <v>18306</v>
      </c>
      <c r="G47" s="51" t="n">
        <f aca="false">IF($A47="","",IFERROR(F47/Assumptions!$B$6,0))</f>
        <v>352.038461538462</v>
      </c>
      <c r="H47" s="51" t="n">
        <f aca="false">IF($A47="","",STDEV(Weekly_Demand!G47:BF47))</f>
        <v>227.577951440601</v>
      </c>
      <c r="I47" s="52" t="n">
        <f aca="false">IF($A47="","",IFERROR(H47/G47,0))</f>
        <v>0.646457635469859</v>
      </c>
      <c r="J47" s="53" t="n">
        <f aca="false">IF($A47="","",F47*C47)</f>
        <v>13729.5</v>
      </c>
      <c r="K47" s="54" t="n">
        <f aca="false">IF($A47="","",IFERROR(J47/$J$505,0))</f>
        <v>0.00355254061162505</v>
      </c>
      <c r="L47" s="54" t="n">
        <f aca="false">IF($A47="","",IFERROR(SUMIFS($J$5:$J$504,$AB$5:$AB$504,"&lt;="&amp;AB47)/$J$505,0))</f>
        <v>0.323787552820822</v>
      </c>
      <c r="M47" s="55" t="str">
        <f aca="false">IF($A47="","",IF(L47&lt;=Assumptions!$B$7,"A",IF(L47&lt;=Assumptions!$B$8,"B","C")))</f>
        <v>A</v>
      </c>
      <c r="N47" s="55" t="str">
        <f aca="false">IF($A47="","",IF(I47&lt;=Assumptions!$B$9,"X",IF(I47&lt;=Assumptions!$B$10,"Y","Z")))</f>
        <v>Y</v>
      </c>
      <c r="O47" s="56" t="str">
        <f aca="false">IF($A47="","",M47&amp;N47)</f>
        <v>AY</v>
      </c>
      <c r="P47" s="57" t="n">
        <f aca="false">IF($A47="","",INDEX(Assumptions!$B$35:$B$37,MATCH(M47,Assumptions!$A$35:$A$37,0)))</f>
        <v>0.98</v>
      </c>
      <c r="Q47" s="58" t="n">
        <f aca="false">IF($A47="","",NORMSINV(P47))</f>
        <v>2.05374891063182</v>
      </c>
      <c r="R47" s="48" t="n">
        <f aca="false">IF($A47="","",ROUNDUP(Q47*H47*SQRT(D47),0))</f>
        <v>1145</v>
      </c>
      <c r="S47" s="48" t="n">
        <f aca="false">IF($A47="","",ROUNDUP(G47*D47+R47,0))</f>
        <v>3258</v>
      </c>
      <c r="T47" s="46" t="n">
        <f aca="false">IF($A47="","",IFERROR(ROUND(SQRT(2*F47*Assumptions!$B$4/(Assumptions!$B$5*C47)),0),0))</f>
        <v>3125</v>
      </c>
      <c r="U47" s="53" t="n">
        <f aca="false">IF($A47="","",R47*C47)</f>
        <v>858.75</v>
      </c>
      <c r="V47" s="53" t="n">
        <f aca="false">IF($A47="","",E47*C47)</f>
        <v>2112</v>
      </c>
      <c r="W47" s="59" t="n">
        <f aca="false">IF($A47="","",IFERROR(E47/G47,0))</f>
        <v>7.99912596962744</v>
      </c>
      <c r="X47" s="48" t="n">
        <f aca="false">IF($A47="","",S47+T47)</f>
        <v>6383</v>
      </c>
      <c r="Y47" s="48" t="n">
        <f aca="false">IF($A47="","",MAX(0,E47-X47))</f>
        <v>0</v>
      </c>
      <c r="Z47" s="53" t="n">
        <f aca="false">IF($A47="","",Y47*C47)</f>
        <v>0</v>
      </c>
      <c r="AA47" s="56" t="str">
        <f aca="false">IF($A47="","",IF(E47&lt;=R47,"Below Safety Stock",IF(E47&lt;=S47,"Reorder Now",IF(E47&gt;X47,"Excess","Healthy"))))</f>
        <v>Reorder Now</v>
      </c>
      <c r="AB47" s="48" t="n">
        <f aca="false">IF($A47="","",RANK(AF47,$AF$5:$AF$504,0)+COUNTIF($AF$5:AF47,AF47)-1)</f>
        <v>55</v>
      </c>
      <c r="AC47" s="44" t="str">
        <f aca="false">IF($A47="","",Weekly_Demand!B47)</f>
        <v>ANTIQUE SILVER T-LIGHT GLASS</v>
      </c>
      <c r="AD47" s="59" t="n">
        <f aca="false">IF($A47="","",H47*SQRT(D47))</f>
        <v>557.44985773736</v>
      </c>
      <c r="AE47" s="53" t="n">
        <f aca="false">IF($A47="","",AD47*C47)</f>
        <v>418.08739330302</v>
      </c>
      <c r="AF47" s="53" t="n">
        <f aca="false">IF($A47="","",ROUND(J47,2))</f>
        <v>13729.5</v>
      </c>
    </row>
    <row r="48" customFormat="false" ht="15" hidden="false" customHeight="false" outlineLevel="0" collapsed="false">
      <c r="A48" s="44" t="str">
        <f aca="false">IF(Weekly_Demand!A48="","",Weekly_Demand!A48)</f>
        <v>21915</v>
      </c>
      <c r="B48" s="44" t="str">
        <f aca="false">IF($A48="","",Weekly_Demand!C48)</f>
        <v>Other</v>
      </c>
      <c r="C48" s="45" t="n">
        <f aca="false">IF($A48="","",Weekly_Demand!D48)</f>
        <v>0.75</v>
      </c>
      <c r="D48" s="46" t="n">
        <f aca="false">IF($A48="","",Weekly_Demand!E48+Assumptions!$B$19)</f>
        <v>8</v>
      </c>
      <c r="E48" s="46" t="n">
        <f aca="false">IF($A48="","",Weekly_Demand!F48)</f>
        <v>1169</v>
      </c>
      <c r="F48" s="46" t="n">
        <f aca="false">IF($A48="","",SUM(Weekly_Demand!G48:BF48))</f>
        <v>20271</v>
      </c>
      <c r="G48" s="51" t="n">
        <f aca="false">IF($A48="","",IFERROR(F48/Assumptions!$B$6,0))</f>
        <v>389.826923076923</v>
      </c>
      <c r="H48" s="51" t="n">
        <f aca="false">IF($A48="","",STDEV(Weekly_Demand!G48:BF48))</f>
        <v>485.312299741664</v>
      </c>
      <c r="I48" s="52" t="n">
        <f aca="false">IF($A48="","",IFERROR(H48/G48,0))</f>
        <v>1.24494300165589</v>
      </c>
      <c r="J48" s="53" t="n">
        <f aca="false">IF($A48="","",F48*C48)</f>
        <v>15203.25</v>
      </c>
      <c r="K48" s="54" t="n">
        <f aca="false">IF($A48="","",IFERROR(J48/$J$505,0))</f>
        <v>0.00393387691129965</v>
      </c>
      <c r="L48" s="54" t="n">
        <f aca="false">IF($A48="","",IFERROR(SUMIFS($J$5:$J$504,$AB$5:$AB$504,"&lt;="&amp;AB48)/$J$505,0))</f>
        <v>0.275370585798678</v>
      </c>
      <c r="M48" s="55" t="str">
        <f aca="false">IF($A48="","",IF(L48&lt;=Assumptions!$B$7,"A",IF(L48&lt;=Assumptions!$B$8,"B","C")))</f>
        <v>A</v>
      </c>
      <c r="N48" s="55" t="str">
        <f aca="false">IF($A48="","",IF(I48&lt;=Assumptions!$B$9,"X",IF(I48&lt;=Assumptions!$B$10,"Y","Z")))</f>
        <v>Z</v>
      </c>
      <c r="O48" s="56" t="str">
        <f aca="false">IF($A48="","",M48&amp;N48)</f>
        <v>AZ</v>
      </c>
      <c r="P48" s="57" t="n">
        <f aca="false">IF($A48="","",INDEX(Assumptions!$B$35:$B$37,MATCH(M48,Assumptions!$A$35:$A$37,0)))</f>
        <v>0.98</v>
      </c>
      <c r="Q48" s="58" t="n">
        <f aca="false">IF($A48="","",NORMSINV(P48))</f>
        <v>2.05374891063182</v>
      </c>
      <c r="R48" s="48" t="n">
        <f aca="false">IF($A48="","",ROUNDUP(Q48*H48*SQRT(D48),0))</f>
        <v>2820</v>
      </c>
      <c r="S48" s="48" t="n">
        <f aca="false">IF($A48="","",ROUNDUP(G48*D48+R48,0))</f>
        <v>5939</v>
      </c>
      <c r="T48" s="46" t="n">
        <f aca="false">IF($A48="","",IFERROR(ROUND(SQRT(2*F48*Assumptions!$B$4/(Assumptions!$B$5*C48)),0),0))</f>
        <v>3288</v>
      </c>
      <c r="U48" s="53" t="n">
        <f aca="false">IF($A48="","",R48*C48)</f>
        <v>2115</v>
      </c>
      <c r="V48" s="53" t="n">
        <f aca="false">IF($A48="","",E48*C48)</f>
        <v>876.75</v>
      </c>
      <c r="W48" s="59" t="n">
        <f aca="false">IF($A48="","",IFERROR(E48/G48,0))</f>
        <v>2.99876671106507</v>
      </c>
      <c r="X48" s="48" t="n">
        <f aca="false">IF($A48="","",S48+T48)</f>
        <v>9227</v>
      </c>
      <c r="Y48" s="48" t="n">
        <f aca="false">IF($A48="","",MAX(0,E48-X48))</f>
        <v>0</v>
      </c>
      <c r="Z48" s="53" t="n">
        <f aca="false">IF($A48="","",Y48*C48)</f>
        <v>0</v>
      </c>
      <c r="AA48" s="56" t="str">
        <f aca="false">IF($A48="","",IF(E48&lt;=R48,"Below Safety Stock",IF(E48&lt;=S48,"Reorder Now",IF(E48&gt;X48,"Excess","Healthy"))))</f>
        <v>Below Safety Stock</v>
      </c>
      <c r="AB48" s="48" t="n">
        <f aca="false">IF($A48="","",RANK(AF48,$AF$5:$AF$504,0)+COUNTIF($AF$5:AF48,AF48)-1)</f>
        <v>42</v>
      </c>
      <c r="AC48" s="44" t="str">
        <f aca="false">IF($A48="","",Weekly_Demand!B48)</f>
        <v>RED  HARMONICA IN BOX</v>
      </c>
      <c r="AD48" s="59" t="n">
        <f aca="false">IF($A48="","",H48*SQRT(D48))</f>
        <v>1372.67047256228</v>
      </c>
      <c r="AE48" s="53" t="n">
        <f aca="false">IF($A48="","",AD48*C48)</f>
        <v>1029.50285442171</v>
      </c>
      <c r="AF48" s="53" t="n">
        <f aca="false">IF($A48="","",ROUND(J48,2))</f>
        <v>15203.25</v>
      </c>
    </row>
    <row r="49" customFormat="false" ht="15" hidden="false" customHeight="false" outlineLevel="0" collapsed="false">
      <c r="A49" s="44" t="str">
        <f aca="false">IF(Weekly_Demand!A49="","",Weekly_Demand!A49)</f>
        <v>23173</v>
      </c>
      <c r="B49" s="44" t="str">
        <f aca="false">IF($A49="","",Weekly_Demand!C49)</f>
        <v>Other</v>
      </c>
      <c r="C49" s="45" t="n">
        <f aca="false">IF($A49="","",Weekly_Demand!D49)</f>
        <v>5.97</v>
      </c>
      <c r="D49" s="46" t="n">
        <f aca="false">IF($A49="","",Weekly_Demand!E49+Assumptions!$B$19)</f>
        <v>4</v>
      </c>
      <c r="E49" s="46" t="n">
        <f aca="false">IF($A49="","",Weekly_Demand!F49)</f>
        <v>368</v>
      </c>
      <c r="F49" s="46" t="n">
        <f aca="false">IF($A49="","",SUM(Weekly_Demand!G49:BF49))</f>
        <v>2736</v>
      </c>
      <c r="G49" s="51" t="n">
        <f aca="false">IF($A49="","",IFERROR(F49/Assumptions!$B$6,0))</f>
        <v>52.6153846153846</v>
      </c>
      <c r="H49" s="51" t="n">
        <f aca="false">IF($A49="","",STDEV(Weekly_Demand!G49:BF49))</f>
        <v>98.9498097861331</v>
      </c>
      <c r="I49" s="52" t="n">
        <f aca="false">IF($A49="","",IFERROR(H49/G49,0))</f>
        <v>1.88062503979493</v>
      </c>
      <c r="J49" s="53" t="n">
        <f aca="false">IF($A49="","",F49*C49)</f>
        <v>16333.92</v>
      </c>
      <c r="K49" s="54" t="n">
        <f aca="false">IF($A49="","",IFERROR(J49/$J$505,0))</f>
        <v>0.00422644044918129</v>
      </c>
      <c r="L49" s="54" t="n">
        <f aca="false">IF($A49="","",IFERROR(SUMIFS($J$5:$J$504,$AB$5:$AB$504,"&lt;="&amp;AB49)/$J$505,0))</f>
        <v>0.254833617495958</v>
      </c>
      <c r="M49" s="55" t="str">
        <f aca="false">IF($A49="","",IF(L49&lt;=Assumptions!$B$7,"A",IF(L49&lt;=Assumptions!$B$8,"B","C")))</f>
        <v>A</v>
      </c>
      <c r="N49" s="55" t="str">
        <f aca="false">IF($A49="","",IF(I49&lt;=Assumptions!$B$9,"X",IF(I49&lt;=Assumptions!$B$10,"Y","Z")))</f>
        <v>Z</v>
      </c>
      <c r="O49" s="56" t="str">
        <f aca="false">IF($A49="","",M49&amp;N49)</f>
        <v>AZ</v>
      </c>
      <c r="P49" s="57" t="n">
        <f aca="false">IF($A49="","",INDEX(Assumptions!$B$35:$B$37,MATCH(M49,Assumptions!$A$35:$A$37,0)))</f>
        <v>0.98</v>
      </c>
      <c r="Q49" s="58" t="n">
        <f aca="false">IF($A49="","",NORMSINV(P49))</f>
        <v>2.05374891063182</v>
      </c>
      <c r="R49" s="48" t="n">
        <f aca="false">IF($A49="","",ROUNDUP(Q49*H49*SQRT(D49),0))</f>
        <v>407</v>
      </c>
      <c r="S49" s="48" t="n">
        <f aca="false">IF($A49="","",ROUNDUP(G49*D49+R49,0))</f>
        <v>618</v>
      </c>
      <c r="T49" s="46" t="n">
        <f aca="false">IF($A49="","",IFERROR(ROUND(SQRT(2*F49*Assumptions!$B$4/(Assumptions!$B$5*C49)),0),0))</f>
        <v>428</v>
      </c>
      <c r="U49" s="53" t="n">
        <f aca="false">IF($A49="","",R49*C49)</f>
        <v>2429.79</v>
      </c>
      <c r="V49" s="53" t="n">
        <f aca="false">IF($A49="","",E49*C49)</f>
        <v>2196.96</v>
      </c>
      <c r="W49" s="59" t="n">
        <f aca="false">IF($A49="","",IFERROR(E49/G49,0))</f>
        <v>6.99415204678363</v>
      </c>
      <c r="X49" s="48" t="n">
        <f aca="false">IF($A49="","",S49+T49)</f>
        <v>1046</v>
      </c>
      <c r="Y49" s="48" t="n">
        <f aca="false">IF($A49="","",MAX(0,E49-X49))</f>
        <v>0</v>
      </c>
      <c r="Z49" s="53" t="n">
        <f aca="false">IF($A49="","",Y49*C49)</f>
        <v>0</v>
      </c>
      <c r="AA49" s="56" t="str">
        <f aca="false">IF($A49="","",IF(E49&lt;=R49,"Below Safety Stock",IF(E49&lt;=S49,"Reorder Now",IF(E49&gt;X49,"Excess","Healthy"))))</f>
        <v>Below Safety Stock</v>
      </c>
      <c r="AB49" s="48" t="n">
        <f aca="false">IF($A49="","",RANK(AF49,$AF$5:$AF$504,0)+COUNTIF($AF$5:AF49,AF49)-1)</f>
        <v>37</v>
      </c>
      <c r="AC49" s="44" t="str">
        <f aca="false">IF($A49="","",Weekly_Demand!B49)</f>
        <v>REGENCY TEAPOT ROSES</v>
      </c>
      <c r="AD49" s="59" t="n">
        <f aca="false">IF($A49="","",H49*SQRT(D49))</f>
        <v>197.899619572266</v>
      </c>
      <c r="AE49" s="53" t="n">
        <f aca="false">IF($A49="","",AD49*C49)</f>
        <v>1181.46072884643</v>
      </c>
      <c r="AF49" s="53" t="n">
        <f aca="false">IF($A49="","",ROUND(J49,2))</f>
        <v>16333.92</v>
      </c>
    </row>
    <row r="50" customFormat="false" ht="15" hidden="false" customHeight="false" outlineLevel="0" collapsed="false">
      <c r="A50" s="44" t="str">
        <f aca="false">IF(Weekly_Demand!A50="","",Weekly_Demand!A50)</f>
        <v>22666</v>
      </c>
      <c r="B50" s="44" t="str">
        <f aca="false">IF($A50="","",Weekly_Demand!C50)</f>
        <v>Other</v>
      </c>
      <c r="C50" s="45" t="n">
        <f aca="false">IF($A50="","",Weekly_Demand!D50)</f>
        <v>1.77</v>
      </c>
      <c r="D50" s="46" t="n">
        <f aca="false">IF($A50="","",Weekly_Demand!E50+Assumptions!$B$19)</f>
        <v>6</v>
      </c>
      <c r="E50" s="46" t="n">
        <f aca="false">IF($A50="","",Weekly_Demand!F50)</f>
        <v>6232</v>
      </c>
      <c r="F50" s="46" t="n">
        <f aca="false">IF($A50="","",SUM(Weekly_Demand!G50:BF50))</f>
        <v>7716</v>
      </c>
      <c r="G50" s="51" t="n">
        <f aca="false">IF($A50="","",IFERROR(F50/Assumptions!$B$6,0))</f>
        <v>148.384615384615</v>
      </c>
      <c r="H50" s="51" t="n">
        <f aca="false">IF($A50="","",STDEV(Weekly_Demand!G50:BF50))</f>
        <v>132.453640257625</v>
      </c>
      <c r="I50" s="52" t="n">
        <f aca="false">IF($A50="","",IFERROR(H50/G50,0))</f>
        <v>0.89263728530281</v>
      </c>
      <c r="J50" s="53" t="n">
        <f aca="false">IF($A50="","",F50*C50)</f>
        <v>13657.32</v>
      </c>
      <c r="K50" s="54" t="n">
        <f aca="false">IF($A50="","",IFERROR(J50/$J$505,0))</f>
        <v>0.00353386386583335</v>
      </c>
      <c r="L50" s="54" t="n">
        <f aca="false">IF($A50="","",IFERROR(SUMIFS($J$5:$J$504,$AB$5:$AB$504,"&lt;="&amp;AB50)/$J$505,0))</f>
        <v>0.327321416686655</v>
      </c>
      <c r="M50" s="55" t="str">
        <f aca="false">IF($A50="","",IF(L50&lt;=Assumptions!$B$7,"A",IF(L50&lt;=Assumptions!$B$8,"B","C")))</f>
        <v>A</v>
      </c>
      <c r="N50" s="55" t="str">
        <f aca="false">IF($A50="","",IF(I50&lt;=Assumptions!$B$9,"X",IF(I50&lt;=Assumptions!$B$10,"Y","Z")))</f>
        <v>Y</v>
      </c>
      <c r="O50" s="56" t="str">
        <f aca="false">IF($A50="","",M50&amp;N50)</f>
        <v>AY</v>
      </c>
      <c r="P50" s="57" t="n">
        <f aca="false">IF($A50="","",INDEX(Assumptions!$B$35:$B$37,MATCH(M50,Assumptions!$A$35:$A$37,0)))</f>
        <v>0.98</v>
      </c>
      <c r="Q50" s="58" t="n">
        <f aca="false">IF($A50="","",NORMSINV(P50))</f>
        <v>2.05374891063182</v>
      </c>
      <c r="R50" s="48" t="n">
        <f aca="false">IF($A50="","",ROUNDUP(Q50*H50*SQRT(D50),0))</f>
        <v>667</v>
      </c>
      <c r="S50" s="48" t="n">
        <f aca="false">IF($A50="","",ROUNDUP(G50*D50+R50,0))</f>
        <v>1558</v>
      </c>
      <c r="T50" s="46" t="n">
        <f aca="false">IF($A50="","",IFERROR(ROUND(SQRT(2*F50*Assumptions!$B$4/(Assumptions!$B$5*C50)),0),0))</f>
        <v>1321</v>
      </c>
      <c r="U50" s="53" t="n">
        <f aca="false">IF($A50="","",R50*C50)</f>
        <v>1180.59</v>
      </c>
      <c r="V50" s="53" t="n">
        <f aca="false">IF($A50="","",E50*C50)</f>
        <v>11030.64</v>
      </c>
      <c r="W50" s="59" t="n">
        <f aca="false">IF($A50="","",IFERROR(E50/G50,0))</f>
        <v>41.9989631933644</v>
      </c>
      <c r="X50" s="48" t="n">
        <f aca="false">IF($A50="","",S50+T50)</f>
        <v>2879</v>
      </c>
      <c r="Y50" s="48" t="n">
        <f aca="false">IF($A50="","",MAX(0,E50-X50))</f>
        <v>3353</v>
      </c>
      <c r="Z50" s="53" t="n">
        <f aca="false">IF($A50="","",Y50*C50)</f>
        <v>5934.81</v>
      </c>
      <c r="AA50" s="56" t="str">
        <f aca="false">IF($A50="","",IF(E50&lt;=R50,"Below Safety Stock",IF(E50&lt;=S50,"Reorder Now",IF(E50&gt;X50,"Excess","Healthy"))))</f>
        <v>Excess</v>
      </c>
      <c r="AB50" s="48" t="n">
        <f aca="false">IF($A50="","",RANK(AF50,$AF$5:$AF$504,0)+COUNTIF($AF$5:AF50,AF50)-1)</f>
        <v>56</v>
      </c>
      <c r="AC50" s="44" t="str">
        <f aca="false">IF($A50="","",Weekly_Demand!B50)</f>
        <v>RECIPE BOX PANTRY YELLOW DESIGN</v>
      </c>
      <c r="AD50" s="59" t="n">
        <f aca="false">IF($A50="","",H50*SQRT(D50))</f>
        <v>324.443833205344</v>
      </c>
      <c r="AE50" s="53" t="n">
        <f aca="false">IF($A50="","",AD50*C50)</f>
        <v>574.26558477346</v>
      </c>
      <c r="AF50" s="53" t="n">
        <f aca="false">IF($A50="","",ROUND(J50,2))</f>
        <v>13657.32</v>
      </c>
    </row>
    <row r="51" customFormat="false" ht="15" hidden="false" customHeight="false" outlineLevel="0" collapsed="false">
      <c r="A51" s="44" t="str">
        <f aca="false">IF(Weekly_Demand!A51="","",Weekly_Demand!A51)</f>
        <v>21621</v>
      </c>
      <c r="B51" s="44" t="str">
        <f aca="false">IF($A51="","",Weekly_Demand!C51)</f>
        <v>Other</v>
      </c>
      <c r="C51" s="45" t="n">
        <f aca="false">IF($A51="","",Weekly_Demand!D51)</f>
        <v>5.1</v>
      </c>
      <c r="D51" s="46" t="n">
        <f aca="false">IF($A51="","",Weekly_Demand!E51+Assumptions!$B$19)</f>
        <v>4</v>
      </c>
      <c r="E51" s="46" t="n">
        <f aca="false">IF($A51="","",Weekly_Demand!F51)</f>
        <v>851</v>
      </c>
      <c r="F51" s="46" t="n">
        <f aca="false">IF($A51="","",SUM(Weekly_Demand!G51:BF51))</f>
        <v>2766</v>
      </c>
      <c r="G51" s="51" t="n">
        <f aca="false">IF($A51="","",IFERROR(F51/Assumptions!$B$6,0))</f>
        <v>53.1923076923077</v>
      </c>
      <c r="H51" s="51" t="n">
        <f aca="false">IF($A51="","",STDEV(Weekly_Demand!G51:BF51))</f>
        <v>68.7202451722265</v>
      </c>
      <c r="I51" s="52" t="n">
        <f aca="false">IF($A51="","",IFERROR(H51/G51,0))</f>
        <v>1.29192073353427</v>
      </c>
      <c r="J51" s="53" t="n">
        <f aca="false">IF($A51="","",F51*C51)</f>
        <v>14106.6</v>
      </c>
      <c r="K51" s="54" t="n">
        <f aca="false">IF($A51="","",IFERROR(J51/$J$505,0))</f>
        <v>0.00365011612891583</v>
      </c>
      <c r="L51" s="54" t="n">
        <f aca="false">IF($A51="","",IFERROR(SUMIFS($J$5:$J$504,$AB$5:$AB$504,"&lt;="&amp;AB51)/$J$505,0))</f>
        <v>0.305714586010453</v>
      </c>
      <c r="M51" s="55" t="str">
        <f aca="false">IF($A51="","",IF(L51&lt;=Assumptions!$B$7,"A",IF(L51&lt;=Assumptions!$B$8,"B","C")))</f>
        <v>A</v>
      </c>
      <c r="N51" s="55" t="str">
        <f aca="false">IF($A51="","",IF(I51&lt;=Assumptions!$B$9,"X",IF(I51&lt;=Assumptions!$B$10,"Y","Z")))</f>
        <v>Z</v>
      </c>
      <c r="O51" s="56" t="str">
        <f aca="false">IF($A51="","",M51&amp;N51)</f>
        <v>AZ</v>
      </c>
      <c r="P51" s="57" t="n">
        <f aca="false">IF($A51="","",INDEX(Assumptions!$B$35:$B$37,MATCH(M51,Assumptions!$A$35:$A$37,0)))</f>
        <v>0.98</v>
      </c>
      <c r="Q51" s="58" t="n">
        <f aca="false">IF($A51="","",NORMSINV(P51))</f>
        <v>2.05374891063182</v>
      </c>
      <c r="R51" s="48" t="n">
        <f aca="false">IF($A51="","",ROUNDUP(Q51*H51*SQRT(D51),0))</f>
        <v>283</v>
      </c>
      <c r="S51" s="48" t="n">
        <f aca="false">IF($A51="","",ROUNDUP(G51*D51+R51,0))</f>
        <v>496</v>
      </c>
      <c r="T51" s="46" t="n">
        <f aca="false">IF($A51="","",IFERROR(ROUND(SQRT(2*F51*Assumptions!$B$4/(Assumptions!$B$5*C51)),0),0))</f>
        <v>466</v>
      </c>
      <c r="U51" s="53" t="n">
        <f aca="false">IF($A51="","",R51*C51)</f>
        <v>1443.3</v>
      </c>
      <c r="V51" s="53" t="n">
        <f aca="false">IF($A51="","",E51*C51)</f>
        <v>4340.1</v>
      </c>
      <c r="W51" s="59" t="n">
        <f aca="false">IF($A51="","",IFERROR(E51/G51,0))</f>
        <v>15.998553868402</v>
      </c>
      <c r="X51" s="48" t="n">
        <f aca="false">IF($A51="","",S51+T51)</f>
        <v>962</v>
      </c>
      <c r="Y51" s="48" t="n">
        <f aca="false">IF($A51="","",MAX(0,E51-X51))</f>
        <v>0</v>
      </c>
      <c r="Z51" s="53" t="n">
        <f aca="false">IF($A51="","",Y51*C51)</f>
        <v>0</v>
      </c>
      <c r="AA51" s="56" t="str">
        <f aca="false">IF($A51="","",IF(E51&lt;=R51,"Below Safety Stock",IF(E51&lt;=S51,"Reorder Now",IF(E51&gt;X51,"Excess","Healthy"))))</f>
        <v>Healthy</v>
      </c>
      <c r="AB51" s="48" t="n">
        <f aca="false">IF($A51="","",RANK(AF51,$AF$5:$AF$504,0)+COUNTIF($AF$5:AF51,AF51)-1)</f>
        <v>50</v>
      </c>
      <c r="AC51" s="44" t="str">
        <f aca="false">IF($A51="","",Weekly_Demand!B51)</f>
        <v>VINTAGE UNION JACK BUNTING</v>
      </c>
      <c r="AD51" s="59" t="n">
        <f aca="false">IF($A51="","",H51*SQRT(D51))</f>
        <v>137.440490344453</v>
      </c>
      <c r="AE51" s="53" t="n">
        <f aca="false">IF($A51="","",AD51*C51)</f>
        <v>700.94650075671</v>
      </c>
      <c r="AF51" s="53" t="n">
        <f aca="false">IF($A51="","",ROUND(J51,2))</f>
        <v>14106.6</v>
      </c>
    </row>
    <row r="52" customFormat="false" ht="15" hidden="false" customHeight="false" outlineLevel="0" collapsed="false">
      <c r="A52" s="44" t="str">
        <f aca="false">IF(Weekly_Demand!A52="","",Weekly_Demand!A52)</f>
        <v>22722</v>
      </c>
      <c r="B52" s="44" t="str">
        <f aca="false">IF($A52="","",Weekly_Demand!C52)</f>
        <v>Kitchen</v>
      </c>
      <c r="C52" s="45" t="n">
        <f aca="false">IF($A52="","",Weekly_Demand!D52)</f>
        <v>2.37</v>
      </c>
      <c r="D52" s="46" t="n">
        <f aca="false">IF($A52="","",Weekly_Demand!E52+Assumptions!$B$19)</f>
        <v>6</v>
      </c>
      <c r="E52" s="46" t="n">
        <f aca="false">IF($A52="","",Weekly_Demand!F52)</f>
        <v>1022</v>
      </c>
      <c r="F52" s="46" t="n">
        <f aca="false">IF($A52="","",SUM(Weekly_Demand!G52:BF52))</f>
        <v>5907</v>
      </c>
      <c r="G52" s="51" t="n">
        <f aca="false">IF($A52="","",IFERROR(F52/Assumptions!$B$6,0))</f>
        <v>113.596153846154</v>
      </c>
      <c r="H52" s="51" t="n">
        <f aca="false">IF($A52="","",STDEV(Weekly_Demand!G52:BF52))</f>
        <v>163.391057380678</v>
      </c>
      <c r="I52" s="52" t="n">
        <f aca="false">IF($A52="","",IFERROR(H52/G52,0))</f>
        <v>1.43835025965723</v>
      </c>
      <c r="J52" s="53" t="n">
        <f aca="false">IF($A52="","",F52*C52)</f>
        <v>13999.59</v>
      </c>
      <c r="K52" s="54" t="n">
        <f aca="false">IF($A52="","",IFERROR(J52/$J$505,0))</f>
        <v>0.00362242703820969</v>
      </c>
      <c r="L52" s="54" t="n">
        <f aca="false">IF($A52="","",IFERROR(SUMIFS($J$5:$J$504,$AB$5:$AB$504,"&lt;="&amp;AB52)/$J$505,0))</f>
        <v>0.316635390052029</v>
      </c>
      <c r="M52" s="55" t="str">
        <f aca="false">IF($A52="","",IF(L52&lt;=Assumptions!$B$7,"A",IF(L52&lt;=Assumptions!$B$8,"B","C")))</f>
        <v>A</v>
      </c>
      <c r="N52" s="55" t="str">
        <f aca="false">IF($A52="","",IF(I52&lt;=Assumptions!$B$9,"X",IF(I52&lt;=Assumptions!$B$10,"Y","Z")))</f>
        <v>Z</v>
      </c>
      <c r="O52" s="56" t="str">
        <f aca="false">IF($A52="","",M52&amp;N52)</f>
        <v>AZ</v>
      </c>
      <c r="P52" s="57" t="n">
        <f aca="false">IF($A52="","",INDEX(Assumptions!$B$35:$B$37,MATCH(M52,Assumptions!$A$35:$A$37,0)))</f>
        <v>0.98</v>
      </c>
      <c r="Q52" s="58" t="n">
        <f aca="false">IF($A52="","",NORMSINV(P52))</f>
        <v>2.05374891063182</v>
      </c>
      <c r="R52" s="48" t="n">
        <f aca="false">IF($A52="","",ROUNDUP(Q52*H52*SQRT(D52),0))</f>
        <v>822</v>
      </c>
      <c r="S52" s="48" t="n">
        <f aca="false">IF($A52="","",ROUNDUP(G52*D52+R52,0))</f>
        <v>1504</v>
      </c>
      <c r="T52" s="46" t="n">
        <f aca="false">IF($A52="","",IFERROR(ROUND(SQRT(2*F52*Assumptions!$B$4/(Assumptions!$B$5*C52)),0),0))</f>
        <v>998</v>
      </c>
      <c r="U52" s="53" t="n">
        <f aca="false">IF($A52="","",R52*C52)</f>
        <v>1948.14</v>
      </c>
      <c r="V52" s="53" t="n">
        <f aca="false">IF($A52="","",E52*C52)</f>
        <v>2422.14</v>
      </c>
      <c r="W52" s="59" t="n">
        <f aca="false">IF($A52="","",IFERROR(E52/G52,0))</f>
        <v>8.99678347723041</v>
      </c>
      <c r="X52" s="48" t="n">
        <f aca="false">IF($A52="","",S52+T52)</f>
        <v>2502</v>
      </c>
      <c r="Y52" s="48" t="n">
        <f aca="false">IF($A52="","",MAX(0,E52-X52))</f>
        <v>0</v>
      </c>
      <c r="Z52" s="53" t="n">
        <f aca="false">IF($A52="","",Y52*C52)</f>
        <v>0</v>
      </c>
      <c r="AA52" s="56" t="str">
        <f aca="false">IF($A52="","",IF(E52&lt;=R52,"Below Safety Stock",IF(E52&lt;=S52,"Reorder Now",IF(E52&gt;X52,"Excess","Healthy"))))</f>
        <v>Reorder Now</v>
      </c>
      <c r="AB52" s="48" t="n">
        <f aca="false">IF($A52="","",RANK(AF52,$AF$5:$AF$504,0)+COUNTIF($AF$5:AF52,AF52)-1)</f>
        <v>53</v>
      </c>
      <c r="AC52" s="44" t="str">
        <f aca="false">IF($A52="","",Weekly_Demand!B52)</f>
        <v>SET OF 6 SPICE TINS PANTRY DESIGN</v>
      </c>
      <c r="AD52" s="59" t="n">
        <f aca="false">IF($A52="","",H52*SQRT(D52))</f>
        <v>400.224719116467</v>
      </c>
      <c r="AE52" s="53" t="n">
        <f aca="false">IF($A52="","",AD52*C52)</f>
        <v>948.532584306028</v>
      </c>
      <c r="AF52" s="53" t="n">
        <f aca="false">IF($A52="","",ROUND(J52,2))</f>
        <v>13999.59</v>
      </c>
    </row>
    <row r="53" customFormat="false" ht="15" hidden="false" customHeight="false" outlineLevel="0" collapsed="false">
      <c r="A53" s="44" t="str">
        <f aca="false">IF(Weekly_Demand!A53="","",Weekly_Demand!A53)</f>
        <v>21181</v>
      </c>
      <c r="B53" s="44" t="str">
        <f aca="false">IF($A53="","",Weekly_Demand!C53)</f>
        <v>Other</v>
      </c>
      <c r="C53" s="45" t="n">
        <f aca="false">IF($A53="","",Weekly_Demand!D53)</f>
        <v>1.26</v>
      </c>
      <c r="D53" s="46" t="n">
        <f aca="false">IF($A53="","",Weekly_Demand!E53+Assumptions!$B$19)</f>
        <v>4</v>
      </c>
      <c r="E53" s="46" t="n">
        <f aca="false">IF($A53="","",Weekly_Demand!F53)</f>
        <v>3156</v>
      </c>
      <c r="F53" s="46" t="n">
        <f aca="false">IF($A53="","",SUM(Weekly_Demand!G53:BF53))</f>
        <v>11721</v>
      </c>
      <c r="G53" s="51" t="n">
        <f aca="false">IF($A53="","",IFERROR(F53/Assumptions!$B$6,0))</f>
        <v>225.403846153846</v>
      </c>
      <c r="H53" s="51" t="n">
        <f aca="false">IF($A53="","",STDEV(Weekly_Demand!G53:BF53))</f>
        <v>275.507464730399</v>
      </c>
      <c r="I53" s="52" t="n">
        <f aca="false">IF($A53="","",IFERROR(H53/G53,0))</f>
        <v>1.22228377834491</v>
      </c>
      <c r="J53" s="53" t="n">
        <f aca="false">IF($A53="","",F53*C53)</f>
        <v>14768.46</v>
      </c>
      <c r="K53" s="54" t="n">
        <f aca="false">IF($A53="","",IFERROR(J53/$J$505,0))</f>
        <v>0.00382137397000328</v>
      </c>
      <c r="L53" s="54" t="n">
        <f aca="false">IF($A53="","",IFERROR(SUMIFS($J$5:$J$504,$AB$5:$AB$504,"&lt;="&amp;AB53)/$J$505,0))</f>
        <v>0.290847384030578</v>
      </c>
      <c r="M53" s="55" t="str">
        <f aca="false">IF($A53="","",IF(L53&lt;=Assumptions!$B$7,"A",IF(L53&lt;=Assumptions!$B$8,"B","C")))</f>
        <v>A</v>
      </c>
      <c r="N53" s="55" t="str">
        <f aca="false">IF($A53="","",IF(I53&lt;=Assumptions!$B$9,"X",IF(I53&lt;=Assumptions!$B$10,"Y","Z")))</f>
        <v>Z</v>
      </c>
      <c r="O53" s="56" t="str">
        <f aca="false">IF($A53="","",M53&amp;N53)</f>
        <v>AZ</v>
      </c>
      <c r="P53" s="57" t="n">
        <f aca="false">IF($A53="","",INDEX(Assumptions!$B$35:$B$37,MATCH(M53,Assumptions!$A$35:$A$37,0)))</f>
        <v>0.98</v>
      </c>
      <c r="Q53" s="58" t="n">
        <f aca="false">IF($A53="","",NORMSINV(P53))</f>
        <v>2.05374891063182</v>
      </c>
      <c r="R53" s="48" t="n">
        <f aca="false">IF($A53="","",ROUNDUP(Q53*H53*SQRT(D53),0))</f>
        <v>1132</v>
      </c>
      <c r="S53" s="48" t="n">
        <f aca="false">IF($A53="","",ROUNDUP(G53*D53+R53,0))</f>
        <v>2034</v>
      </c>
      <c r="T53" s="46" t="n">
        <f aca="false">IF($A53="","",IFERROR(ROUND(SQRT(2*F53*Assumptions!$B$4/(Assumptions!$B$5*C53)),0),0))</f>
        <v>1929</v>
      </c>
      <c r="U53" s="53" t="n">
        <f aca="false">IF($A53="","",R53*C53)</f>
        <v>1426.32</v>
      </c>
      <c r="V53" s="53" t="n">
        <f aca="false">IF($A53="","",E53*C53)</f>
        <v>3976.56</v>
      </c>
      <c r="W53" s="59" t="n">
        <f aca="false">IF($A53="","",IFERROR(E53/G53,0))</f>
        <v>14.0015357051446</v>
      </c>
      <c r="X53" s="48" t="n">
        <f aca="false">IF($A53="","",S53+T53)</f>
        <v>3963</v>
      </c>
      <c r="Y53" s="48" t="n">
        <f aca="false">IF($A53="","",MAX(0,E53-X53))</f>
        <v>0</v>
      </c>
      <c r="Z53" s="53" t="n">
        <f aca="false">IF($A53="","",Y53*C53)</f>
        <v>0</v>
      </c>
      <c r="AA53" s="56" t="str">
        <f aca="false">IF($A53="","",IF(E53&lt;=R53,"Below Safety Stock",IF(E53&lt;=S53,"Reorder Now",IF(E53&gt;X53,"Excess","Healthy"))))</f>
        <v>Healthy</v>
      </c>
      <c r="AB53" s="48" t="n">
        <f aca="false">IF($A53="","",RANK(AF53,$AF$5:$AF$504,0)+COUNTIF($AF$5:AF53,AF53)-1)</f>
        <v>46</v>
      </c>
      <c r="AC53" s="44" t="str">
        <f aca="false">IF($A53="","",Weekly_Demand!B53)</f>
        <v>PLEASE ONE PERSON METAL SIGN</v>
      </c>
      <c r="AD53" s="59" t="n">
        <f aca="false">IF($A53="","",H53*SQRT(D53))</f>
        <v>551.014929460798</v>
      </c>
      <c r="AE53" s="53" t="n">
        <f aca="false">IF($A53="","",AD53*C53)</f>
        <v>694.278811120605</v>
      </c>
      <c r="AF53" s="53" t="n">
        <f aca="false">IF($A53="","",ROUND(J53,2))</f>
        <v>14768.46</v>
      </c>
    </row>
    <row r="54" customFormat="false" ht="15" hidden="false" customHeight="false" outlineLevel="0" collapsed="false">
      <c r="A54" s="44" t="str">
        <f aca="false">IF(Weekly_Demand!A54="","",Weekly_Demand!A54)</f>
        <v>48185</v>
      </c>
      <c r="B54" s="44" t="str">
        <f aca="false">IF($A54="","",Weekly_Demand!C54)</f>
        <v>Kitchen</v>
      </c>
      <c r="C54" s="45" t="n">
        <f aca="false">IF($A54="","",Weekly_Demand!D54)</f>
        <v>4.77</v>
      </c>
      <c r="D54" s="46" t="n">
        <f aca="false">IF($A54="","",Weekly_Demand!E54+Assumptions!$B$19)</f>
        <v>4</v>
      </c>
      <c r="E54" s="46" t="n">
        <f aca="false">IF($A54="","",Weekly_Demand!F54)</f>
        <v>69</v>
      </c>
      <c r="F54" s="46" t="n">
        <f aca="false">IF($A54="","",SUM(Weekly_Demand!G54:BF54))</f>
        <v>3589</v>
      </c>
      <c r="G54" s="51" t="n">
        <f aca="false">IF($A54="","",IFERROR(F54/Assumptions!$B$6,0))</f>
        <v>69.0192307692308</v>
      </c>
      <c r="H54" s="51" t="n">
        <f aca="false">IF($A54="","",STDEV(Weekly_Demand!G54:BF54))</f>
        <v>160.640567042665</v>
      </c>
      <c r="I54" s="52" t="n">
        <f aca="false">IF($A54="","",IFERROR(H54/G54,0))</f>
        <v>2.32747547679536</v>
      </c>
      <c r="J54" s="53" t="n">
        <f aca="false">IF($A54="","",F54*C54)</f>
        <v>17119.53</v>
      </c>
      <c r="K54" s="54" t="n">
        <f aca="false">IF($A54="","",IFERROR(J54/$J$505,0))</f>
        <v>0.00442971889558493</v>
      </c>
      <c r="L54" s="54" t="n">
        <f aca="false">IF($A54="","",IFERROR(SUMIFS($J$5:$J$504,$AB$5:$AB$504,"&lt;="&amp;AB54)/$J$505,0))</f>
        <v>0.224557308455693</v>
      </c>
      <c r="M54" s="55" t="str">
        <f aca="false">IF($A54="","",IF(L54&lt;=Assumptions!$B$7,"A",IF(L54&lt;=Assumptions!$B$8,"B","C")))</f>
        <v>A</v>
      </c>
      <c r="N54" s="55" t="str">
        <f aca="false">IF($A54="","",IF(I54&lt;=Assumptions!$B$9,"X",IF(I54&lt;=Assumptions!$B$10,"Y","Z")))</f>
        <v>Z</v>
      </c>
      <c r="O54" s="56" t="str">
        <f aca="false">IF($A54="","",M54&amp;N54)</f>
        <v>AZ</v>
      </c>
      <c r="P54" s="57" t="n">
        <f aca="false">IF($A54="","",INDEX(Assumptions!$B$35:$B$37,MATCH(M54,Assumptions!$A$35:$A$37,0)))</f>
        <v>0.98</v>
      </c>
      <c r="Q54" s="58" t="n">
        <f aca="false">IF($A54="","",NORMSINV(P54))</f>
        <v>2.05374891063182</v>
      </c>
      <c r="R54" s="48" t="n">
        <f aca="false">IF($A54="","",ROUNDUP(Q54*H54*SQRT(D54),0))</f>
        <v>660</v>
      </c>
      <c r="S54" s="48" t="n">
        <f aca="false">IF($A54="","",ROUNDUP(G54*D54+R54,0))</f>
        <v>937</v>
      </c>
      <c r="T54" s="46" t="n">
        <f aca="false">IF($A54="","",IFERROR(ROUND(SQRT(2*F54*Assumptions!$B$4/(Assumptions!$B$5*C54)),0),0))</f>
        <v>549</v>
      </c>
      <c r="U54" s="53" t="n">
        <f aca="false">IF($A54="","",R54*C54)</f>
        <v>3148.2</v>
      </c>
      <c r="V54" s="53" t="n">
        <f aca="false">IF($A54="","",E54*C54)</f>
        <v>329.13</v>
      </c>
      <c r="W54" s="59" t="n">
        <f aca="false">IF($A54="","",IFERROR(E54/G54,0))</f>
        <v>0.999721370855391</v>
      </c>
      <c r="X54" s="48" t="n">
        <f aca="false">IF($A54="","",S54+T54)</f>
        <v>1486</v>
      </c>
      <c r="Y54" s="48" t="n">
        <f aca="false">IF($A54="","",MAX(0,E54-X54))</f>
        <v>0</v>
      </c>
      <c r="Z54" s="53" t="n">
        <f aca="false">IF($A54="","",Y54*C54)</f>
        <v>0</v>
      </c>
      <c r="AA54" s="56" t="str">
        <f aca="false">IF($A54="","",IF(E54&lt;=R54,"Below Safety Stock",IF(E54&lt;=S54,"Reorder Now",IF(E54&gt;X54,"Excess","Healthy"))))</f>
        <v>Below Safety Stock</v>
      </c>
      <c r="AB54" s="48" t="n">
        <f aca="false">IF($A54="","",RANK(AF54,$AF$5:$AF$504,0)+COUNTIF($AF$5:AF54,AF54)-1)</f>
        <v>30</v>
      </c>
      <c r="AC54" s="44" t="str">
        <f aca="false">IF($A54="","",Weekly_Demand!B54)</f>
        <v>DOORMAT FAIRY CAKE</v>
      </c>
      <c r="AD54" s="59" t="n">
        <f aca="false">IF($A54="","",H54*SQRT(D54))</f>
        <v>321.281134085329</v>
      </c>
      <c r="AE54" s="53" t="n">
        <f aca="false">IF($A54="","",AD54*C54)</f>
        <v>1532.51100958702</v>
      </c>
      <c r="AF54" s="53" t="n">
        <f aca="false">IF($A54="","",ROUND(J54,2))</f>
        <v>17119.53</v>
      </c>
    </row>
    <row r="55" customFormat="false" ht="15" hidden="false" customHeight="false" outlineLevel="0" collapsed="false">
      <c r="A55" s="44" t="str">
        <f aca="false">IF(Weekly_Demand!A55="","",Weekly_Demand!A55)</f>
        <v>48187</v>
      </c>
      <c r="B55" s="44" t="str">
        <f aca="false">IF($A55="","",Weekly_Demand!C55)</f>
        <v>Other</v>
      </c>
      <c r="C55" s="45" t="n">
        <f aca="false">IF($A55="","",Weekly_Demand!D55)</f>
        <v>4.77</v>
      </c>
      <c r="D55" s="46" t="n">
        <f aca="false">IF($A55="","",Weekly_Demand!E55+Assumptions!$B$19)</f>
        <v>8</v>
      </c>
      <c r="E55" s="46" t="n">
        <f aca="false">IF($A55="","",Weekly_Demand!F55)</f>
        <v>1008</v>
      </c>
      <c r="F55" s="46" t="n">
        <f aca="false">IF($A55="","",SUM(Weekly_Demand!G55:BF55))</f>
        <v>3743</v>
      </c>
      <c r="G55" s="51" t="n">
        <f aca="false">IF($A55="","",IFERROR(F55/Assumptions!$B$6,0))</f>
        <v>71.9807692307692</v>
      </c>
      <c r="H55" s="51" t="n">
        <f aca="false">IF($A55="","",STDEV(Weekly_Demand!G55:BF55))</f>
        <v>122.182038791789</v>
      </c>
      <c r="I55" s="52" t="n">
        <f aca="false">IF($A55="","",IFERROR(H55/G55,0))</f>
        <v>1.69742613336175</v>
      </c>
      <c r="J55" s="53" t="n">
        <f aca="false">IF($A55="","",F55*C55)</f>
        <v>17854.11</v>
      </c>
      <c r="K55" s="54" t="n">
        <f aca="false">IF($A55="","",IFERROR(J55/$J$505,0))</f>
        <v>0.00461979320874182</v>
      </c>
      <c r="L55" s="54" t="n">
        <f aca="false">IF($A55="","",IFERROR(SUMIFS($J$5:$J$504,$AB$5:$AB$504,"&lt;="&amp;AB55)/$J$505,0))</f>
        <v>0.206533736437021</v>
      </c>
      <c r="M55" s="55" t="str">
        <f aca="false">IF($A55="","",IF(L55&lt;=Assumptions!$B$7,"A",IF(L55&lt;=Assumptions!$B$8,"B","C")))</f>
        <v>A</v>
      </c>
      <c r="N55" s="55" t="str">
        <f aca="false">IF($A55="","",IF(I55&lt;=Assumptions!$B$9,"X",IF(I55&lt;=Assumptions!$B$10,"Y","Z")))</f>
        <v>Z</v>
      </c>
      <c r="O55" s="56" t="str">
        <f aca="false">IF($A55="","",M55&amp;N55)</f>
        <v>AZ</v>
      </c>
      <c r="P55" s="57" t="n">
        <f aca="false">IF($A55="","",INDEX(Assumptions!$B$35:$B$37,MATCH(M55,Assumptions!$A$35:$A$37,0)))</f>
        <v>0.98</v>
      </c>
      <c r="Q55" s="58" t="n">
        <f aca="false">IF($A55="","",NORMSINV(P55))</f>
        <v>2.05374891063182</v>
      </c>
      <c r="R55" s="48" t="n">
        <f aca="false">IF($A55="","",ROUNDUP(Q55*H55*SQRT(D55),0))</f>
        <v>710</v>
      </c>
      <c r="S55" s="48" t="n">
        <f aca="false">IF($A55="","",ROUNDUP(G55*D55+R55,0))</f>
        <v>1286</v>
      </c>
      <c r="T55" s="46" t="n">
        <f aca="false">IF($A55="","",IFERROR(ROUND(SQRT(2*F55*Assumptions!$B$4/(Assumptions!$B$5*C55)),0),0))</f>
        <v>560</v>
      </c>
      <c r="U55" s="53" t="n">
        <f aca="false">IF($A55="","",R55*C55)</f>
        <v>3386.7</v>
      </c>
      <c r="V55" s="53" t="n">
        <f aca="false">IF($A55="","",E55*C55)</f>
        <v>4808.16</v>
      </c>
      <c r="W55" s="59" t="n">
        <f aca="false">IF($A55="","",IFERROR(E55/G55,0))</f>
        <v>14.0037403152551</v>
      </c>
      <c r="X55" s="48" t="n">
        <f aca="false">IF($A55="","",S55+T55)</f>
        <v>1846</v>
      </c>
      <c r="Y55" s="48" t="n">
        <f aca="false">IF($A55="","",MAX(0,E55-X55))</f>
        <v>0</v>
      </c>
      <c r="Z55" s="53" t="n">
        <f aca="false">IF($A55="","",Y55*C55)</f>
        <v>0</v>
      </c>
      <c r="AA55" s="56" t="str">
        <f aca="false">IF($A55="","",IF(E55&lt;=R55,"Below Safety Stock",IF(E55&lt;=S55,"Reorder Now",IF(E55&gt;X55,"Excess","Healthy"))))</f>
        <v>Reorder Now</v>
      </c>
      <c r="AB55" s="48" t="n">
        <f aca="false">IF($A55="","",RANK(AF55,$AF$5:$AF$504,0)+COUNTIF($AF$5:AF55,AF55)-1)</f>
        <v>26</v>
      </c>
      <c r="AC55" s="44" t="str">
        <f aca="false">IF($A55="","",Weekly_Demand!B55)</f>
        <v>DOORMAT NEW ENGLAND</v>
      </c>
      <c r="AD55" s="59" t="n">
        <f aca="false">IF($A55="","",H55*SQRT(D55))</f>
        <v>345.582992675488</v>
      </c>
      <c r="AE55" s="53" t="n">
        <f aca="false">IF($A55="","",AD55*C55)</f>
        <v>1648.43087506208</v>
      </c>
      <c r="AF55" s="53" t="n">
        <f aca="false">IF($A55="","",ROUND(J55,2))</f>
        <v>17854.11</v>
      </c>
    </row>
    <row r="56" customFormat="false" ht="15" hidden="false" customHeight="false" outlineLevel="0" collapsed="false">
      <c r="A56" s="44" t="str">
        <f aca="false">IF(Weekly_Demand!A56="","",Weekly_Demand!A56)</f>
        <v>22961</v>
      </c>
      <c r="B56" s="44" t="str">
        <f aca="false">IF($A56="","",Weekly_Demand!C56)</f>
        <v>Other</v>
      </c>
      <c r="C56" s="45" t="n">
        <f aca="false">IF($A56="","",Weekly_Demand!D56)</f>
        <v>0.87</v>
      </c>
      <c r="D56" s="46" t="n">
        <f aca="false">IF($A56="","",Weekly_Demand!E56+Assumptions!$B$19)</f>
        <v>4</v>
      </c>
      <c r="E56" s="46" t="n">
        <f aca="false">IF($A56="","",Weekly_Demand!F56)</f>
        <v>290</v>
      </c>
      <c r="F56" s="46" t="n">
        <f aca="false">IF($A56="","",SUM(Weekly_Demand!G56:BF56))</f>
        <v>15066</v>
      </c>
      <c r="G56" s="51" t="n">
        <f aca="false">IF($A56="","",IFERROR(F56/Assumptions!$B$6,0))</f>
        <v>289.730769230769</v>
      </c>
      <c r="H56" s="51" t="n">
        <f aca="false">IF($A56="","",STDEV(Weekly_Demand!G56:BF56))</f>
        <v>167.242000938245</v>
      </c>
      <c r="I56" s="52" t="n">
        <f aca="false">IF($A56="","",IFERROR(H56/G56,0))</f>
        <v>0.577232447151783</v>
      </c>
      <c r="J56" s="53" t="n">
        <f aca="false">IF($A56="","",F56*C56)</f>
        <v>13107.42</v>
      </c>
      <c r="K56" s="54" t="n">
        <f aca="false">IF($A56="","",IFERROR(J56/$J$505,0))</f>
        <v>0.00339157593966469</v>
      </c>
      <c r="L56" s="54" t="n">
        <f aca="false">IF($A56="","",IFERROR(SUMIFS($J$5:$J$504,$AB$5:$AB$504,"&lt;="&amp;AB56)/$J$505,0))</f>
        <v>0.358295004875772</v>
      </c>
      <c r="M56" s="55" t="str">
        <f aca="false">IF($A56="","",IF(L56&lt;=Assumptions!$B$7,"A",IF(L56&lt;=Assumptions!$B$8,"B","C")))</f>
        <v>A</v>
      </c>
      <c r="N56" s="55" t="str">
        <f aca="false">IF($A56="","",IF(I56&lt;=Assumptions!$B$9,"X",IF(I56&lt;=Assumptions!$B$10,"Y","Z")))</f>
        <v>Y</v>
      </c>
      <c r="O56" s="56" t="str">
        <f aca="false">IF($A56="","",M56&amp;N56)</f>
        <v>AY</v>
      </c>
      <c r="P56" s="57" t="n">
        <f aca="false">IF($A56="","",INDEX(Assumptions!$B$35:$B$37,MATCH(M56,Assumptions!$A$35:$A$37,0)))</f>
        <v>0.98</v>
      </c>
      <c r="Q56" s="58" t="n">
        <f aca="false">IF($A56="","",NORMSINV(P56))</f>
        <v>2.05374891063182</v>
      </c>
      <c r="R56" s="48" t="n">
        <f aca="false">IF($A56="","",ROUNDUP(Q56*H56*SQRT(D56),0))</f>
        <v>687</v>
      </c>
      <c r="S56" s="48" t="n">
        <f aca="false">IF($A56="","",ROUNDUP(G56*D56+R56,0))</f>
        <v>1846</v>
      </c>
      <c r="T56" s="46" t="n">
        <f aca="false">IF($A56="","",IFERROR(ROUND(SQRT(2*F56*Assumptions!$B$4/(Assumptions!$B$5*C56)),0),0))</f>
        <v>2632</v>
      </c>
      <c r="U56" s="53" t="n">
        <f aca="false">IF($A56="","",R56*C56)</f>
        <v>597.69</v>
      </c>
      <c r="V56" s="53" t="n">
        <f aca="false">IF($A56="","",E56*C56)</f>
        <v>252.3</v>
      </c>
      <c r="W56" s="59" t="n">
        <f aca="false">IF($A56="","",IFERROR(E56/G56,0))</f>
        <v>1.00092924465684</v>
      </c>
      <c r="X56" s="48" t="n">
        <f aca="false">IF($A56="","",S56+T56)</f>
        <v>4478</v>
      </c>
      <c r="Y56" s="48" t="n">
        <f aca="false">IF($A56="","",MAX(0,E56-X56))</f>
        <v>0</v>
      </c>
      <c r="Z56" s="53" t="n">
        <f aca="false">IF($A56="","",Y56*C56)</f>
        <v>0</v>
      </c>
      <c r="AA56" s="56" t="str">
        <f aca="false">IF($A56="","",IF(E56&lt;=R56,"Below Safety Stock",IF(E56&lt;=S56,"Reorder Now",IF(E56&gt;X56,"Excess","Healthy"))))</f>
        <v>Below Safety Stock</v>
      </c>
      <c r="AB56" s="48" t="n">
        <f aca="false">IF($A56="","",RANK(AF56,$AF$5:$AF$504,0)+COUNTIF($AF$5:AF56,AF56)-1)</f>
        <v>65</v>
      </c>
      <c r="AC56" s="44" t="str">
        <f aca="false">IF($A56="","",Weekly_Demand!B56)</f>
        <v>JAM MAKING SET PRINTED</v>
      </c>
      <c r="AD56" s="59" t="n">
        <f aca="false">IF($A56="","",H56*SQRT(D56))</f>
        <v>334.484001876491</v>
      </c>
      <c r="AE56" s="53" t="n">
        <f aca="false">IF($A56="","",AD56*C56)</f>
        <v>291.001081632547</v>
      </c>
      <c r="AF56" s="53" t="n">
        <f aca="false">IF($A56="","",ROUND(J56,2))</f>
        <v>13107.42</v>
      </c>
    </row>
    <row r="57" customFormat="false" ht="15" hidden="false" customHeight="false" outlineLevel="0" collapsed="false">
      <c r="A57" s="44" t="str">
        <f aca="false">IF(Weekly_Demand!A57="","",Weekly_Demand!A57)</f>
        <v>22326</v>
      </c>
      <c r="B57" s="44" t="str">
        <f aca="false">IF($A57="","",Weekly_Demand!C57)</f>
        <v>Other</v>
      </c>
      <c r="C57" s="45" t="n">
        <f aca="false">IF($A57="","",Weekly_Demand!D57)</f>
        <v>1.77</v>
      </c>
      <c r="D57" s="46" t="n">
        <f aca="false">IF($A57="","",Weekly_Demand!E57+Assumptions!$B$19)</f>
        <v>6</v>
      </c>
      <c r="E57" s="46" t="n">
        <f aca="false">IF($A57="","",Weekly_Demand!F57)</f>
        <v>316</v>
      </c>
      <c r="F57" s="46" t="n">
        <f aca="false">IF($A57="","",SUM(Weekly_Demand!G57:BF57))</f>
        <v>8217</v>
      </c>
      <c r="G57" s="51" t="n">
        <f aca="false">IF($A57="","",IFERROR(F57/Assumptions!$B$6,0))</f>
        <v>158.019230769231</v>
      </c>
      <c r="H57" s="51" t="n">
        <f aca="false">IF($A57="","",STDEV(Weekly_Demand!G57:BF57))</f>
        <v>109.872562612706</v>
      </c>
      <c r="I57" s="52" t="n">
        <f aca="false">IF($A57="","",IFERROR(H57/G57,0))</f>
        <v>0.695311336967348</v>
      </c>
      <c r="J57" s="53" t="n">
        <f aca="false">IF($A57="","",F57*C57)</f>
        <v>14544.09</v>
      </c>
      <c r="K57" s="54" t="n">
        <f aca="false">IF($A57="","",IFERROR(J57/$J$505,0))</f>
        <v>0.00376331770160091</v>
      </c>
      <c r="L57" s="54" t="n">
        <f aca="false">IF($A57="","",IFERROR(SUMIFS($J$5:$J$504,$AB$5:$AB$504,"&lt;="&amp;AB57)/$J$505,0))</f>
        <v>0.29839875098494</v>
      </c>
      <c r="M57" s="55" t="str">
        <f aca="false">IF($A57="","",IF(L57&lt;=Assumptions!$B$7,"A",IF(L57&lt;=Assumptions!$B$8,"B","C")))</f>
        <v>A</v>
      </c>
      <c r="N57" s="55" t="str">
        <f aca="false">IF($A57="","",IF(I57&lt;=Assumptions!$B$9,"X",IF(I57&lt;=Assumptions!$B$10,"Y","Z")))</f>
        <v>Y</v>
      </c>
      <c r="O57" s="56" t="str">
        <f aca="false">IF($A57="","",M57&amp;N57)</f>
        <v>AY</v>
      </c>
      <c r="P57" s="57" t="n">
        <f aca="false">IF($A57="","",INDEX(Assumptions!$B$35:$B$37,MATCH(M57,Assumptions!$A$35:$A$37,0)))</f>
        <v>0.98</v>
      </c>
      <c r="Q57" s="58" t="n">
        <f aca="false">IF($A57="","",NORMSINV(P57))</f>
        <v>2.05374891063182</v>
      </c>
      <c r="R57" s="48" t="n">
        <f aca="false">IF($A57="","",ROUNDUP(Q57*H57*SQRT(D57),0))</f>
        <v>553</v>
      </c>
      <c r="S57" s="48" t="n">
        <f aca="false">IF($A57="","",ROUNDUP(G57*D57+R57,0))</f>
        <v>1502</v>
      </c>
      <c r="T57" s="46" t="n">
        <f aca="false">IF($A57="","",IFERROR(ROUND(SQRT(2*F57*Assumptions!$B$4/(Assumptions!$B$5*C57)),0),0))</f>
        <v>1363</v>
      </c>
      <c r="U57" s="53" t="n">
        <f aca="false">IF($A57="","",R57*C57)</f>
        <v>978.81</v>
      </c>
      <c r="V57" s="53" t="n">
        <f aca="false">IF($A57="","",E57*C57)</f>
        <v>559.32</v>
      </c>
      <c r="W57" s="59" t="n">
        <f aca="false">IF($A57="","",IFERROR(E57/G57,0))</f>
        <v>1.99975660216624</v>
      </c>
      <c r="X57" s="48" t="n">
        <f aca="false">IF($A57="","",S57+T57)</f>
        <v>2865</v>
      </c>
      <c r="Y57" s="48" t="n">
        <f aca="false">IF($A57="","",MAX(0,E57-X57))</f>
        <v>0</v>
      </c>
      <c r="Z57" s="53" t="n">
        <f aca="false">IF($A57="","",Y57*C57)</f>
        <v>0</v>
      </c>
      <c r="AA57" s="56" t="str">
        <f aca="false">IF($A57="","",IF(E57&lt;=R57,"Below Safety Stock",IF(E57&lt;=S57,"Reorder Now",IF(E57&gt;X57,"Excess","Healthy"))))</f>
        <v>Below Safety Stock</v>
      </c>
      <c r="AB57" s="48" t="n">
        <f aca="false">IF($A57="","",RANK(AF57,$AF$5:$AF$504,0)+COUNTIF($AF$5:AF57,AF57)-1)</f>
        <v>48</v>
      </c>
      <c r="AC57" s="44" t="str">
        <f aca="false">IF($A57="","",Weekly_Demand!B57)</f>
        <v>ROUND SNACK BOXES SET OF4 WOODLAND</v>
      </c>
      <c r="AD57" s="59" t="n">
        <f aca="false">IF($A57="","",H57*SQRT(D57))</f>
        <v>269.131715133125</v>
      </c>
      <c r="AE57" s="53" t="n">
        <f aca="false">IF($A57="","",AD57*C57)</f>
        <v>476.363135785632</v>
      </c>
      <c r="AF57" s="53" t="n">
        <f aca="false">IF($A57="","",ROUND(J57,2))</f>
        <v>14544.09</v>
      </c>
    </row>
    <row r="58" customFormat="false" ht="15" hidden="false" customHeight="false" outlineLevel="0" collapsed="false">
      <c r="A58" s="44" t="str">
        <f aca="false">IF(Weekly_Demand!A58="","",Weekly_Demand!A58)</f>
        <v>23243</v>
      </c>
      <c r="B58" s="44" t="str">
        <f aca="false">IF($A58="","",Weekly_Demand!C58)</f>
        <v>Kitchen</v>
      </c>
      <c r="C58" s="45" t="n">
        <f aca="false">IF($A58="","",Weekly_Demand!D58)</f>
        <v>2.97</v>
      </c>
      <c r="D58" s="46" t="n">
        <f aca="false">IF($A58="","",Weekly_Demand!E58+Assumptions!$B$19)</f>
        <v>8</v>
      </c>
      <c r="E58" s="46" t="n">
        <f aca="false">IF($A58="","",Weekly_Demand!F58)</f>
        <v>734</v>
      </c>
      <c r="F58" s="46" t="n">
        <f aca="false">IF($A58="","",SUM(Weekly_Demand!G58:BF58))</f>
        <v>4770</v>
      </c>
      <c r="G58" s="51" t="n">
        <f aca="false">IF($A58="","",IFERROR(F58/Assumptions!$B$6,0))</f>
        <v>91.7307692307692</v>
      </c>
      <c r="H58" s="51" t="n">
        <f aca="false">IF($A58="","",STDEV(Weekly_Demand!G58:BF58))</f>
        <v>260.723587039248</v>
      </c>
      <c r="I58" s="52" t="n">
        <f aca="false">IF($A58="","",IFERROR(H58/G58,0))</f>
        <v>2.84226971195826</v>
      </c>
      <c r="J58" s="53" t="n">
        <f aca="false">IF($A58="","",F58*C58)</f>
        <v>14166.9</v>
      </c>
      <c r="K58" s="54" t="n">
        <f aca="false">IF($A58="","",IFERROR(J58/$J$505,0))</f>
        <v>0.00366571889659717</v>
      </c>
      <c r="L58" s="54" t="n">
        <f aca="false">IF($A58="","",IFERROR(SUMIFS($J$5:$J$504,$AB$5:$AB$504,"&lt;="&amp;AB58)/$J$505,0))</f>
        <v>0.302064469881537</v>
      </c>
      <c r="M58" s="55" t="str">
        <f aca="false">IF($A58="","",IF(L58&lt;=Assumptions!$B$7,"A",IF(L58&lt;=Assumptions!$B$8,"B","C")))</f>
        <v>A</v>
      </c>
      <c r="N58" s="55" t="str">
        <f aca="false">IF($A58="","",IF(I58&lt;=Assumptions!$B$9,"X",IF(I58&lt;=Assumptions!$B$10,"Y","Z")))</f>
        <v>Z</v>
      </c>
      <c r="O58" s="56" t="str">
        <f aca="false">IF($A58="","",M58&amp;N58)</f>
        <v>AZ</v>
      </c>
      <c r="P58" s="57" t="n">
        <f aca="false">IF($A58="","",INDEX(Assumptions!$B$35:$B$37,MATCH(M58,Assumptions!$A$35:$A$37,0)))</f>
        <v>0.98</v>
      </c>
      <c r="Q58" s="58" t="n">
        <f aca="false">IF($A58="","",NORMSINV(P58))</f>
        <v>2.05374891063182</v>
      </c>
      <c r="R58" s="48" t="n">
        <f aca="false">IF($A58="","",ROUNDUP(Q58*H58*SQRT(D58),0))</f>
        <v>1515</v>
      </c>
      <c r="S58" s="48" t="n">
        <f aca="false">IF($A58="","",ROUNDUP(G58*D58+R58,0))</f>
        <v>2249</v>
      </c>
      <c r="T58" s="46" t="n">
        <f aca="false">IF($A58="","",IFERROR(ROUND(SQRT(2*F58*Assumptions!$B$4/(Assumptions!$B$5*C58)),0),0))</f>
        <v>802</v>
      </c>
      <c r="U58" s="53" t="n">
        <f aca="false">IF($A58="","",R58*C58)</f>
        <v>4499.55</v>
      </c>
      <c r="V58" s="53" t="n">
        <f aca="false">IF($A58="","",E58*C58)</f>
        <v>2179.98</v>
      </c>
      <c r="W58" s="59" t="n">
        <f aca="false">IF($A58="","",IFERROR(E58/G58,0))</f>
        <v>8.00167714884696</v>
      </c>
      <c r="X58" s="48" t="n">
        <f aca="false">IF($A58="","",S58+T58)</f>
        <v>3051</v>
      </c>
      <c r="Y58" s="48" t="n">
        <f aca="false">IF($A58="","",MAX(0,E58-X58))</f>
        <v>0</v>
      </c>
      <c r="Z58" s="53" t="n">
        <f aca="false">IF($A58="","",Y58*C58)</f>
        <v>0</v>
      </c>
      <c r="AA58" s="56" t="str">
        <f aca="false">IF($A58="","",IF(E58&lt;=R58,"Below Safety Stock",IF(E58&lt;=S58,"Reorder Now",IF(E58&gt;X58,"Excess","Healthy"))))</f>
        <v>Below Safety Stock</v>
      </c>
      <c r="AB58" s="48" t="n">
        <f aca="false">IF($A58="","",RANK(AF58,$AF$5:$AF$504,0)+COUNTIF($AF$5:AF58,AF58)-1)</f>
        <v>49</v>
      </c>
      <c r="AC58" s="44" t="str">
        <f aca="false">IF($A58="","",Weekly_Demand!B58)</f>
        <v>SET OF TEA COFFEE SUGAR TINS PANTRY</v>
      </c>
      <c r="AD58" s="59" t="n">
        <f aca="false">IF($A58="","",H58*SQRT(D58))</f>
        <v>737.437665642933</v>
      </c>
      <c r="AE58" s="53" t="n">
        <f aca="false">IF($A58="","",AD58*C58)</f>
        <v>2190.18986695951</v>
      </c>
      <c r="AF58" s="53" t="n">
        <f aca="false">IF($A58="","",ROUND(J58,2))</f>
        <v>14166.9</v>
      </c>
    </row>
    <row r="59" customFormat="false" ht="15" hidden="false" customHeight="false" outlineLevel="0" collapsed="false">
      <c r="A59" s="44" t="str">
        <f aca="false">IF(Weekly_Demand!A59="","",Weekly_Demand!A59)</f>
        <v>22138</v>
      </c>
      <c r="B59" s="44" t="str">
        <f aca="false">IF($A59="","",Weekly_Demand!C59)</f>
        <v>Other</v>
      </c>
      <c r="C59" s="45" t="n">
        <f aca="false">IF($A59="","",Weekly_Demand!D59)</f>
        <v>2.97</v>
      </c>
      <c r="D59" s="46" t="n">
        <f aca="false">IF($A59="","",Weekly_Demand!E59+Assumptions!$B$19)</f>
        <v>6</v>
      </c>
      <c r="E59" s="46" t="n">
        <f aca="false">IF($A59="","",Weekly_Demand!F59)</f>
        <v>1096</v>
      </c>
      <c r="F59" s="46" t="n">
        <f aca="false">IF($A59="","",SUM(Weekly_Demand!G59:BF59))</f>
        <v>4749</v>
      </c>
      <c r="G59" s="51" t="n">
        <f aca="false">IF($A59="","",IFERROR(F59/Assumptions!$B$6,0))</f>
        <v>91.3269230769231</v>
      </c>
      <c r="H59" s="51" t="n">
        <f aca="false">IF($A59="","",STDEV(Weekly_Demand!G59:BF59))</f>
        <v>92.2362102247345</v>
      </c>
      <c r="I59" s="52" t="n">
        <f aca="false">IF($A59="","",IFERROR(H59/G59,0))</f>
        <v>1.0099563974913</v>
      </c>
      <c r="J59" s="53" t="n">
        <f aca="false">IF($A59="","",F59*C59)</f>
        <v>14104.53</v>
      </c>
      <c r="K59" s="54" t="n">
        <f aca="false">IF($A59="","",IFERROR(J59/$J$505,0))</f>
        <v>0.00364958051151781</v>
      </c>
      <c r="L59" s="54" t="n">
        <f aca="false">IF($A59="","",IFERROR(SUMIFS($J$5:$J$504,$AB$5:$AB$504,"&lt;="&amp;AB59)/$J$505,0))</f>
        <v>0.309364166521971</v>
      </c>
      <c r="M59" s="55" t="str">
        <f aca="false">IF($A59="","",IF(L59&lt;=Assumptions!$B$7,"A",IF(L59&lt;=Assumptions!$B$8,"B","C")))</f>
        <v>A</v>
      </c>
      <c r="N59" s="55" t="str">
        <f aca="false">IF($A59="","",IF(I59&lt;=Assumptions!$B$9,"X",IF(I59&lt;=Assumptions!$B$10,"Y","Z")))</f>
        <v>Z</v>
      </c>
      <c r="O59" s="56" t="str">
        <f aca="false">IF($A59="","",M59&amp;N59)</f>
        <v>AZ</v>
      </c>
      <c r="P59" s="57" t="n">
        <f aca="false">IF($A59="","",INDEX(Assumptions!$B$35:$B$37,MATCH(M59,Assumptions!$A$35:$A$37,0)))</f>
        <v>0.98</v>
      </c>
      <c r="Q59" s="58" t="n">
        <f aca="false">IF($A59="","",NORMSINV(P59))</f>
        <v>2.05374891063182</v>
      </c>
      <c r="R59" s="48" t="n">
        <f aca="false">IF($A59="","",ROUNDUP(Q59*H59*SQRT(D59),0))</f>
        <v>465</v>
      </c>
      <c r="S59" s="48" t="n">
        <f aca="false">IF($A59="","",ROUNDUP(G59*D59+R59,0))</f>
        <v>1013</v>
      </c>
      <c r="T59" s="46" t="n">
        <f aca="false">IF($A59="","",IFERROR(ROUND(SQRT(2*F59*Assumptions!$B$4/(Assumptions!$B$5*C59)),0),0))</f>
        <v>800</v>
      </c>
      <c r="U59" s="53" t="n">
        <f aca="false">IF($A59="","",R59*C59)</f>
        <v>1381.05</v>
      </c>
      <c r="V59" s="53" t="n">
        <f aca="false">IF($A59="","",E59*C59)</f>
        <v>3255.12</v>
      </c>
      <c r="W59" s="59" t="n">
        <f aca="false">IF($A59="","",IFERROR(E59/G59,0))</f>
        <v>12.0008422825858</v>
      </c>
      <c r="X59" s="48" t="n">
        <f aca="false">IF($A59="","",S59+T59)</f>
        <v>1813</v>
      </c>
      <c r="Y59" s="48" t="n">
        <f aca="false">IF($A59="","",MAX(0,E59-X59))</f>
        <v>0</v>
      </c>
      <c r="Z59" s="53" t="n">
        <f aca="false">IF($A59="","",Y59*C59)</f>
        <v>0</v>
      </c>
      <c r="AA59" s="56" t="str">
        <f aca="false">IF($A59="","",IF(E59&lt;=R59,"Below Safety Stock",IF(E59&lt;=S59,"Reorder Now",IF(E59&gt;X59,"Excess","Healthy"))))</f>
        <v>Healthy</v>
      </c>
      <c r="AB59" s="48" t="n">
        <f aca="false">IF($A59="","",RANK(AF59,$AF$5:$AF$504,0)+COUNTIF($AF$5:AF59,AF59)-1)</f>
        <v>51</v>
      </c>
      <c r="AC59" s="44" t="str">
        <f aca="false">IF($A59="","",Weekly_Demand!B59)</f>
        <v>BAKING SET 9 PIECE RETROSPOT</v>
      </c>
      <c r="AD59" s="59" t="n">
        <f aca="false">IF($A59="","",H59*SQRT(D59))</f>
        <v>225.93165085868</v>
      </c>
      <c r="AE59" s="53" t="n">
        <f aca="false">IF($A59="","",AD59*C59)</f>
        <v>671.01700305028</v>
      </c>
      <c r="AF59" s="53" t="n">
        <f aca="false">IF($A59="","",ROUND(J59,2))</f>
        <v>14104.53</v>
      </c>
    </row>
    <row r="60" customFormat="false" ht="15" hidden="false" customHeight="false" outlineLevel="0" collapsed="false">
      <c r="A60" s="44" t="str">
        <f aca="false">IF(Weekly_Demand!A60="","",Weekly_Demand!A60)</f>
        <v>84347</v>
      </c>
      <c r="B60" s="44" t="str">
        <f aca="false">IF($A60="","",Weekly_Demand!C60)</f>
        <v>Lighting</v>
      </c>
      <c r="C60" s="45" t="n">
        <f aca="false">IF($A60="","",Weekly_Demand!D60)</f>
        <v>1.53</v>
      </c>
      <c r="D60" s="46" t="n">
        <f aca="false">IF($A60="","",Weekly_Demand!E60+Assumptions!$B$19)</f>
        <v>8</v>
      </c>
      <c r="E60" s="46" t="n">
        <f aca="false">IF($A60="","",Weekly_Demand!F60)</f>
        <v>6200</v>
      </c>
      <c r="F60" s="46" t="n">
        <f aca="false">IF($A60="","",SUM(Weekly_Demand!G60:BF60))</f>
        <v>8267</v>
      </c>
      <c r="G60" s="51" t="n">
        <f aca="false">IF($A60="","",IFERROR(F60/Assumptions!$B$6,0))</f>
        <v>158.980769230769</v>
      </c>
      <c r="H60" s="51" t="n">
        <f aca="false">IF($A60="","",STDEV(Weekly_Demand!G60:BF60))</f>
        <v>279.571976097399</v>
      </c>
      <c r="I60" s="52" t="n">
        <f aca="false">IF($A60="","",IFERROR(H60/G60,0))</f>
        <v>1.75852700581405</v>
      </c>
      <c r="J60" s="53" t="n">
        <f aca="false">IF($A60="","",F60*C60)</f>
        <v>12648.51</v>
      </c>
      <c r="K60" s="54" t="n">
        <f aca="false">IF($A60="","",IFERROR(J60/$J$505,0))</f>
        <v>0.00327283189129579</v>
      </c>
      <c r="L60" s="54" t="n">
        <f aca="false">IF($A60="","",IFERROR(SUMIFS($J$5:$J$504,$AB$5:$AB$504,"&lt;="&amp;AB60)/$J$505,0))</f>
        <v>0.384845574820578</v>
      </c>
      <c r="M60" s="55" t="str">
        <f aca="false">IF($A60="","",IF(L60&lt;=Assumptions!$B$7,"A",IF(L60&lt;=Assumptions!$B$8,"B","C")))</f>
        <v>A</v>
      </c>
      <c r="N60" s="55" t="str">
        <f aca="false">IF($A60="","",IF(I60&lt;=Assumptions!$B$9,"X",IF(I60&lt;=Assumptions!$B$10,"Y","Z")))</f>
        <v>Z</v>
      </c>
      <c r="O60" s="56" t="str">
        <f aca="false">IF($A60="","",M60&amp;N60)</f>
        <v>AZ</v>
      </c>
      <c r="P60" s="57" t="n">
        <f aca="false">IF($A60="","",INDEX(Assumptions!$B$35:$B$37,MATCH(M60,Assumptions!$A$35:$A$37,0)))</f>
        <v>0.98</v>
      </c>
      <c r="Q60" s="58" t="n">
        <f aca="false">IF($A60="","",NORMSINV(P60))</f>
        <v>2.05374891063182</v>
      </c>
      <c r="R60" s="48" t="n">
        <f aca="false">IF($A60="","",ROUNDUP(Q60*H60*SQRT(D60),0))</f>
        <v>1624</v>
      </c>
      <c r="S60" s="48" t="n">
        <f aca="false">IF($A60="","",ROUNDUP(G60*D60+R60,0))</f>
        <v>2896</v>
      </c>
      <c r="T60" s="46" t="n">
        <f aca="false">IF($A60="","",IFERROR(ROUND(SQRT(2*F60*Assumptions!$B$4/(Assumptions!$B$5*C60)),0),0))</f>
        <v>1470</v>
      </c>
      <c r="U60" s="53" t="n">
        <f aca="false">IF($A60="","",R60*C60)</f>
        <v>2484.72</v>
      </c>
      <c r="V60" s="53" t="n">
        <f aca="false">IF($A60="","",E60*C60)</f>
        <v>9486</v>
      </c>
      <c r="W60" s="59" t="n">
        <f aca="false">IF($A60="","",IFERROR(E60/G60,0))</f>
        <v>38.9984274827628</v>
      </c>
      <c r="X60" s="48" t="n">
        <f aca="false">IF($A60="","",S60+T60)</f>
        <v>4366</v>
      </c>
      <c r="Y60" s="48" t="n">
        <f aca="false">IF($A60="","",MAX(0,E60-X60))</f>
        <v>1834</v>
      </c>
      <c r="Z60" s="53" t="n">
        <f aca="false">IF($A60="","",Y60*C60)</f>
        <v>2806.02</v>
      </c>
      <c r="AA60" s="56" t="str">
        <f aca="false">IF($A60="","",IF(E60&lt;=R60,"Below Safety Stock",IF(E60&lt;=S60,"Reorder Now",IF(E60&gt;X60,"Excess","Healthy"))))</f>
        <v>Excess</v>
      </c>
      <c r="AB60" s="48" t="n">
        <f aca="false">IF($A60="","",RANK(AF60,$AF$5:$AF$504,0)+COUNTIF($AF$5:AF60,AF60)-1)</f>
        <v>73</v>
      </c>
      <c r="AC60" s="44" t="str">
        <f aca="false">IF($A60="","",Weekly_Demand!B60)</f>
        <v>ROTATING SILVER ANGELS T-LIGHT HLDR</v>
      </c>
      <c r="AD60" s="59" t="n">
        <f aca="false">IF($A60="","",H60*SQRT(D60))</f>
        <v>790.748960512776</v>
      </c>
      <c r="AE60" s="53" t="n">
        <f aca="false">IF($A60="","",AD60*C60)</f>
        <v>1209.84590958455</v>
      </c>
      <c r="AF60" s="53" t="n">
        <f aca="false">IF($A60="","",ROUND(J60,2))</f>
        <v>12648.51</v>
      </c>
    </row>
    <row r="61" customFormat="false" ht="15" hidden="false" customHeight="false" outlineLevel="0" collapsed="false">
      <c r="A61" s="44" t="str">
        <f aca="false">IF(Weekly_Demand!A61="","",Weekly_Demand!A61)</f>
        <v>15056N</v>
      </c>
      <c r="B61" s="44" t="str">
        <f aca="false">IF($A61="","",Weekly_Demand!C61)</f>
        <v>Other</v>
      </c>
      <c r="C61" s="45" t="n">
        <f aca="false">IF($A61="","",Weekly_Demand!D61)</f>
        <v>3.57</v>
      </c>
      <c r="D61" s="46" t="n">
        <f aca="false">IF($A61="","",Weekly_Demand!E61+Assumptions!$B$19)</f>
        <v>2</v>
      </c>
      <c r="E61" s="46" t="n">
        <f aca="false">IF($A61="","",Weekly_Demand!F61)</f>
        <v>836</v>
      </c>
      <c r="F61" s="46" t="n">
        <f aca="false">IF($A61="","",SUM(Weekly_Demand!G61:BF61))</f>
        <v>3950</v>
      </c>
      <c r="G61" s="51" t="n">
        <f aca="false">IF($A61="","",IFERROR(F61/Assumptions!$B$6,0))</f>
        <v>75.9615384615385</v>
      </c>
      <c r="H61" s="51" t="n">
        <f aca="false">IF($A61="","",STDEV(Weekly_Demand!G61:BF61))</f>
        <v>65.7019298783802</v>
      </c>
      <c r="I61" s="52" t="n">
        <f aca="false">IF($A61="","",IFERROR(H61/G61,0))</f>
        <v>0.864936798398929</v>
      </c>
      <c r="J61" s="53" t="n">
        <f aca="false">IF($A61="","",F61*C61)</f>
        <v>14101.5</v>
      </c>
      <c r="K61" s="54" t="n">
        <f aca="false">IF($A61="","",IFERROR(J61/$J$505,0))</f>
        <v>0.00364879649184825</v>
      </c>
      <c r="L61" s="54" t="n">
        <f aca="false">IF($A61="","",IFERROR(SUMIFS($J$5:$J$504,$AB$5:$AB$504,"&lt;="&amp;AB61)/$J$505,0))</f>
        <v>0.313012963013819</v>
      </c>
      <c r="M61" s="55" t="str">
        <f aca="false">IF($A61="","",IF(L61&lt;=Assumptions!$B$7,"A",IF(L61&lt;=Assumptions!$B$8,"B","C")))</f>
        <v>A</v>
      </c>
      <c r="N61" s="55" t="str">
        <f aca="false">IF($A61="","",IF(I61&lt;=Assumptions!$B$9,"X",IF(I61&lt;=Assumptions!$B$10,"Y","Z")))</f>
        <v>Y</v>
      </c>
      <c r="O61" s="56" t="str">
        <f aca="false">IF($A61="","",M61&amp;N61)</f>
        <v>AY</v>
      </c>
      <c r="P61" s="57" t="n">
        <f aca="false">IF($A61="","",INDEX(Assumptions!$B$35:$B$37,MATCH(M61,Assumptions!$A$35:$A$37,0)))</f>
        <v>0.98</v>
      </c>
      <c r="Q61" s="58" t="n">
        <f aca="false">IF($A61="","",NORMSINV(P61))</f>
        <v>2.05374891063182</v>
      </c>
      <c r="R61" s="48" t="n">
        <f aca="false">IF($A61="","",ROUNDUP(Q61*H61*SQRT(D61),0))</f>
        <v>191</v>
      </c>
      <c r="S61" s="48" t="n">
        <f aca="false">IF($A61="","",ROUNDUP(G61*D61+R61,0))</f>
        <v>343</v>
      </c>
      <c r="T61" s="46" t="n">
        <f aca="false">IF($A61="","",IFERROR(ROUND(SQRT(2*F61*Assumptions!$B$4/(Assumptions!$B$5*C61)),0),0))</f>
        <v>665</v>
      </c>
      <c r="U61" s="53" t="n">
        <f aca="false">IF($A61="","",R61*C61)</f>
        <v>681.87</v>
      </c>
      <c r="V61" s="53" t="n">
        <f aca="false">IF($A61="","",E61*C61)</f>
        <v>2984.52</v>
      </c>
      <c r="W61" s="59" t="n">
        <f aca="false">IF($A61="","",IFERROR(E61/G61,0))</f>
        <v>11.0055696202532</v>
      </c>
      <c r="X61" s="48" t="n">
        <f aca="false">IF($A61="","",S61+T61)</f>
        <v>1008</v>
      </c>
      <c r="Y61" s="48" t="n">
        <f aca="false">IF($A61="","",MAX(0,E61-X61))</f>
        <v>0</v>
      </c>
      <c r="Z61" s="53" t="n">
        <f aca="false">IF($A61="","",Y61*C61)</f>
        <v>0</v>
      </c>
      <c r="AA61" s="56" t="str">
        <f aca="false">IF($A61="","",IF(E61&lt;=R61,"Below Safety Stock",IF(E61&lt;=S61,"Reorder Now",IF(E61&gt;X61,"Excess","Healthy"))))</f>
        <v>Healthy</v>
      </c>
      <c r="AB61" s="48" t="n">
        <f aca="false">IF($A61="","",RANK(AF61,$AF$5:$AF$504,0)+COUNTIF($AF$5:AF61,AF61)-1)</f>
        <v>52</v>
      </c>
      <c r="AC61" s="44" t="str">
        <f aca="false">IF($A61="","",Weekly_Demand!B61)</f>
        <v>EDWARDIAN PARASOL NATURAL</v>
      </c>
      <c r="AD61" s="59" t="n">
        <f aca="false">IF($A61="","",H61*SQRT(D61))</f>
        <v>92.9165603080914</v>
      </c>
      <c r="AE61" s="53" t="n">
        <f aca="false">IF($A61="","",AD61*C61)</f>
        <v>331.712120299886</v>
      </c>
      <c r="AF61" s="53" t="n">
        <f aca="false">IF($A61="","",ROUND(J61,2))</f>
        <v>14101.5</v>
      </c>
    </row>
    <row r="62" customFormat="false" ht="15" hidden="false" customHeight="false" outlineLevel="0" collapsed="false">
      <c r="A62" s="44" t="str">
        <f aca="false">IF(Weekly_Demand!A62="","",Weekly_Demand!A62)</f>
        <v>21929</v>
      </c>
      <c r="B62" s="44" t="str">
        <f aca="false">IF($A62="","",Weekly_Demand!C62)</f>
        <v>Bags</v>
      </c>
      <c r="C62" s="45" t="n">
        <f aca="false">IF($A62="","",Weekly_Demand!D62)</f>
        <v>1.248</v>
      </c>
      <c r="D62" s="46" t="n">
        <f aca="false">IF($A62="","",Weekly_Demand!E62+Assumptions!$B$19)</f>
        <v>4</v>
      </c>
      <c r="E62" s="46" t="n">
        <f aca="false">IF($A62="","",Weekly_Demand!F62)</f>
        <v>2467</v>
      </c>
      <c r="F62" s="46" t="n">
        <f aca="false">IF($A62="","",SUM(Weekly_Demand!G62:BF62))</f>
        <v>10691</v>
      </c>
      <c r="G62" s="51" t="n">
        <f aca="false">IF($A62="","",IFERROR(F62/Assumptions!$B$6,0))</f>
        <v>205.596153846154</v>
      </c>
      <c r="H62" s="51" t="n">
        <f aca="false">IF($A62="","",STDEV(Weekly_Demand!G62:BF62))</f>
        <v>138.534381605715</v>
      </c>
      <c r="I62" s="52" t="n">
        <f aca="false">IF($A62="","",IFERROR(H62/G62,0))</f>
        <v>0.673817963099539</v>
      </c>
      <c r="J62" s="53" t="n">
        <f aca="false">IF($A62="","",F62*C62)</f>
        <v>13342.368</v>
      </c>
      <c r="K62" s="54" t="n">
        <f aca="false">IF($A62="","",IFERROR(J62/$J$505,0))</f>
        <v>0.00345236929059663</v>
      </c>
      <c r="L62" s="54" t="n">
        <f aca="false">IF($A62="","",IFERROR(SUMIFS($J$5:$J$504,$AB$5:$AB$504,"&lt;="&amp;AB62)/$J$505,0))</f>
        <v>0.341254840372485</v>
      </c>
      <c r="M62" s="55" t="str">
        <f aca="false">IF($A62="","",IF(L62&lt;=Assumptions!$B$7,"A",IF(L62&lt;=Assumptions!$B$8,"B","C")))</f>
        <v>A</v>
      </c>
      <c r="N62" s="55" t="str">
        <f aca="false">IF($A62="","",IF(I62&lt;=Assumptions!$B$9,"X",IF(I62&lt;=Assumptions!$B$10,"Y","Z")))</f>
        <v>Y</v>
      </c>
      <c r="O62" s="56" t="str">
        <f aca="false">IF($A62="","",M62&amp;N62)</f>
        <v>AY</v>
      </c>
      <c r="P62" s="57" t="n">
        <f aca="false">IF($A62="","",INDEX(Assumptions!$B$35:$B$37,MATCH(M62,Assumptions!$A$35:$A$37,0)))</f>
        <v>0.98</v>
      </c>
      <c r="Q62" s="58" t="n">
        <f aca="false">IF($A62="","",NORMSINV(P62))</f>
        <v>2.05374891063182</v>
      </c>
      <c r="R62" s="48" t="n">
        <f aca="false">IF($A62="","",ROUNDUP(Q62*H62*SQRT(D62),0))</f>
        <v>570</v>
      </c>
      <c r="S62" s="48" t="n">
        <f aca="false">IF($A62="","",ROUNDUP(G62*D62+R62,0))</f>
        <v>1393</v>
      </c>
      <c r="T62" s="46" t="n">
        <f aca="false">IF($A62="","",IFERROR(ROUND(SQRT(2*F62*Assumptions!$B$4/(Assumptions!$B$5*C62)),0),0))</f>
        <v>1851</v>
      </c>
      <c r="U62" s="53" t="n">
        <f aca="false">IF($A62="","",R62*C62)</f>
        <v>711.36</v>
      </c>
      <c r="V62" s="53" t="n">
        <f aca="false">IF($A62="","",E62*C62)</f>
        <v>3078.816</v>
      </c>
      <c r="W62" s="59" t="n">
        <f aca="false">IF($A62="","",IFERROR(E62/G62,0))</f>
        <v>11.9992517070433</v>
      </c>
      <c r="X62" s="48" t="n">
        <f aca="false">IF($A62="","",S62+T62)</f>
        <v>3244</v>
      </c>
      <c r="Y62" s="48" t="n">
        <f aca="false">IF($A62="","",MAX(0,E62-X62))</f>
        <v>0</v>
      </c>
      <c r="Z62" s="53" t="n">
        <f aca="false">IF($A62="","",Y62*C62)</f>
        <v>0</v>
      </c>
      <c r="AA62" s="56" t="str">
        <f aca="false">IF($A62="","",IF(E62&lt;=R62,"Below Safety Stock",IF(E62&lt;=S62,"Reorder Now",IF(E62&gt;X62,"Excess","Healthy"))))</f>
        <v>Healthy</v>
      </c>
      <c r="AB62" s="48" t="n">
        <f aca="false">IF($A62="","",RANK(AF62,$AF$5:$AF$504,0)+COUNTIF($AF$5:AF62,AF62)-1)</f>
        <v>60</v>
      </c>
      <c r="AC62" s="44" t="str">
        <f aca="false">IF($A62="","",Weekly_Demand!B62)</f>
        <v>JUMBO BAG PINK VINTAGE PAISLEY</v>
      </c>
      <c r="AD62" s="59" t="n">
        <f aca="false">IF($A62="","",H62*SQRT(D62))</f>
        <v>277.06876321143</v>
      </c>
      <c r="AE62" s="53" t="n">
        <f aca="false">IF($A62="","",AD62*C62)</f>
        <v>345.781816487864</v>
      </c>
      <c r="AF62" s="53" t="n">
        <f aca="false">IF($A62="","",ROUND(J62,2))</f>
        <v>13342.37</v>
      </c>
    </row>
    <row r="63" customFormat="false" ht="15" hidden="false" customHeight="false" outlineLevel="0" collapsed="false">
      <c r="A63" s="44" t="str">
        <f aca="false">IF(Weekly_Demand!A63="","",Weekly_Demand!A63)</f>
        <v>82482</v>
      </c>
      <c r="B63" s="44" t="str">
        <f aca="false">IF($A63="","",Weekly_Demand!C63)</f>
        <v>Other</v>
      </c>
      <c r="C63" s="45" t="n">
        <f aca="false">IF($A63="","",Weekly_Demand!D63)</f>
        <v>1.53</v>
      </c>
      <c r="D63" s="46" t="n">
        <f aca="false">IF($A63="","",Weekly_Demand!E63+Assumptions!$B$19)</f>
        <v>6</v>
      </c>
      <c r="E63" s="46" t="n">
        <f aca="false">IF($A63="","",Weekly_Demand!F63)</f>
        <v>5748</v>
      </c>
      <c r="F63" s="46" t="n">
        <f aca="false">IF($A63="","",SUM(Weekly_Demand!G63:BF63))</f>
        <v>8791</v>
      </c>
      <c r="G63" s="51" t="n">
        <f aca="false">IF($A63="","",IFERROR(F63/Assumptions!$B$6,0))</f>
        <v>169.057692307692</v>
      </c>
      <c r="H63" s="51" t="n">
        <f aca="false">IF($A63="","",STDEV(Weekly_Demand!G63:BF63))</f>
        <v>97.3399971117083</v>
      </c>
      <c r="I63" s="52" t="n">
        <f aca="false">IF($A63="","",IFERROR(H63/G63,0))</f>
        <v>0.575779757685</v>
      </c>
      <c r="J63" s="53" t="n">
        <f aca="false">IF($A63="","",F63*C63)</f>
        <v>13450.23</v>
      </c>
      <c r="K63" s="54" t="n">
        <f aca="false">IF($A63="","",IFERROR(J63/$J$505,0))</f>
        <v>0.00348027883831877</v>
      </c>
      <c r="L63" s="54" t="n">
        <f aca="false">IF($A63="","",IFERROR(SUMIFS($J$5:$J$504,$AB$5:$AB$504,"&lt;="&amp;AB63)/$J$505,0))</f>
        <v>0.337802471081889</v>
      </c>
      <c r="M63" s="55" t="str">
        <f aca="false">IF($A63="","",IF(L63&lt;=Assumptions!$B$7,"A",IF(L63&lt;=Assumptions!$B$8,"B","C")))</f>
        <v>A</v>
      </c>
      <c r="N63" s="55" t="str">
        <f aca="false">IF($A63="","",IF(I63&lt;=Assumptions!$B$9,"X",IF(I63&lt;=Assumptions!$B$10,"Y","Z")))</f>
        <v>Y</v>
      </c>
      <c r="O63" s="56" t="str">
        <f aca="false">IF($A63="","",M63&amp;N63)</f>
        <v>AY</v>
      </c>
      <c r="P63" s="57" t="n">
        <f aca="false">IF($A63="","",INDEX(Assumptions!$B$35:$B$37,MATCH(M63,Assumptions!$A$35:$A$37,0)))</f>
        <v>0.98</v>
      </c>
      <c r="Q63" s="58" t="n">
        <f aca="false">IF($A63="","",NORMSINV(P63))</f>
        <v>2.05374891063182</v>
      </c>
      <c r="R63" s="48" t="n">
        <f aca="false">IF($A63="","",ROUNDUP(Q63*H63*SQRT(D63),0))</f>
        <v>490</v>
      </c>
      <c r="S63" s="48" t="n">
        <f aca="false">IF($A63="","",ROUNDUP(G63*D63+R63,0))</f>
        <v>1505</v>
      </c>
      <c r="T63" s="46" t="n">
        <f aca="false">IF($A63="","",IFERROR(ROUND(SQRT(2*F63*Assumptions!$B$4/(Assumptions!$B$5*C63)),0),0))</f>
        <v>1516</v>
      </c>
      <c r="U63" s="53" t="n">
        <f aca="false">IF($A63="","",R63*C63)</f>
        <v>749.7</v>
      </c>
      <c r="V63" s="53" t="n">
        <f aca="false">IF($A63="","",E63*C63)</f>
        <v>8794.44</v>
      </c>
      <c r="W63" s="59" t="n">
        <f aca="false">IF($A63="","",IFERROR(E63/G63,0))</f>
        <v>34.0002275054033</v>
      </c>
      <c r="X63" s="48" t="n">
        <f aca="false">IF($A63="","",S63+T63)</f>
        <v>3021</v>
      </c>
      <c r="Y63" s="48" t="n">
        <f aca="false">IF($A63="","",MAX(0,E63-X63))</f>
        <v>2727</v>
      </c>
      <c r="Z63" s="53" t="n">
        <f aca="false">IF($A63="","",Y63*C63)</f>
        <v>4172.31</v>
      </c>
      <c r="AA63" s="56" t="str">
        <f aca="false">IF($A63="","",IF(E63&lt;=R63,"Below Safety Stock",IF(E63&lt;=S63,"Reorder Now",IF(E63&gt;X63,"Excess","Healthy"))))</f>
        <v>Excess</v>
      </c>
      <c r="AB63" s="48" t="n">
        <f aca="false">IF($A63="","",RANK(AF63,$AF$5:$AF$504,0)+COUNTIF($AF$5:AF63,AF63)-1)</f>
        <v>59</v>
      </c>
      <c r="AC63" s="44" t="str">
        <f aca="false">IF($A63="","",Weekly_Demand!B63)</f>
        <v>WOODEN PICTURE FRAME WHITE FINISH</v>
      </c>
      <c r="AD63" s="59" t="n">
        <f aca="false">IF($A63="","",H63*SQRT(D63))</f>
        <v>238.433324487674</v>
      </c>
      <c r="AE63" s="53" t="n">
        <f aca="false">IF($A63="","",AD63*C63)</f>
        <v>364.802986466141</v>
      </c>
      <c r="AF63" s="53" t="n">
        <f aca="false">IF($A63="","",ROUND(J63,2))</f>
        <v>13450.23</v>
      </c>
    </row>
    <row r="64" customFormat="false" ht="15" hidden="false" customHeight="false" outlineLevel="0" collapsed="false">
      <c r="A64" s="44" t="str">
        <f aca="false">IF(Weekly_Demand!A64="","",Weekly_Demand!A64)</f>
        <v>21731</v>
      </c>
      <c r="B64" s="44" t="str">
        <f aca="false">IF($A64="","",Weekly_Demand!C64)</f>
        <v>Lighting</v>
      </c>
      <c r="C64" s="45" t="n">
        <f aca="false">IF($A64="","",Weekly_Demand!D64)</f>
        <v>0.99</v>
      </c>
      <c r="D64" s="46" t="n">
        <f aca="false">IF($A64="","",Weekly_Demand!E64+Assumptions!$B$19)</f>
        <v>8</v>
      </c>
      <c r="E64" s="46" t="n">
        <f aca="false">IF($A64="","",Weekly_Demand!F64)</f>
        <v>756</v>
      </c>
      <c r="F64" s="46" t="n">
        <f aca="false">IF($A64="","",SUM(Weekly_Demand!G64:BF64))</f>
        <v>13106</v>
      </c>
      <c r="G64" s="51" t="n">
        <f aca="false">IF($A64="","",IFERROR(F64/Assumptions!$B$6,0))</f>
        <v>252.038461538462</v>
      </c>
      <c r="H64" s="51" t="n">
        <f aca="false">IF($A64="","",STDEV(Weekly_Demand!G64:BF64))</f>
        <v>208.578659779072</v>
      </c>
      <c r="I64" s="52" t="n">
        <f aca="false">IF($A64="","",IFERROR(H64/G64,0))</f>
        <v>0.827566786854245</v>
      </c>
      <c r="J64" s="53" t="n">
        <f aca="false">IF($A64="","",F64*C64)</f>
        <v>12974.94</v>
      </c>
      <c r="K64" s="54" t="n">
        <f aca="false">IF($A64="","",IFERROR(J64/$J$505,0))</f>
        <v>0.00335729642619165</v>
      </c>
      <c r="L64" s="54" t="n">
        <f aca="false">IF($A64="","",IFERROR(SUMIFS($J$5:$J$504,$AB$5:$AB$504,"&lt;="&amp;AB64)/$J$505,0))</f>
        <v>0.365021334735486</v>
      </c>
      <c r="M64" s="55" t="str">
        <f aca="false">IF($A64="","",IF(L64&lt;=Assumptions!$B$7,"A",IF(L64&lt;=Assumptions!$B$8,"B","C")))</f>
        <v>A</v>
      </c>
      <c r="N64" s="55" t="str">
        <f aca="false">IF($A64="","",IF(I64&lt;=Assumptions!$B$9,"X",IF(I64&lt;=Assumptions!$B$10,"Y","Z")))</f>
        <v>Y</v>
      </c>
      <c r="O64" s="56" t="str">
        <f aca="false">IF($A64="","",M64&amp;N64)</f>
        <v>AY</v>
      </c>
      <c r="P64" s="57" t="n">
        <f aca="false">IF($A64="","",INDEX(Assumptions!$B$35:$B$37,MATCH(M64,Assumptions!$A$35:$A$37,0)))</f>
        <v>0.98</v>
      </c>
      <c r="Q64" s="58" t="n">
        <f aca="false">IF($A64="","",NORMSINV(P64))</f>
        <v>2.05374891063182</v>
      </c>
      <c r="R64" s="48" t="n">
        <f aca="false">IF($A64="","",ROUNDUP(Q64*H64*SQRT(D64),0))</f>
        <v>1212</v>
      </c>
      <c r="S64" s="48" t="n">
        <f aca="false">IF($A64="","",ROUNDUP(G64*D64+R64,0))</f>
        <v>3229</v>
      </c>
      <c r="T64" s="46" t="n">
        <f aca="false">IF($A64="","",IFERROR(ROUND(SQRT(2*F64*Assumptions!$B$4/(Assumptions!$B$5*C64)),0),0))</f>
        <v>2301</v>
      </c>
      <c r="U64" s="53" t="n">
        <f aca="false">IF($A64="","",R64*C64)</f>
        <v>1199.88</v>
      </c>
      <c r="V64" s="53" t="n">
        <f aca="false">IF($A64="","",E64*C64)</f>
        <v>748.44</v>
      </c>
      <c r="W64" s="59" t="n">
        <f aca="false">IF($A64="","",IFERROR(E64/G64,0))</f>
        <v>2.99954219441477</v>
      </c>
      <c r="X64" s="48" t="n">
        <f aca="false">IF($A64="","",S64+T64)</f>
        <v>5530</v>
      </c>
      <c r="Y64" s="48" t="n">
        <f aca="false">IF($A64="","",MAX(0,E64-X64))</f>
        <v>0</v>
      </c>
      <c r="Z64" s="53" t="n">
        <f aca="false">IF($A64="","",Y64*C64)</f>
        <v>0</v>
      </c>
      <c r="AA64" s="56" t="str">
        <f aca="false">IF($A64="","",IF(E64&lt;=R64,"Below Safety Stock",IF(E64&lt;=S64,"Reorder Now",IF(E64&gt;X64,"Excess","Healthy"))))</f>
        <v>Below Safety Stock</v>
      </c>
      <c r="AB64" s="48" t="n">
        <f aca="false">IF($A64="","",RANK(AF64,$AF$5:$AF$504,0)+COUNTIF($AF$5:AF64,AF64)-1)</f>
        <v>67</v>
      </c>
      <c r="AC64" s="44" t="str">
        <f aca="false">IF($A64="","",Weekly_Demand!B64)</f>
        <v>RED TOADSTOOL LED NIGHT LIGHT</v>
      </c>
      <c r="AD64" s="59" t="n">
        <f aca="false">IF($A64="","",H64*SQRT(D64))</f>
        <v>589.949538962334</v>
      </c>
      <c r="AE64" s="53" t="n">
        <f aca="false">IF($A64="","",AD64*C64)</f>
        <v>584.05004357271</v>
      </c>
      <c r="AF64" s="53" t="n">
        <f aca="false">IF($A64="","",ROUND(J64,2))</f>
        <v>12974.94</v>
      </c>
    </row>
    <row r="65" customFormat="false" ht="15" hidden="false" customHeight="false" outlineLevel="0" collapsed="false">
      <c r="A65" s="44" t="str">
        <f aca="false">IF(Weekly_Demand!A65="","",Weekly_Demand!A65)</f>
        <v>20713</v>
      </c>
      <c r="B65" s="44" t="str">
        <f aca="false">IF($A65="","",Weekly_Demand!C65)</f>
        <v>Bags</v>
      </c>
      <c r="C65" s="45" t="n">
        <f aca="false">IF($A65="","",Weekly_Demand!D65)</f>
        <v>1.248</v>
      </c>
      <c r="D65" s="46" t="n">
        <f aca="false">IF($A65="","",Weekly_Demand!E65+Assumptions!$B$19)</f>
        <v>4</v>
      </c>
      <c r="E65" s="46" t="n">
        <f aca="false">IF($A65="","",Weekly_Demand!F65)</f>
        <v>1929</v>
      </c>
      <c r="F65" s="46" t="n">
        <f aca="false">IF($A65="","",SUM(Weekly_Demand!G65:BF65))</f>
        <v>11147</v>
      </c>
      <c r="G65" s="51" t="n">
        <f aca="false">IF($A65="","",IFERROR(F65/Assumptions!$B$6,0))</f>
        <v>214.365384615385</v>
      </c>
      <c r="H65" s="51" t="n">
        <f aca="false">IF($A65="","",STDEV(Weekly_Demand!G65:BF65))</f>
        <v>218.508404185855</v>
      </c>
      <c r="I65" s="52" t="n">
        <f aca="false">IF($A65="","",IFERROR(H65/G65,0))</f>
        <v>1.01932690568444</v>
      </c>
      <c r="J65" s="53" t="n">
        <f aca="false">IF($A65="","",F65*C65)</f>
        <v>13911.456</v>
      </c>
      <c r="K65" s="54" t="n">
        <f aca="false">IF($A65="","",IFERROR(J65/$J$505,0))</f>
        <v>0.00359962215716777</v>
      </c>
      <c r="L65" s="54" t="n">
        <f aca="false">IF($A65="","",IFERROR(SUMIFS($J$5:$J$504,$AB$5:$AB$504,"&lt;="&amp;AB65)/$J$505,0))</f>
        <v>0.320235012209197</v>
      </c>
      <c r="M65" s="55" t="str">
        <f aca="false">IF($A65="","",IF(L65&lt;=Assumptions!$B$7,"A",IF(L65&lt;=Assumptions!$B$8,"B","C")))</f>
        <v>A</v>
      </c>
      <c r="N65" s="55" t="str">
        <f aca="false">IF($A65="","",IF(I65&lt;=Assumptions!$B$9,"X",IF(I65&lt;=Assumptions!$B$10,"Y","Z")))</f>
        <v>Z</v>
      </c>
      <c r="O65" s="56" t="str">
        <f aca="false">IF($A65="","",M65&amp;N65)</f>
        <v>AZ</v>
      </c>
      <c r="P65" s="57" t="n">
        <f aca="false">IF($A65="","",INDEX(Assumptions!$B$35:$B$37,MATCH(M65,Assumptions!$A$35:$A$37,0)))</f>
        <v>0.98</v>
      </c>
      <c r="Q65" s="58" t="n">
        <f aca="false">IF($A65="","",NORMSINV(P65))</f>
        <v>2.05374891063182</v>
      </c>
      <c r="R65" s="48" t="n">
        <f aca="false">IF($A65="","",ROUNDUP(Q65*H65*SQRT(D65),0))</f>
        <v>898</v>
      </c>
      <c r="S65" s="48" t="n">
        <f aca="false">IF($A65="","",ROUNDUP(G65*D65+R65,0))</f>
        <v>1756</v>
      </c>
      <c r="T65" s="46" t="n">
        <f aca="false">IF($A65="","",IFERROR(ROUND(SQRT(2*F65*Assumptions!$B$4/(Assumptions!$B$5*C65)),0),0))</f>
        <v>1890</v>
      </c>
      <c r="U65" s="53" t="n">
        <f aca="false">IF($A65="","",R65*C65)</f>
        <v>1120.704</v>
      </c>
      <c r="V65" s="53" t="n">
        <f aca="false">IF($A65="","",E65*C65)</f>
        <v>2407.392</v>
      </c>
      <c r="W65" s="59" t="n">
        <f aca="false">IF($A65="","",IFERROR(E65/G65,0))</f>
        <v>8.99865434646093</v>
      </c>
      <c r="X65" s="48" t="n">
        <f aca="false">IF($A65="","",S65+T65)</f>
        <v>3646</v>
      </c>
      <c r="Y65" s="48" t="n">
        <f aca="false">IF($A65="","",MAX(0,E65-X65))</f>
        <v>0</v>
      </c>
      <c r="Z65" s="53" t="n">
        <f aca="false">IF($A65="","",Y65*C65)</f>
        <v>0</v>
      </c>
      <c r="AA65" s="56" t="str">
        <f aca="false">IF($A65="","",IF(E65&lt;=R65,"Below Safety Stock",IF(E65&lt;=S65,"Reorder Now",IF(E65&gt;X65,"Excess","Healthy"))))</f>
        <v>Healthy</v>
      </c>
      <c r="AB65" s="48" t="n">
        <f aca="false">IF($A65="","",RANK(AF65,$AF$5:$AF$504,0)+COUNTIF($AF$5:AF65,AF65)-1)</f>
        <v>54</v>
      </c>
      <c r="AC65" s="44" t="str">
        <f aca="false">IF($A65="","",Weekly_Demand!B65)</f>
        <v>JUMBO BAG OWLS</v>
      </c>
      <c r="AD65" s="59" t="n">
        <f aca="false">IF($A65="","",H65*SQRT(D65))</f>
        <v>437.016808371711</v>
      </c>
      <c r="AE65" s="53" t="n">
        <f aca="false">IF($A65="","",AD65*C65)</f>
        <v>545.396976847895</v>
      </c>
      <c r="AF65" s="53" t="n">
        <f aca="false">IF($A65="","",ROUND(J65,2))</f>
        <v>13911.46</v>
      </c>
    </row>
    <row r="66" customFormat="false" ht="15" hidden="false" customHeight="false" outlineLevel="0" collapsed="false">
      <c r="A66" s="44" t="str">
        <f aca="false">IF(Weekly_Demand!A66="","",Weekly_Demand!A66)</f>
        <v>22090</v>
      </c>
      <c r="B66" s="44" t="str">
        <f aca="false">IF($A66="","",Weekly_Demand!C66)</f>
        <v>Other</v>
      </c>
      <c r="C66" s="45" t="n">
        <f aca="false">IF($A66="","",Weekly_Demand!D66)</f>
        <v>1.77</v>
      </c>
      <c r="D66" s="46" t="n">
        <f aca="false">IF($A66="","",Weekly_Demand!E66+Assumptions!$B$19)</f>
        <v>6</v>
      </c>
      <c r="E66" s="46" t="n">
        <f aca="false">IF($A66="","",Weekly_Demand!F66)</f>
        <v>4281</v>
      </c>
      <c r="F66" s="46" t="n">
        <f aca="false">IF($A66="","",SUM(Weekly_Demand!G66:BF66))</f>
        <v>7420</v>
      </c>
      <c r="G66" s="51" t="n">
        <f aca="false">IF($A66="","",IFERROR(F66/Assumptions!$B$6,0))</f>
        <v>142.692307692308</v>
      </c>
      <c r="H66" s="51" t="n">
        <f aca="false">IF($A66="","",STDEV(Weekly_Demand!G66:BF66))</f>
        <v>101.04406696625</v>
      </c>
      <c r="I66" s="52" t="n">
        <f aca="false">IF($A66="","",IFERROR(H66/G66,0))</f>
        <v>0.708125536690698</v>
      </c>
      <c r="J66" s="53" t="n">
        <f aca="false">IF($A66="","",F66*C66)</f>
        <v>13133.4</v>
      </c>
      <c r="K66" s="54" t="n">
        <f aca="false">IF($A66="","",IFERROR(J66/$J$505,0))</f>
        <v>0.00339829832613834</v>
      </c>
      <c r="L66" s="54" t="n">
        <f aca="false">IF($A66="","",IFERROR(SUMIFS($J$5:$J$504,$AB$5:$AB$504,"&lt;="&amp;AB66)/$J$505,0))</f>
        <v>0.354903428936107</v>
      </c>
      <c r="M66" s="55" t="str">
        <f aca="false">IF($A66="","",IF(L66&lt;=Assumptions!$B$7,"A",IF(L66&lt;=Assumptions!$B$8,"B","C")))</f>
        <v>A</v>
      </c>
      <c r="N66" s="55" t="str">
        <f aca="false">IF($A66="","",IF(I66&lt;=Assumptions!$B$9,"X",IF(I66&lt;=Assumptions!$B$10,"Y","Z")))</f>
        <v>Y</v>
      </c>
      <c r="O66" s="56" t="str">
        <f aca="false">IF($A66="","",M66&amp;N66)</f>
        <v>AY</v>
      </c>
      <c r="P66" s="57" t="n">
        <f aca="false">IF($A66="","",INDEX(Assumptions!$B$35:$B$37,MATCH(M66,Assumptions!$A$35:$A$37,0)))</f>
        <v>0.98</v>
      </c>
      <c r="Q66" s="58" t="n">
        <f aca="false">IF($A66="","",NORMSINV(P66))</f>
        <v>2.05374891063182</v>
      </c>
      <c r="R66" s="48" t="n">
        <f aca="false">IF($A66="","",ROUNDUP(Q66*H66*SQRT(D66),0))</f>
        <v>509</v>
      </c>
      <c r="S66" s="48" t="n">
        <f aca="false">IF($A66="","",ROUNDUP(G66*D66+R66,0))</f>
        <v>1366</v>
      </c>
      <c r="T66" s="46" t="n">
        <f aca="false">IF($A66="","",IFERROR(ROUND(SQRT(2*F66*Assumptions!$B$4/(Assumptions!$B$5*C66)),0),0))</f>
        <v>1295</v>
      </c>
      <c r="U66" s="53" t="n">
        <f aca="false">IF($A66="","",R66*C66)</f>
        <v>900.93</v>
      </c>
      <c r="V66" s="53" t="n">
        <f aca="false">IF($A66="","",E66*C66)</f>
        <v>7577.37</v>
      </c>
      <c r="W66" s="59" t="n">
        <f aca="false">IF($A66="","",IFERROR(E66/G66,0))</f>
        <v>30.0016172506739</v>
      </c>
      <c r="X66" s="48" t="n">
        <f aca="false">IF($A66="","",S66+T66)</f>
        <v>2661</v>
      </c>
      <c r="Y66" s="48" t="n">
        <f aca="false">IF($A66="","",MAX(0,E66-X66))</f>
        <v>1620</v>
      </c>
      <c r="Z66" s="53" t="n">
        <f aca="false">IF($A66="","",Y66*C66)</f>
        <v>2867.4</v>
      </c>
      <c r="AA66" s="56" t="str">
        <f aca="false">IF($A66="","",IF(E66&lt;=R66,"Below Safety Stock",IF(E66&lt;=S66,"Reorder Now",IF(E66&gt;X66,"Excess","Healthy"))))</f>
        <v>Excess</v>
      </c>
      <c r="AB66" s="48" t="n">
        <f aca="false">IF($A66="","",RANK(AF66,$AF$5:$AF$504,0)+COUNTIF($AF$5:AF66,AF66)-1)</f>
        <v>64</v>
      </c>
      <c r="AC66" s="44" t="str">
        <f aca="false">IF($A66="","",Weekly_Demand!B66)</f>
        <v>PAPER BUNTING RETROSPOT</v>
      </c>
      <c r="AD66" s="59" t="n">
        <f aca="false">IF($A66="","",H66*SQRT(D66))</f>
        <v>247.506405602925</v>
      </c>
      <c r="AE66" s="53" t="n">
        <f aca="false">IF($A66="","",AD66*C66)</f>
        <v>438.086337917177</v>
      </c>
      <c r="AF66" s="53" t="n">
        <f aca="false">IF($A66="","",ROUND(J66,2))</f>
        <v>13133.4</v>
      </c>
    </row>
    <row r="67" customFormat="false" ht="15" hidden="false" customHeight="false" outlineLevel="0" collapsed="false">
      <c r="A67" s="44" t="str">
        <f aca="false">IF(Weekly_Demand!A67="","",Weekly_Demand!A67)</f>
        <v>21623</v>
      </c>
      <c r="B67" s="44" t="str">
        <f aca="false">IF($A67="","",Weekly_Demand!C67)</f>
        <v>Other</v>
      </c>
      <c r="C67" s="45" t="n">
        <f aca="false">IF($A67="","",Weekly_Demand!D67)</f>
        <v>5.97</v>
      </c>
      <c r="D67" s="46" t="n">
        <f aca="false">IF($A67="","",Weekly_Demand!E67+Assumptions!$B$19)</f>
        <v>8</v>
      </c>
      <c r="E67" s="46" t="n">
        <f aca="false">IF($A67="","",Weekly_Demand!F67)</f>
        <v>184</v>
      </c>
      <c r="F67" s="46" t="n">
        <f aca="false">IF($A67="","",SUM(Weekly_Demand!G67:BF67))</f>
        <v>3193</v>
      </c>
      <c r="G67" s="51" t="n">
        <f aca="false">IF($A67="","",IFERROR(F67/Assumptions!$B$6,0))</f>
        <v>61.4038461538462</v>
      </c>
      <c r="H67" s="51" t="n">
        <f aca="false">IF($A67="","",STDEV(Weekly_Demand!G67:BF67))</f>
        <v>199.860957512612</v>
      </c>
      <c r="I67" s="52" t="n">
        <f aca="false">IF($A67="","",IFERROR(H67/G67,0))</f>
        <v>3.25486056707042</v>
      </c>
      <c r="J67" s="53" t="n">
        <f aca="false">IF($A67="","",F67*C67)</f>
        <v>19062.21</v>
      </c>
      <c r="K67" s="54" t="n">
        <f aca="false">IF($A67="","",IFERROR(J67/$J$505,0))</f>
        <v>0.00493239194233767</v>
      </c>
      <c r="L67" s="54" t="n">
        <f aca="false">IF($A67="","",IFERROR(SUMIFS($J$5:$J$504,$AB$5:$AB$504,"&lt;="&amp;AB67)/$J$505,0))</f>
        <v>0.173104952616079</v>
      </c>
      <c r="M67" s="55" t="str">
        <f aca="false">IF($A67="","",IF(L67&lt;=Assumptions!$B$7,"A",IF(L67&lt;=Assumptions!$B$8,"B","C")))</f>
        <v>A</v>
      </c>
      <c r="N67" s="55" t="str">
        <f aca="false">IF($A67="","",IF(I67&lt;=Assumptions!$B$9,"X",IF(I67&lt;=Assumptions!$B$10,"Y","Z")))</f>
        <v>Z</v>
      </c>
      <c r="O67" s="56" t="str">
        <f aca="false">IF($A67="","",M67&amp;N67)</f>
        <v>AZ</v>
      </c>
      <c r="P67" s="57" t="n">
        <f aca="false">IF($A67="","",INDEX(Assumptions!$B$35:$B$37,MATCH(M67,Assumptions!$A$35:$A$37,0)))</f>
        <v>0.98</v>
      </c>
      <c r="Q67" s="58" t="n">
        <f aca="false">IF($A67="","",NORMSINV(P67))</f>
        <v>2.05374891063182</v>
      </c>
      <c r="R67" s="48" t="n">
        <f aca="false">IF($A67="","",ROUNDUP(Q67*H67*SQRT(D67),0))</f>
        <v>1161</v>
      </c>
      <c r="S67" s="48" t="n">
        <f aca="false">IF($A67="","",ROUNDUP(G67*D67+R67,0))</f>
        <v>1653</v>
      </c>
      <c r="T67" s="46" t="n">
        <f aca="false">IF($A67="","",IFERROR(ROUND(SQRT(2*F67*Assumptions!$B$4/(Assumptions!$B$5*C67)),0),0))</f>
        <v>463</v>
      </c>
      <c r="U67" s="53" t="n">
        <f aca="false">IF($A67="","",R67*C67)</f>
        <v>6931.17</v>
      </c>
      <c r="V67" s="53" t="n">
        <f aca="false">IF($A67="","",E67*C67)</f>
        <v>1098.48</v>
      </c>
      <c r="W67" s="59" t="n">
        <f aca="false">IF($A67="","",IFERROR(E67/G67,0))</f>
        <v>2.99655496398371</v>
      </c>
      <c r="X67" s="48" t="n">
        <f aca="false">IF($A67="","",S67+T67)</f>
        <v>2116</v>
      </c>
      <c r="Y67" s="48" t="n">
        <f aca="false">IF($A67="","",MAX(0,E67-X67))</f>
        <v>0</v>
      </c>
      <c r="Z67" s="53" t="n">
        <f aca="false">IF($A67="","",Y67*C67)</f>
        <v>0</v>
      </c>
      <c r="AA67" s="56" t="str">
        <f aca="false">IF($A67="","",IF(E67&lt;=R67,"Below Safety Stock",IF(E67&lt;=S67,"Reorder Now",IF(E67&gt;X67,"Excess","Healthy"))))</f>
        <v>Below Safety Stock</v>
      </c>
      <c r="AB67" s="48" t="n">
        <f aca="false">IF($A67="","",RANK(AF67,$AF$5:$AF$504,0)+COUNTIF($AF$5:AF67,AF67)-1)</f>
        <v>19</v>
      </c>
      <c r="AC67" s="44" t="str">
        <f aca="false">IF($A67="","",Weekly_Demand!B67)</f>
        <v>VINTAGE UNION JACK MEMOBOARD</v>
      </c>
      <c r="AD67" s="59" t="n">
        <f aca="false">IF($A67="","",H67*SQRT(D67))</f>
        <v>565.292153406419</v>
      </c>
      <c r="AE67" s="53" t="n">
        <f aca="false">IF($A67="","",AD67*C67)</f>
        <v>3374.79415583632</v>
      </c>
      <c r="AF67" s="53" t="n">
        <f aca="false">IF($A67="","",ROUND(J67,2))</f>
        <v>19062.21</v>
      </c>
    </row>
    <row r="68" customFormat="false" ht="15" hidden="false" customHeight="false" outlineLevel="0" collapsed="false">
      <c r="A68" s="44" t="str">
        <f aca="false">IF(Weekly_Demand!A68="","",Weekly_Demand!A68)</f>
        <v>23344</v>
      </c>
      <c r="B68" s="44" t="str">
        <f aca="false">IF($A68="","",Weekly_Demand!C68)</f>
        <v>Bags</v>
      </c>
      <c r="C68" s="45" t="n">
        <f aca="false">IF($A68="","",Weekly_Demand!D68)</f>
        <v>1.248</v>
      </c>
      <c r="D68" s="46" t="n">
        <f aca="false">IF($A68="","",Weekly_Demand!E68+Assumptions!$B$19)</f>
        <v>2</v>
      </c>
      <c r="E68" s="46" t="n">
        <f aca="false">IF($A68="","",Weekly_Demand!F68)</f>
        <v>5141</v>
      </c>
      <c r="F68" s="46" t="n">
        <f aca="false">IF($A68="","",SUM(Weekly_Demand!G68:BF68))</f>
        <v>9547</v>
      </c>
      <c r="G68" s="51" t="n">
        <f aca="false">IF($A68="","",IFERROR(F68/Assumptions!$B$6,0))</f>
        <v>183.596153846154</v>
      </c>
      <c r="H68" s="51" t="n">
        <f aca="false">IF($A68="","",STDEV(Weekly_Demand!G68:BF68))</f>
        <v>327.219615621775</v>
      </c>
      <c r="I68" s="52" t="n">
        <f aca="false">IF($A68="","",IFERROR(H68/G68,0))</f>
        <v>1.78227925131793</v>
      </c>
      <c r="J68" s="53" t="n">
        <f aca="false">IF($A68="","",F68*C68)</f>
        <v>11914.656</v>
      </c>
      <c r="K68" s="54" t="n">
        <f aca="false">IF($A68="","",IFERROR(J68/$J$505,0))</f>
        <v>0.00308294543235675</v>
      </c>
      <c r="L68" s="54" t="n">
        <f aca="false">IF($A68="","",IFERROR(SUMIFS($J$5:$J$504,$AB$5:$AB$504,"&lt;="&amp;AB68)/$J$505,0))</f>
        <v>0.422733058319623</v>
      </c>
      <c r="M68" s="55" t="str">
        <f aca="false">IF($A68="","",IF(L68&lt;=Assumptions!$B$7,"A",IF(L68&lt;=Assumptions!$B$8,"B","C")))</f>
        <v>A</v>
      </c>
      <c r="N68" s="55" t="str">
        <f aca="false">IF($A68="","",IF(I68&lt;=Assumptions!$B$9,"X",IF(I68&lt;=Assumptions!$B$10,"Y","Z")))</f>
        <v>Z</v>
      </c>
      <c r="O68" s="56" t="str">
        <f aca="false">IF($A68="","",M68&amp;N68)</f>
        <v>AZ</v>
      </c>
      <c r="P68" s="57" t="n">
        <f aca="false">IF($A68="","",INDEX(Assumptions!$B$35:$B$37,MATCH(M68,Assumptions!$A$35:$A$37,0)))</f>
        <v>0.98</v>
      </c>
      <c r="Q68" s="58" t="n">
        <f aca="false">IF($A68="","",NORMSINV(P68))</f>
        <v>2.05374891063182</v>
      </c>
      <c r="R68" s="48" t="n">
        <f aca="false">IF($A68="","",ROUNDUP(Q68*H68*SQRT(D68),0))</f>
        <v>951</v>
      </c>
      <c r="S68" s="48" t="n">
        <f aca="false">IF($A68="","",ROUNDUP(G68*D68+R68,0))</f>
        <v>1319</v>
      </c>
      <c r="T68" s="46" t="n">
        <f aca="false">IF($A68="","",IFERROR(ROUND(SQRT(2*F68*Assumptions!$B$4/(Assumptions!$B$5*C68)),0),0))</f>
        <v>1749</v>
      </c>
      <c r="U68" s="53" t="n">
        <f aca="false">IF($A68="","",R68*C68)</f>
        <v>1186.848</v>
      </c>
      <c r="V68" s="53" t="n">
        <f aca="false">IF($A68="","",E68*C68)</f>
        <v>6415.968</v>
      </c>
      <c r="W68" s="59" t="n">
        <f aca="false">IF($A68="","",IFERROR(E68/G68,0))</f>
        <v>28.0016759191369</v>
      </c>
      <c r="X68" s="48" t="n">
        <f aca="false">IF($A68="","",S68+T68)</f>
        <v>3068</v>
      </c>
      <c r="Y68" s="48" t="n">
        <f aca="false">IF($A68="","",MAX(0,E68-X68))</f>
        <v>2073</v>
      </c>
      <c r="Z68" s="53" t="n">
        <f aca="false">IF($A68="","",Y68*C68)</f>
        <v>2587.104</v>
      </c>
      <c r="AA68" s="56" t="str">
        <f aca="false">IF($A68="","",IF(E68&lt;=R68,"Below Safety Stock",IF(E68&lt;=S68,"Reorder Now",IF(E68&gt;X68,"Excess","Healthy"))))</f>
        <v>Excess</v>
      </c>
      <c r="AB68" s="48" t="n">
        <f aca="false">IF($A68="","",RANK(AF68,$AF$5:$AF$504,0)+COUNTIF($AF$5:AF68,AF68)-1)</f>
        <v>85</v>
      </c>
      <c r="AC68" s="44" t="str">
        <f aca="false">IF($A68="","",Weekly_Demand!B68)</f>
        <v>JUMBO BAG 50'S CHRISTMAS</v>
      </c>
      <c r="AD68" s="59" t="n">
        <f aca="false">IF($A68="","",H68*SQRT(D68))</f>
        <v>462.758418286825</v>
      </c>
      <c r="AE68" s="53" t="n">
        <f aca="false">IF($A68="","",AD68*C68)</f>
        <v>577.522506021958</v>
      </c>
      <c r="AF68" s="53" t="n">
        <f aca="false">IF($A68="","",ROUND(J68,2))</f>
        <v>11914.66</v>
      </c>
    </row>
    <row r="69" customFormat="false" ht="15" hidden="false" customHeight="false" outlineLevel="0" collapsed="false">
      <c r="A69" s="44" t="str">
        <f aca="false">IF(Weekly_Demand!A69="","",Weekly_Demand!A69)</f>
        <v>21733</v>
      </c>
      <c r="B69" s="44" t="str">
        <f aca="false">IF($A69="","",Weekly_Demand!C69)</f>
        <v>Lighting</v>
      </c>
      <c r="C69" s="45" t="n">
        <f aca="false">IF($A69="","",Weekly_Demand!D69)</f>
        <v>1.77</v>
      </c>
      <c r="D69" s="46" t="n">
        <f aca="false">IF($A69="","",Weekly_Demand!E69+Assumptions!$B$19)</f>
        <v>4</v>
      </c>
      <c r="E69" s="46" t="n">
        <f aca="false">IF($A69="","",Weekly_Demand!F69)</f>
        <v>6881</v>
      </c>
      <c r="F69" s="46" t="n">
        <f aca="false">IF($A69="","",SUM(Weekly_Demand!G69:BF69))</f>
        <v>7454</v>
      </c>
      <c r="G69" s="51" t="n">
        <f aca="false">IF($A69="","",IFERROR(F69/Assumptions!$B$6,0))</f>
        <v>143.346153846154</v>
      </c>
      <c r="H69" s="51" t="n">
        <f aca="false">IF($A69="","",STDEV(Weekly_Demand!G69:BF69))</f>
        <v>173.946000705356</v>
      </c>
      <c r="I69" s="52" t="n">
        <f aca="false">IF($A69="","",IFERROR(H69/G69,0))</f>
        <v>1.21346820991126</v>
      </c>
      <c r="J69" s="53" t="n">
        <f aca="false">IF($A69="","",F69*C69)</f>
        <v>13193.58</v>
      </c>
      <c r="K69" s="54" t="n">
        <f aca="false">IF($A69="","",IFERROR(J69/$J$505,0))</f>
        <v>0.00341387004353574</v>
      </c>
      <c r="L69" s="54" t="n">
        <f aca="false">IF($A69="","",IFERROR(SUMIFS($J$5:$J$504,$AB$5:$AB$504,"&lt;="&amp;AB69)/$J$505,0))</f>
        <v>0.34809441838031</v>
      </c>
      <c r="M69" s="55" t="str">
        <f aca="false">IF($A69="","",IF(L69&lt;=Assumptions!$B$7,"A",IF(L69&lt;=Assumptions!$B$8,"B","C")))</f>
        <v>A</v>
      </c>
      <c r="N69" s="55" t="str">
        <f aca="false">IF($A69="","",IF(I69&lt;=Assumptions!$B$9,"X",IF(I69&lt;=Assumptions!$B$10,"Y","Z")))</f>
        <v>Z</v>
      </c>
      <c r="O69" s="56" t="str">
        <f aca="false">IF($A69="","",M69&amp;N69)</f>
        <v>AZ</v>
      </c>
      <c r="P69" s="57" t="n">
        <f aca="false">IF($A69="","",INDEX(Assumptions!$B$35:$B$37,MATCH(M69,Assumptions!$A$35:$A$37,0)))</f>
        <v>0.98</v>
      </c>
      <c r="Q69" s="58" t="n">
        <f aca="false">IF($A69="","",NORMSINV(P69))</f>
        <v>2.05374891063182</v>
      </c>
      <c r="R69" s="48" t="n">
        <f aca="false">IF($A69="","",ROUNDUP(Q69*H69*SQRT(D69),0))</f>
        <v>715</v>
      </c>
      <c r="S69" s="48" t="n">
        <f aca="false">IF($A69="","",ROUNDUP(G69*D69+R69,0))</f>
        <v>1289</v>
      </c>
      <c r="T69" s="46" t="n">
        <f aca="false">IF($A69="","",IFERROR(ROUND(SQRT(2*F69*Assumptions!$B$4/(Assumptions!$B$5*C69)),0),0))</f>
        <v>1298</v>
      </c>
      <c r="U69" s="53" t="n">
        <f aca="false">IF($A69="","",R69*C69)</f>
        <v>1265.55</v>
      </c>
      <c r="V69" s="53" t="n">
        <f aca="false">IF($A69="","",E69*C69)</f>
        <v>12179.37</v>
      </c>
      <c r="W69" s="59" t="n">
        <f aca="false">IF($A69="","",IFERROR(E69/G69,0))</f>
        <v>48.0026831231554</v>
      </c>
      <c r="X69" s="48" t="n">
        <f aca="false">IF($A69="","",S69+T69)</f>
        <v>2587</v>
      </c>
      <c r="Y69" s="48" t="n">
        <f aca="false">IF($A69="","",MAX(0,E69-X69))</f>
        <v>4294</v>
      </c>
      <c r="Z69" s="53" t="n">
        <f aca="false">IF($A69="","",Y69*C69)</f>
        <v>7600.38</v>
      </c>
      <c r="AA69" s="56" t="str">
        <f aca="false">IF($A69="","",IF(E69&lt;=R69,"Below Safety Stock",IF(E69&lt;=S69,"Reorder Now",IF(E69&gt;X69,"Excess","Healthy"))))</f>
        <v>Excess</v>
      </c>
      <c r="AB69" s="48" t="n">
        <f aca="false">IF($A69="","",RANK(AF69,$AF$5:$AF$504,0)+COUNTIF($AF$5:AF69,AF69)-1)</f>
        <v>62</v>
      </c>
      <c r="AC69" s="44" t="str">
        <f aca="false">IF($A69="","",Weekly_Demand!B69)</f>
        <v>RED HANGING HEART T-LIGHT HOLDER</v>
      </c>
      <c r="AD69" s="59" t="n">
        <f aca="false">IF($A69="","",H69*SQRT(D69))</f>
        <v>347.892001410712</v>
      </c>
      <c r="AE69" s="53" t="n">
        <f aca="false">IF($A69="","",AD69*C69)</f>
        <v>615.76884249696</v>
      </c>
      <c r="AF69" s="53" t="n">
        <f aca="false">IF($A69="","",ROUND(J69,2))</f>
        <v>13193.58</v>
      </c>
    </row>
    <row r="70" customFormat="false" ht="15" hidden="false" customHeight="false" outlineLevel="0" collapsed="false">
      <c r="A70" s="44" t="str">
        <f aca="false">IF(Weekly_Demand!A70="","",Weekly_Demand!A70)</f>
        <v>22383</v>
      </c>
      <c r="B70" s="44" t="str">
        <f aca="false">IF($A70="","",Weekly_Demand!C70)</f>
        <v>Bags</v>
      </c>
      <c r="C70" s="45" t="n">
        <f aca="false">IF($A70="","",Weekly_Demand!D70)</f>
        <v>0.99</v>
      </c>
      <c r="D70" s="46" t="n">
        <f aca="false">IF($A70="","",Weekly_Demand!E70+Assumptions!$B$19)</f>
        <v>8</v>
      </c>
      <c r="E70" s="46" t="n">
        <f aca="false">IF($A70="","",Weekly_Demand!F70)</f>
        <v>2359</v>
      </c>
      <c r="F70" s="46" t="n">
        <f aca="false">IF($A70="","",SUM(Weekly_Demand!G70:BF70))</f>
        <v>12266</v>
      </c>
      <c r="G70" s="51" t="n">
        <f aca="false">IF($A70="","",IFERROR(F70/Assumptions!$B$6,0))</f>
        <v>235.884615384615</v>
      </c>
      <c r="H70" s="51" t="n">
        <f aca="false">IF($A70="","",STDEV(Weekly_Demand!G70:BF70))</f>
        <v>115.543159552857</v>
      </c>
      <c r="I70" s="52" t="n">
        <f aca="false">IF($A70="","",IFERROR(H70/G70,0))</f>
        <v>0.489829145340663</v>
      </c>
      <c r="J70" s="53" t="n">
        <f aca="false">IF($A70="","",F70*C70)</f>
        <v>12143.34</v>
      </c>
      <c r="K70" s="54" t="n">
        <f aca="false">IF($A70="","",IFERROR(J70/$J$505,0))</f>
        <v>0.00314211795846687</v>
      </c>
      <c r="L70" s="54" t="n">
        <f aca="false">IF($A70="","",IFERROR(SUMIFS($J$5:$J$504,$AB$5:$AB$504,"&lt;="&amp;AB70)/$J$505,0))</f>
        <v>0.407253731042096</v>
      </c>
      <c r="M70" s="55" t="str">
        <f aca="false">IF($A70="","",IF(L70&lt;=Assumptions!$B$7,"A",IF(L70&lt;=Assumptions!$B$8,"B","C")))</f>
        <v>A</v>
      </c>
      <c r="N70" s="55" t="str">
        <f aca="false">IF($A70="","",IF(I70&lt;=Assumptions!$B$9,"X",IF(I70&lt;=Assumptions!$B$10,"Y","Z")))</f>
        <v>X</v>
      </c>
      <c r="O70" s="56" t="str">
        <f aca="false">IF($A70="","",M70&amp;N70)</f>
        <v>AX</v>
      </c>
      <c r="P70" s="57" t="n">
        <f aca="false">IF($A70="","",INDEX(Assumptions!$B$35:$B$37,MATCH(M70,Assumptions!$A$35:$A$37,0)))</f>
        <v>0.98</v>
      </c>
      <c r="Q70" s="58" t="n">
        <f aca="false">IF($A70="","",NORMSINV(P70))</f>
        <v>2.05374891063182</v>
      </c>
      <c r="R70" s="48" t="n">
        <f aca="false">IF($A70="","",ROUNDUP(Q70*H70*SQRT(D70),0))</f>
        <v>672</v>
      </c>
      <c r="S70" s="48" t="n">
        <f aca="false">IF($A70="","",ROUNDUP(G70*D70+R70,0))</f>
        <v>2560</v>
      </c>
      <c r="T70" s="46" t="n">
        <f aca="false">IF($A70="","",IFERROR(ROUND(SQRT(2*F70*Assumptions!$B$4/(Assumptions!$B$5*C70)),0),0))</f>
        <v>2226</v>
      </c>
      <c r="U70" s="53" t="n">
        <f aca="false">IF($A70="","",R70*C70)</f>
        <v>665.28</v>
      </c>
      <c r="V70" s="53" t="n">
        <f aca="false">IF($A70="","",E70*C70)</f>
        <v>2335.41</v>
      </c>
      <c r="W70" s="59" t="n">
        <f aca="false">IF($A70="","",IFERROR(E70/G70,0))</f>
        <v>10.0006522093592</v>
      </c>
      <c r="X70" s="48" t="n">
        <f aca="false">IF($A70="","",S70+T70)</f>
        <v>4786</v>
      </c>
      <c r="Y70" s="48" t="n">
        <f aca="false">IF($A70="","",MAX(0,E70-X70))</f>
        <v>0</v>
      </c>
      <c r="Z70" s="53" t="n">
        <f aca="false">IF($A70="","",Y70*C70)</f>
        <v>0</v>
      </c>
      <c r="AA70" s="56" t="str">
        <f aca="false">IF($A70="","",IF(E70&lt;=R70,"Below Safety Stock",IF(E70&lt;=S70,"Reorder Now",IF(E70&gt;X70,"Excess","Healthy"))))</f>
        <v>Reorder Now</v>
      </c>
      <c r="AB70" s="48" t="n">
        <f aca="false">IF($A70="","",RANK(AF70,$AF$5:$AF$504,0)+COUNTIF($AF$5:AF70,AF70)-1)</f>
        <v>80</v>
      </c>
      <c r="AC70" s="44" t="str">
        <f aca="false">IF($A70="","",Weekly_Demand!B70)</f>
        <v>LUNCH BAG SUKI DESIGN</v>
      </c>
      <c r="AD70" s="59" t="n">
        <f aca="false">IF($A70="","",H70*SQRT(D70))</f>
        <v>326.805406558178</v>
      </c>
      <c r="AE70" s="53" t="n">
        <f aca="false">IF($A70="","",AD70*C70)</f>
        <v>323.537352492596</v>
      </c>
      <c r="AF70" s="53" t="n">
        <f aca="false">IF($A70="","",ROUND(J70,2))</f>
        <v>12143.34</v>
      </c>
    </row>
    <row r="71" customFormat="false" ht="15" hidden="false" customHeight="false" outlineLevel="0" collapsed="false">
      <c r="A71" s="44" t="str">
        <f aca="false">IF(Weekly_Demand!A71="","",Weekly_Demand!A71)</f>
        <v>22111</v>
      </c>
      <c r="B71" s="44" t="str">
        <f aca="false">IF($A71="","",Weekly_Demand!C71)</f>
        <v>Other</v>
      </c>
      <c r="C71" s="45" t="n">
        <f aca="false">IF($A71="","",Weekly_Demand!D71)</f>
        <v>2.97</v>
      </c>
      <c r="D71" s="46" t="n">
        <f aca="false">IF($A71="","",Weekly_Demand!E71+Assumptions!$B$19)</f>
        <v>8</v>
      </c>
      <c r="E71" s="46" t="n">
        <f aca="false">IF($A71="","",Weekly_Demand!F71)</f>
        <v>1047</v>
      </c>
      <c r="F71" s="46" t="n">
        <f aca="false">IF($A71="","",SUM(Weekly_Demand!G71:BF71))</f>
        <v>4187</v>
      </c>
      <c r="G71" s="51" t="n">
        <f aca="false">IF($A71="","",IFERROR(F71/Assumptions!$B$6,0))</f>
        <v>80.5192307692308</v>
      </c>
      <c r="H71" s="51" t="n">
        <f aca="false">IF($A71="","",STDEV(Weekly_Demand!G71:BF71))</f>
        <v>125.827845414875</v>
      </c>
      <c r="I71" s="52" t="n">
        <f aca="false">IF($A71="","",IFERROR(H71/G71,0))</f>
        <v>1.56270550789909</v>
      </c>
      <c r="J71" s="53" t="n">
        <f aca="false">IF($A71="","",F71*C71)</f>
        <v>12435.39</v>
      </c>
      <c r="K71" s="54" t="n">
        <f aca="false">IF($A71="","",IFERROR(J71/$J$505,0))</f>
        <v>0.00321768658701307</v>
      </c>
      <c r="L71" s="54" t="n">
        <f aca="false">IF($A71="","",IFERROR(SUMIFS($J$5:$J$504,$AB$5:$AB$504,"&lt;="&amp;AB71)/$J$505,0))</f>
        <v>0.394576261843989</v>
      </c>
      <c r="M71" s="55" t="str">
        <f aca="false">IF($A71="","",IF(L71&lt;=Assumptions!$B$7,"A",IF(L71&lt;=Assumptions!$B$8,"B","C")))</f>
        <v>A</v>
      </c>
      <c r="N71" s="55" t="str">
        <f aca="false">IF($A71="","",IF(I71&lt;=Assumptions!$B$9,"X",IF(I71&lt;=Assumptions!$B$10,"Y","Z")))</f>
        <v>Z</v>
      </c>
      <c r="O71" s="56" t="str">
        <f aca="false">IF($A71="","",M71&amp;N71)</f>
        <v>AZ</v>
      </c>
      <c r="P71" s="57" t="n">
        <f aca="false">IF($A71="","",INDEX(Assumptions!$B$35:$B$37,MATCH(M71,Assumptions!$A$35:$A$37,0)))</f>
        <v>0.98</v>
      </c>
      <c r="Q71" s="58" t="n">
        <f aca="false">IF($A71="","",NORMSINV(P71))</f>
        <v>2.05374891063182</v>
      </c>
      <c r="R71" s="48" t="n">
        <f aca="false">IF($A71="","",ROUNDUP(Q71*H71*SQRT(D71),0))</f>
        <v>731</v>
      </c>
      <c r="S71" s="48" t="n">
        <f aca="false">IF($A71="","",ROUNDUP(G71*D71+R71,0))</f>
        <v>1376</v>
      </c>
      <c r="T71" s="46" t="n">
        <f aca="false">IF($A71="","",IFERROR(ROUND(SQRT(2*F71*Assumptions!$B$4/(Assumptions!$B$5*C71)),0),0))</f>
        <v>751</v>
      </c>
      <c r="U71" s="53" t="n">
        <f aca="false">IF($A71="","",R71*C71)</f>
        <v>2171.07</v>
      </c>
      <c r="V71" s="53" t="n">
        <f aca="false">IF($A71="","",E71*C71)</f>
        <v>3109.59</v>
      </c>
      <c r="W71" s="59" t="n">
        <f aca="false">IF($A71="","",IFERROR(E71/G71,0))</f>
        <v>13.0031048483401</v>
      </c>
      <c r="X71" s="48" t="n">
        <f aca="false">IF($A71="","",S71+T71)</f>
        <v>2127</v>
      </c>
      <c r="Y71" s="48" t="n">
        <f aca="false">IF($A71="","",MAX(0,E71-X71))</f>
        <v>0</v>
      </c>
      <c r="Z71" s="53" t="n">
        <f aca="false">IF($A71="","",Y71*C71)</f>
        <v>0</v>
      </c>
      <c r="AA71" s="56" t="str">
        <f aca="false">IF($A71="","",IF(E71&lt;=R71,"Below Safety Stock",IF(E71&lt;=S71,"Reorder Now",IF(E71&gt;X71,"Excess","Healthy"))))</f>
        <v>Reorder Now</v>
      </c>
      <c r="AB71" s="48" t="n">
        <f aca="false">IF($A71="","",RANK(AF71,$AF$5:$AF$504,0)+COUNTIF($AF$5:AF71,AF71)-1)</f>
        <v>76</v>
      </c>
      <c r="AC71" s="44" t="str">
        <f aca="false">IF($A71="","",Weekly_Demand!B71)</f>
        <v>SCOTTIE DOG HOT WATER BOTTLE</v>
      </c>
      <c r="AD71" s="59" t="n">
        <f aca="false">IF($A71="","",H71*SQRT(D71))</f>
        <v>355.894891019802</v>
      </c>
      <c r="AE71" s="53" t="n">
        <f aca="false">IF($A71="","",AD71*C71)</f>
        <v>1057.00782632881</v>
      </c>
      <c r="AF71" s="53" t="n">
        <f aca="false">IF($A71="","",ROUND(J71,2))</f>
        <v>12435.39</v>
      </c>
    </row>
    <row r="72" customFormat="false" ht="15" hidden="false" customHeight="false" outlineLevel="0" collapsed="false">
      <c r="A72" s="44" t="str">
        <f aca="false">IF(Weekly_Demand!A72="","",Weekly_Demand!A72)</f>
        <v>84997D</v>
      </c>
      <c r="B72" s="44" t="str">
        <f aca="false">IF($A72="","",Weekly_Demand!C72)</f>
        <v>Other</v>
      </c>
      <c r="C72" s="45" t="n">
        <f aca="false">IF($A72="","",Weekly_Demand!D72)</f>
        <v>2.49</v>
      </c>
      <c r="D72" s="46" t="n">
        <f aca="false">IF($A72="","",Weekly_Demand!E72+Assumptions!$B$19)</f>
        <v>4</v>
      </c>
      <c r="E72" s="46" t="n">
        <f aca="false">IF($A72="","",Weekly_Demand!F72)</f>
        <v>614</v>
      </c>
      <c r="F72" s="46" t="n">
        <f aca="false">IF($A72="","",SUM(Weekly_Demand!G72:BF72))</f>
        <v>5317</v>
      </c>
      <c r="G72" s="51" t="n">
        <f aca="false">IF($A72="","",IFERROR(F72/Assumptions!$B$6,0))</f>
        <v>102.25</v>
      </c>
      <c r="H72" s="51" t="n">
        <f aca="false">IF($A72="","",STDEV(Weekly_Demand!G72:BF72))</f>
        <v>106.528993567893</v>
      </c>
      <c r="I72" s="52" t="n">
        <f aca="false">IF($A72="","",IFERROR(H72/G72,0))</f>
        <v>1.04184834785226</v>
      </c>
      <c r="J72" s="53" t="n">
        <f aca="false">IF($A72="","",F72*C72)</f>
        <v>13239.33</v>
      </c>
      <c r="K72" s="54" t="n">
        <f aca="false">IF($A72="","",IFERROR(J72/$J$505,0))</f>
        <v>0.003425707964289</v>
      </c>
      <c r="L72" s="54" t="n">
        <f aca="false">IF($A72="","",IFERROR(SUMIFS($J$5:$J$504,$AB$5:$AB$504,"&lt;="&amp;AB72)/$J$505,0))</f>
        <v>0.344680548336774</v>
      </c>
      <c r="M72" s="55" t="str">
        <f aca="false">IF($A72="","",IF(L72&lt;=Assumptions!$B$7,"A",IF(L72&lt;=Assumptions!$B$8,"B","C")))</f>
        <v>A</v>
      </c>
      <c r="N72" s="55" t="str">
        <f aca="false">IF($A72="","",IF(I72&lt;=Assumptions!$B$9,"X",IF(I72&lt;=Assumptions!$B$10,"Y","Z")))</f>
        <v>Z</v>
      </c>
      <c r="O72" s="56" t="str">
        <f aca="false">IF($A72="","",M72&amp;N72)</f>
        <v>AZ</v>
      </c>
      <c r="P72" s="57" t="n">
        <f aca="false">IF($A72="","",INDEX(Assumptions!$B$35:$B$37,MATCH(M72,Assumptions!$A$35:$A$37,0)))</f>
        <v>0.98</v>
      </c>
      <c r="Q72" s="58" t="n">
        <f aca="false">IF($A72="","",NORMSINV(P72))</f>
        <v>2.05374891063182</v>
      </c>
      <c r="R72" s="48" t="n">
        <f aca="false">IF($A72="","",ROUNDUP(Q72*H72*SQRT(D72),0))</f>
        <v>438</v>
      </c>
      <c r="S72" s="48" t="n">
        <f aca="false">IF($A72="","",ROUNDUP(G72*D72+R72,0))</f>
        <v>847</v>
      </c>
      <c r="T72" s="46" t="n">
        <f aca="false">IF($A72="","",IFERROR(ROUND(SQRT(2*F72*Assumptions!$B$4/(Assumptions!$B$5*C72)),0),0))</f>
        <v>924</v>
      </c>
      <c r="U72" s="53" t="n">
        <f aca="false">IF($A72="","",R72*C72)</f>
        <v>1090.62</v>
      </c>
      <c r="V72" s="53" t="n">
        <f aca="false">IF($A72="","",E72*C72)</f>
        <v>1528.86</v>
      </c>
      <c r="W72" s="59" t="n">
        <f aca="false">IF($A72="","",IFERROR(E72/G72,0))</f>
        <v>6.00488997555012</v>
      </c>
      <c r="X72" s="48" t="n">
        <f aca="false">IF($A72="","",S72+T72)</f>
        <v>1771</v>
      </c>
      <c r="Y72" s="48" t="n">
        <f aca="false">IF($A72="","",MAX(0,E72-X72))</f>
        <v>0</v>
      </c>
      <c r="Z72" s="53" t="n">
        <f aca="false">IF($A72="","",Y72*C72)</f>
        <v>0</v>
      </c>
      <c r="AA72" s="56" t="str">
        <f aca="false">IF($A72="","",IF(E72&lt;=R72,"Below Safety Stock",IF(E72&lt;=S72,"Reorder Now",IF(E72&gt;X72,"Excess","Healthy"))))</f>
        <v>Reorder Now</v>
      </c>
      <c r="AB72" s="48" t="n">
        <f aca="false">IF($A72="","",RANK(AF72,$AF$5:$AF$504,0)+COUNTIF($AF$5:AF72,AF72)-1)</f>
        <v>61</v>
      </c>
      <c r="AC72" s="44" t="str">
        <f aca="false">IF($A72="","",Weekly_Demand!B72)</f>
        <v>CHILDRENS CUTLERY POLKADOT PINK</v>
      </c>
      <c r="AD72" s="59" t="n">
        <f aca="false">IF($A72="","",H72*SQRT(D72))</f>
        <v>213.057987135786</v>
      </c>
      <c r="AE72" s="53" t="n">
        <f aca="false">IF($A72="","",AD72*C72)</f>
        <v>530.514387968108</v>
      </c>
      <c r="AF72" s="53" t="n">
        <f aca="false">IF($A72="","",ROUND(J72,2))</f>
        <v>13239.33</v>
      </c>
    </row>
    <row r="73" customFormat="false" ht="15" hidden="false" customHeight="false" outlineLevel="0" collapsed="false">
      <c r="A73" s="44" t="str">
        <f aca="false">IF(Weekly_Demand!A73="","",Weekly_Demand!A73)</f>
        <v>22189</v>
      </c>
      <c r="B73" s="44" t="str">
        <f aca="false">IF($A73="","",Weekly_Demand!C73)</f>
        <v>Cards/Gifts</v>
      </c>
      <c r="C73" s="45" t="n">
        <f aca="false">IF($A73="","",Weekly_Demand!D73)</f>
        <v>2.37</v>
      </c>
      <c r="D73" s="46" t="n">
        <f aca="false">IF($A73="","",Weekly_Demand!E73+Assumptions!$B$19)</f>
        <v>4</v>
      </c>
      <c r="E73" s="46" t="n">
        <f aca="false">IF($A73="","",Weekly_Demand!F73)</f>
        <v>1507</v>
      </c>
      <c r="F73" s="46" t="n">
        <f aca="false">IF($A73="","",SUM(Weekly_Demand!G73:BF73))</f>
        <v>7836</v>
      </c>
      <c r="G73" s="51" t="n">
        <f aca="false">IF($A73="","",IFERROR(F73/Assumptions!$B$6,0))</f>
        <v>150.692307692308</v>
      </c>
      <c r="H73" s="51" t="n">
        <f aca="false">IF($A73="","",STDEV(Weekly_Demand!G73:BF73))</f>
        <v>323.608728793636</v>
      </c>
      <c r="I73" s="52" t="n">
        <f aca="false">IF($A73="","",IFERROR(H73/G73,0))</f>
        <v>2.14748007877349</v>
      </c>
      <c r="J73" s="53" t="n">
        <f aca="false">IF($A73="","",F73*C73)</f>
        <v>18571.32</v>
      </c>
      <c r="K73" s="54" t="n">
        <f aca="false">IF($A73="","",IFERROR(J73/$J$505,0))</f>
        <v>0.00480537299329797</v>
      </c>
      <c r="L73" s="54" t="n">
        <f aca="false">IF($A73="","",IFERROR(SUMIFS($J$5:$J$504,$AB$5:$AB$504,"&lt;="&amp;AB73)/$J$505,0))</f>
        <v>0.187645008804331</v>
      </c>
      <c r="M73" s="55" t="str">
        <f aca="false">IF($A73="","",IF(L73&lt;=Assumptions!$B$7,"A",IF(L73&lt;=Assumptions!$B$8,"B","C")))</f>
        <v>A</v>
      </c>
      <c r="N73" s="55" t="str">
        <f aca="false">IF($A73="","",IF(I73&lt;=Assumptions!$B$9,"X",IF(I73&lt;=Assumptions!$B$10,"Y","Z")))</f>
        <v>Z</v>
      </c>
      <c r="O73" s="56" t="str">
        <f aca="false">IF($A73="","",M73&amp;N73)</f>
        <v>AZ</v>
      </c>
      <c r="P73" s="57" t="n">
        <f aca="false">IF($A73="","",INDEX(Assumptions!$B$35:$B$37,MATCH(M73,Assumptions!$A$35:$A$37,0)))</f>
        <v>0.98</v>
      </c>
      <c r="Q73" s="58" t="n">
        <f aca="false">IF($A73="","",NORMSINV(P73))</f>
        <v>2.05374891063182</v>
      </c>
      <c r="R73" s="48" t="n">
        <f aca="false">IF($A73="","",ROUNDUP(Q73*H73*SQRT(D73),0))</f>
        <v>1330</v>
      </c>
      <c r="S73" s="48" t="n">
        <f aca="false">IF($A73="","",ROUNDUP(G73*D73+R73,0))</f>
        <v>1933</v>
      </c>
      <c r="T73" s="46" t="n">
        <f aca="false">IF($A73="","",IFERROR(ROUND(SQRT(2*F73*Assumptions!$B$4/(Assumptions!$B$5*C73)),0),0))</f>
        <v>1150</v>
      </c>
      <c r="U73" s="53" t="n">
        <f aca="false">IF($A73="","",R73*C73)</f>
        <v>3152.1</v>
      </c>
      <c r="V73" s="53" t="n">
        <f aca="false">IF($A73="","",E73*C73)</f>
        <v>3571.59</v>
      </c>
      <c r="W73" s="59" t="n">
        <f aca="false">IF($A73="","",IFERROR(E73/G73,0))</f>
        <v>10.0005104645227</v>
      </c>
      <c r="X73" s="48" t="n">
        <f aca="false">IF($A73="","",S73+T73)</f>
        <v>3083</v>
      </c>
      <c r="Y73" s="48" t="n">
        <f aca="false">IF($A73="","",MAX(0,E73-X73))</f>
        <v>0</v>
      </c>
      <c r="Z73" s="53" t="n">
        <f aca="false">IF($A73="","",Y73*C73)</f>
        <v>0</v>
      </c>
      <c r="AA73" s="56" t="str">
        <f aca="false">IF($A73="","",IF(E73&lt;=R73,"Below Safety Stock",IF(E73&lt;=S73,"Reorder Now",IF(E73&gt;X73,"Excess","Healthy"))))</f>
        <v>Reorder Now</v>
      </c>
      <c r="AB73" s="48" t="n">
        <f aca="false">IF($A73="","",RANK(AF73,$AF$5:$AF$504,0)+COUNTIF($AF$5:AF73,AF73)-1)</f>
        <v>22</v>
      </c>
      <c r="AC73" s="44" t="str">
        <f aca="false">IF($A73="","",Weekly_Demand!B73)</f>
        <v>CREAM HEART CARD HOLDER</v>
      </c>
      <c r="AD73" s="59" t="n">
        <f aca="false">IF($A73="","",H73*SQRT(D73))</f>
        <v>647.217457587272</v>
      </c>
      <c r="AE73" s="53" t="n">
        <f aca="false">IF($A73="","",AD73*C73)</f>
        <v>1533.90537448183</v>
      </c>
      <c r="AF73" s="53" t="n">
        <f aca="false">IF($A73="","",ROUND(J73,2))</f>
        <v>18571.32</v>
      </c>
    </row>
    <row r="74" customFormat="false" ht="15" hidden="false" customHeight="false" outlineLevel="0" collapsed="false">
      <c r="A74" s="44" t="str">
        <f aca="false">IF(Weekly_Demand!A74="","",Weekly_Demand!A74)</f>
        <v>22139</v>
      </c>
      <c r="B74" s="44" t="str">
        <f aca="false">IF($A74="","",Weekly_Demand!C74)</f>
        <v>Other</v>
      </c>
      <c r="C74" s="45" t="n">
        <f aca="false">IF($A74="","",Weekly_Demand!D74)</f>
        <v>2.97</v>
      </c>
      <c r="D74" s="46" t="n">
        <f aca="false">IF($A74="","",Weekly_Demand!E74+Assumptions!$B$19)</f>
        <v>8</v>
      </c>
      <c r="E74" s="46" t="n">
        <f aca="false">IF($A74="","",Weekly_Demand!F74)</f>
        <v>3594</v>
      </c>
      <c r="F74" s="46" t="n">
        <f aca="false">IF($A74="","",SUM(Weekly_Demand!G74:BF74))</f>
        <v>4346</v>
      </c>
      <c r="G74" s="51" t="n">
        <f aca="false">IF($A74="","",IFERROR(F74/Assumptions!$B$6,0))</f>
        <v>83.5769230769231</v>
      </c>
      <c r="H74" s="51" t="n">
        <f aca="false">IF($A74="","",STDEV(Weekly_Demand!G74:BF74))</f>
        <v>56.0893356589346</v>
      </c>
      <c r="I74" s="52" t="n">
        <f aca="false">IF($A74="","",IFERROR(H74/G74,0))</f>
        <v>0.6711103208156</v>
      </c>
      <c r="J74" s="53" t="n">
        <f aca="false">IF($A74="","",F74*C74)</f>
        <v>12907.62</v>
      </c>
      <c r="K74" s="54" t="n">
        <f aca="false">IF($A74="","",IFERROR(J74/$J$505,0))</f>
        <v>0.00333987721689965</v>
      </c>
      <c r="L74" s="54" t="n">
        <f aca="false">IF($A74="","",IFERROR(SUMIFS($J$5:$J$504,$AB$5:$AB$504,"&lt;="&amp;AB74)/$J$505,0))</f>
        <v>0.368361211952385</v>
      </c>
      <c r="M74" s="55" t="str">
        <f aca="false">IF($A74="","",IF(L74&lt;=Assumptions!$B$7,"A",IF(L74&lt;=Assumptions!$B$8,"B","C")))</f>
        <v>A</v>
      </c>
      <c r="N74" s="55" t="str">
        <f aca="false">IF($A74="","",IF(I74&lt;=Assumptions!$B$9,"X",IF(I74&lt;=Assumptions!$B$10,"Y","Z")))</f>
        <v>Y</v>
      </c>
      <c r="O74" s="56" t="str">
        <f aca="false">IF($A74="","",M74&amp;N74)</f>
        <v>AY</v>
      </c>
      <c r="P74" s="57" t="n">
        <f aca="false">IF($A74="","",INDEX(Assumptions!$B$35:$B$37,MATCH(M74,Assumptions!$A$35:$A$37,0)))</f>
        <v>0.98</v>
      </c>
      <c r="Q74" s="58" t="n">
        <f aca="false">IF($A74="","",NORMSINV(P74))</f>
        <v>2.05374891063182</v>
      </c>
      <c r="R74" s="48" t="n">
        <f aca="false">IF($A74="","",ROUNDUP(Q74*H74*SQRT(D74),0))</f>
        <v>326</v>
      </c>
      <c r="S74" s="48" t="n">
        <f aca="false">IF($A74="","",ROUNDUP(G74*D74+R74,0))</f>
        <v>995</v>
      </c>
      <c r="T74" s="46" t="n">
        <f aca="false">IF($A74="","",IFERROR(ROUND(SQRT(2*F74*Assumptions!$B$4/(Assumptions!$B$5*C74)),0),0))</f>
        <v>765</v>
      </c>
      <c r="U74" s="53" t="n">
        <f aca="false">IF($A74="","",R74*C74)</f>
        <v>968.22</v>
      </c>
      <c r="V74" s="53" t="n">
        <f aca="false">IF($A74="","",E74*C74)</f>
        <v>10674.18</v>
      </c>
      <c r="W74" s="59" t="n">
        <f aca="false">IF($A74="","",IFERROR(E74/G74,0))</f>
        <v>43.0023009664059</v>
      </c>
      <c r="X74" s="48" t="n">
        <f aca="false">IF($A74="","",S74+T74)</f>
        <v>1760</v>
      </c>
      <c r="Y74" s="48" t="n">
        <f aca="false">IF($A74="","",MAX(0,E74-X74))</f>
        <v>1834</v>
      </c>
      <c r="Z74" s="53" t="n">
        <f aca="false">IF($A74="","",Y74*C74)</f>
        <v>5446.98</v>
      </c>
      <c r="AA74" s="56" t="str">
        <f aca="false">IF($A74="","",IF(E74&lt;=R74,"Below Safety Stock",IF(E74&lt;=S74,"Reorder Now",IF(E74&gt;X74,"Excess","Healthy"))))</f>
        <v>Excess</v>
      </c>
      <c r="AB74" s="48" t="n">
        <f aca="false">IF($A74="","",RANK(AF74,$AF$5:$AF$504,0)+COUNTIF($AF$5:AF74,AF74)-1)</f>
        <v>68</v>
      </c>
      <c r="AC74" s="44" t="str">
        <f aca="false">IF($A74="","",Weekly_Demand!B74)</f>
        <v>RETROSPOT TEA SET CERAMIC 11 PC</v>
      </c>
      <c r="AD74" s="59" t="n">
        <f aca="false">IF($A74="","",H74*SQRT(D74))</f>
        <v>158.644598386724</v>
      </c>
      <c r="AE74" s="53" t="n">
        <f aca="false">IF($A74="","",AD74*C74)</f>
        <v>471.174457208571</v>
      </c>
      <c r="AF74" s="53" t="n">
        <f aca="false">IF($A74="","",ROUND(J74,2))</f>
        <v>12907.62</v>
      </c>
    </row>
    <row r="75" customFormat="false" ht="15" hidden="false" customHeight="false" outlineLevel="0" collapsed="false">
      <c r="A75" s="44" t="str">
        <f aca="false">IF(Weekly_Demand!A75="","",Weekly_Demand!A75)</f>
        <v>85066</v>
      </c>
      <c r="B75" s="44" t="str">
        <f aca="false">IF($A75="","",Weekly_Demand!C75)</f>
        <v>Other</v>
      </c>
      <c r="C75" s="45" t="n">
        <f aca="false">IF($A75="","",Weekly_Demand!D75)</f>
        <v>7.65</v>
      </c>
      <c r="D75" s="46" t="n">
        <f aca="false">IF($A75="","",Weekly_Demand!E75+Assumptions!$B$19)</f>
        <v>6</v>
      </c>
      <c r="E75" s="46" t="n">
        <f aca="false">IF($A75="","",Weekly_Demand!F75)</f>
        <v>1375</v>
      </c>
      <c r="F75" s="46" t="n">
        <f aca="false">IF($A75="","",SUM(Weekly_Demand!G75:BF75))</f>
        <v>1702</v>
      </c>
      <c r="G75" s="51" t="n">
        <f aca="false">IF($A75="","",IFERROR(F75/Assumptions!$B$6,0))</f>
        <v>32.7307692307692</v>
      </c>
      <c r="H75" s="51" t="n">
        <f aca="false">IF($A75="","",STDEV(Weekly_Demand!G75:BF75))</f>
        <v>33.1793199144424</v>
      </c>
      <c r="I75" s="52" t="n">
        <f aca="false">IF($A75="","",IFERROR(H75/G75,0))</f>
        <v>1.01370425120506</v>
      </c>
      <c r="J75" s="53" t="n">
        <f aca="false">IF($A75="","",F75*C75)</f>
        <v>13020.3</v>
      </c>
      <c r="K75" s="54" t="n">
        <f aca="false">IF($A75="","",IFERROR(J75/$J$505,0))</f>
        <v>0.00336903343352209</v>
      </c>
      <c r="L75" s="54" t="n">
        <f aca="false">IF($A75="","",IFERROR(SUMIFS($J$5:$J$504,$AB$5:$AB$504,"&lt;="&amp;AB75)/$J$505,0))</f>
        <v>0.361664038309294</v>
      </c>
      <c r="M75" s="55" t="str">
        <f aca="false">IF($A75="","",IF(L75&lt;=Assumptions!$B$7,"A",IF(L75&lt;=Assumptions!$B$8,"B","C")))</f>
        <v>A</v>
      </c>
      <c r="N75" s="55" t="str">
        <f aca="false">IF($A75="","",IF(I75&lt;=Assumptions!$B$9,"X",IF(I75&lt;=Assumptions!$B$10,"Y","Z")))</f>
        <v>Z</v>
      </c>
      <c r="O75" s="56" t="str">
        <f aca="false">IF($A75="","",M75&amp;N75)</f>
        <v>AZ</v>
      </c>
      <c r="P75" s="57" t="n">
        <f aca="false">IF($A75="","",INDEX(Assumptions!$B$35:$B$37,MATCH(M75,Assumptions!$A$35:$A$37,0)))</f>
        <v>0.98</v>
      </c>
      <c r="Q75" s="58" t="n">
        <f aca="false">IF($A75="","",NORMSINV(P75))</f>
        <v>2.05374891063182</v>
      </c>
      <c r="R75" s="48" t="n">
        <f aca="false">IF($A75="","",ROUNDUP(Q75*H75*SQRT(D75),0))</f>
        <v>167</v>
      </c>
      <c r="S75" s="48" t="n">
        <f aca="false">IF($A75="","",ROUNDUP(G75*D75+R75,0))</f>
        <v>364</v>
      </c>
      <c r="T75" s="46" t="n">
        <f aca="false">IF($A75="","",IFERROR(ROUND(SQRT(2*F75*Assumptions!$B$4/(Assumptions!$B$5*C75)),0),0))</f>
        <v>298</v>
      </c>
      <c r="U75" s="53" t="n">
        <f aca="false">IF($A75="","",R75*C75)</f>
        <v>1277.55</v>
      </c>
      <c r="V75" s="53" t="n">
        <f aca="false">IF($A75="","",E75*C75)</f>
        <v>10518.75</v>
      </c>
      <c r="W75" s="59" t="n">
        <f aca="false">IF($A75="","",IFERROR(E75/G75,0))</f>
        <v>42.0094007050529</v>
      </c>
      <c r="X75" s="48" t="n">
        <f aca="false">IF($A75="","",S75+T75)</f>
        <v>662</v>
      </c>
      <c r="Y75" s="48" t="n">
        <f aca="false">IF($A75="","",MAX(0,E75-X75))</f>
        <v>713</v>
      </c>
      <c r="Z75" s="53" t="n">
        <f aca="false">IF($A75="","",Y75*C75)</f>
        <v>5454.45</v>
      </c>
      <c r="AA75" s="56" t="str">
        <f aca="false">IF($A75="","",IF(E75&lt;=R75,"Below Safety Stock",IF(E75&lt;=S75,"Reorder Now",IF(E75&gt;X75,"Excess","Healthy"))))</f>
        <v>Excess</v>
      </c>
      <c r="AB75" s="48" t="n">
        <f aca="false">IF($A75="","",RANK(AF75,$AF$5:$AF$504,0)+COUNTIF($AF$5:AF75,AF75)-1)</f>
        <v>66</v>
      </c>
      <c r="AC75" s="44" t="str">
        <f aca="false">IF($A75="","",Weekly_Demand!B75)</f>
        <v>CREAM SWEETHEART MINI CHEST</v>
      </c>
      <c r="AD75" s="59" t="n">
        <f aca="false">IF($A75="","",H75*SQRT(D75))</f>
        <v>81.2724038029484</v>
      </c>
      <c r="AE75" s="53" t="n">
        <f aca="false">IF($A75="","",AD75*C75)</f>
        <v>621.733889092555</v>
      </c>
      <c r="AF75" s="53" t="n">
        <f aca="false">IF($A75="","",ROUND(J75,2))</f>
        <v>13020.3</v>
      </c>
    </row>
    <row r="76" customFormat="false" ht="15" hidden="false" customHeight="false" outlineLevel="0" collapsed="false">
      <c r="A76" s="44" t="str">
        <f aca="false">IF(Weekly_Demand!A76="","",Weekly_Demand!A76)</f>
        <v>20727</v>
      </c>
      <c r="B76" s="44" t="str">
        <f aca="false">IF($A76="","",Weekly_Demand!C76)</f>
        <v>Bags</v>
      </c>
      <c r="C76" s="45" t="n">
        <f aca="false">IF($A76="","",Weekly_Demand!D76)</f>
        <v>0.99</v>
      </c>
      <c r="D76" s="46" t="n">
        <f aca="false">IF($A76="","",Weekly_Demand!E76+Assumptions!$B$19)</f>
        <v>8</v>
      </c>
      <c r="E76" s="46" t="n">
        <f aca="false">IF($A76="","",Weekly_Demand!F76)</f>
        <v>3634</v>
      </c>
      <c r="F76" s="46" t="n">
        <f aca="false">IF($A76="","",SUM(Weekly_Demand!G76:BF76))</f>
        <v>11810</v>
      </c>
      <c r="G76" s="51" t="n">
        <f aca="false">IF($A76="","",IFERROR(F76/Assumptions!$B$6,0))</f>
        <v>227.115384615385</v>
      </c>
      <c r="H76" s="51" t="n">
        <f aca="false">IF($A76="","",STDEV(Weekly_Demand!G76:BF76))</f>
        <v>115.297169981451</v>
      </c>
      <c r="I76" s="52" t="n">
        <f aca="false">IF($A76="","",IFERROR(H76/G76,0))</f>
        <v>0.507659004152027</v>
      </c>
      <c r="J76" s="53" t="n">
        <f aca="false">IF($A76="","",F76*C76)</f>
        <v>11691.9</v>
      </c>
      <c r="K76" s="54" t="n">
        <f aca="false">IF($A76="","",IFERROR(J76/$J$505,0))</f>
        <v>0.00302530679027342</v>
      </c>
      <c r="L76" s="54" t="n">
        <f aca="false">IF($A76="","",IFERROR(SUMIFS($J$5:$J$504,$AB$5:$AB$504,"&lt;="&amp;AB76)/$J$505,0))</f>
        <v>0.434939516445514</v>
      </c>
      <c r="M76" s="55" t="str">
        <f aca="false">IF($A76="","",IF(L76&lt;=Assumptions!$B$7,"A",IF(L76&lt;=Assumptions!$B$8,"B","C")))</f>
        <v>A</v>
      </c>
      <c r="N76" s="55" t="str">
        <f aca="false">IF($A76="","",IF(I76&lt;=Assumptions!$B$9,"X",IF(I76&lt;=Assumptions!$B$10,"Y","Z")))</f>
        <v>Y</v>
      </c>
      <c r="O76" s="56" t="str">
        <f aca="false">IF($A76="","",M76&amp;N76)</f>
        <v>AY</v>
      </c>
      <c r="P76" s="57" t="n">
        <f aca="false">IF($A76="","",INDEX(Assumptions!$B$35:$B$37,MATCH(M76,Assumptions!$A$35:$A$37,0)))</f>
        <v>0.98</v>
      </c>
      <c r="Q76" s="58" t="n">
        <f aca="false">IF($A76="","",NORMSINV(P76))</f>
        <v>2.05374891063182</v>
      </c>
      <c r="R76" s="48" t="n">
        <f aca="false">IF($A76="","",ROUNDUP(Q76*H76*SQRT(D76),0))</f>
        <v>670</v>
      </c>
      <c r="S76" s="48" t="n">
        <f aca="false">IF($A76="","",ROUNDUP(G76*D76+R76,0))</f>
        <v>2487</v>
      </c>
      <c r="T76" s="46" t="n">
        <f aca="false">IF($A76="","",IFERROR(ROUND(SQRT(2*F76*Assumptions!$B$4/(Assumptions!$B$5*C76)),0),0))</f>
        <v>2184</v>
      </c>
      <c r="U76" s="53" t="n">
        <f aca="false">IF($A76="","",R76*C76)</f>
        <v>663.3</v>
      </c>
      <c r="V76" s="53" t="n">
        <f aca="false">IF($A76="","",E76*C76)</f>
        <v>3597.66</v>
      </c>
      <c r="W76" s="59" t="n">
        <f aca="false">IF($A76="","",IFERROR(E76/G76,0))</f>
        <v>16.0006773920406</v>
      </c>
      <c r="X76" s="48" t="n">
        <f aca="false">IF($A76="","",S76+T76)</f>
        <v>4671</v>
      </c>
      <c r="Y76" s="48" t="n">
        <f aca="false">IF($A76="","",MAX(0,E76-X76))</f>
        <v>0</v>
      </c>
      <c r="Z76" s="53" t="n">
        <f aca="false">IF($A76="","",Y76*C76)</f>
        <v>0</v>
      </c>
      <c r="AA76" s="56" t="str">
        <f aca="false">IF($A76="","",IF(E76&lt;=R76,"Below Safety Stock",IF(E76&lt;=S76,"Reorder Now",IF(E76&gt;X76,"Excess","Healthy"))))</f>
        <v>Healthy</v>
      </c>
      <c r="AB76" s="48" t="n">
        <f aca="false">IF($A76="","",RANK(AF76,$AF$5:$AF$504,0)+COUNTIF($AF$5:AF76,AF76)-1)</f>
        <v>89</v>
      </c>
      <c r="AC76" s="44" t="str">
        <f aca="false">IF($A76="","",Weekly_Demand!B76)</f>
        <v>LUNCH BAG  BLACK SKULL.</v>
      </c>
      <c r="AD76" s="59" t="n">
        <f aca="false">IF($A76="","",H76*SQRT(D76))</f>
        <v>326.109642982007</v>
      </c>
      <c r="AE76" s="53" t="n">
        <f aca="false">IF($A76="","",AD76*C76)</f>
        <v>322.848546552187</v>
      </c>
      <c r="AF76" s="53" t="n">
        <f aca="false">IF($A76="","",ROUND(J76,2))</f>
        <v>11691.9</v>
      </c>
    </row>
    <row r="77" customFormat="false" ht="15" hidden="false" customHeight="false" outlineLevel="0" collapsed="false">
      <c r="A77" s="44" t="str">
        <f aca="false">IF(Weekly_Demand!A77="","",Weekly_Demand!A77)</f>
        <v>20712</v>
      </c>
      <c r="B77" s="44" t="str">
        <f aca="false">IF($A77="","",Weekly_Demand!C77)</f>
        <v>Bags</v>
      </c>
      <c r="C77" s="45" t="n">
        <f aca="false">IF($A77="","",Weekly_Demand!D77)</f>
        <v>1.248</v>
      </c>
      <c r="D77" s="46" t="n">
        <f aca="false">IF($A77="","",Weekly_Demand!E77+Assumptions!$B$19)</f>
        <v>2</v>
      </c>
      <c r="E77" s="46" t="n">
        <f aca="false">IF($A77="","",Weekly_Demand!F77)</f>
        <v>8114</v>
      </c>
      <c r="F77" s="46" t="n">
        <f aca="false">IF($A77="","",SUM(Weekly_Demand!G77:BF77))</f>
        <v>9589</v>
      </c>
      <c r="G77" s="51" t="n">
        <f aca="false">IF($A77="","",IFERROR(F77/Assumptions!$B$6,0))</f>
        <v>184.403846153846</v>
      </c>
      <c r="H77" s="51" t="n">
        <f aca="false">IF($A77="","",STDEV(Weekly_Demand!G77:BF77))</f>
        <v>124.652970771546</v>
      </c>
      <c r="I77" s="52" t="n">
        <f aca="false">IF($A77="","",IFERROR(H77/G77,0))</f>
        <v>0.675978149976056</v>
      </c>
      <c r="J77" s="53" t="n">
        <f aca="false">IF($A77="","",F77*C77)</f>
        <v>11967.072</v>
      </c>
      <c r="K77" s="54" t="n">
        <f aca="false">IF($A77="","",IFERROR(J77/$J$505,0))</f>
        <v>0.00309650819638304</v>
      </c>
      <c r="L77" s="54" t="n">
        <f aca="false">IF($A77="","",IFERROR(SUMIFS($J$5:$J$504,$AB$5:$AB$504,"&lt;="&amp;AB77)/$J$505,0))</f>
        <v>0.41655974022699</v>
      </c>
      <c r="M77" s="55" t="str">
        <f aca="false">IF($A77="","",IF(L77&lt;=Assumptions!$B$7,"A",IF(L77&lt;=Assumptions!$B$8,"B","C")))</f>
        <v>A</v>
      </c>
      <c r="N77" s="55" t="str">
        <f aca="false">IF($A77="","",IF(I77&lt;=Assumptions!$B$9,"X",IF(I77&lt;=Assumptions!$B$10,"Y","Z")))</f>
        <v>Y</v>
      </c>
      <c r="O77" s="56" t="str">
        <f aca="false">IF($A77="","",M77&amp;N77)</f>
        <v>AY</v>
      </c>
      <c r="P77" s="57" t="n">
        <f aca="false">IF($A77="","",INDEX(Assumptions!$B$35:$B$37,MATCH(M77,Assumptions!$A$35:$A$37,0)))</f>
        <v>0.98</v>
      </c>
      <c r="Q77" s="58" t="n">
        <f aca="false">IF($A77="","",NORMSINV(P77))</f>
        <v>2.05374891063182</v>
      </c>
      <c r="R77" s="48" t="n">
        <f aca="false">IF($A77="","",ROUNDUP(Q77*H77*SQRT(D77),0))</f>
        <v>363</v>
      </c>
      <c r="S77" s="48" t="n">
        <f aca="false">IF($A77="","",ROUNDUP(G77*D77+R77,0))</f>
        <v>732</v>
      </c>
      <c r="T77" s="46" t="n">
        <f aca="false">IF($A77="","",IFERROR(ROUND(SQRT(2*F77*Assumptions!$B$4/(Assumptions!$B$5*C77)),0),0))</f>
        <v>1753</v>
      </c>
      <c r="U77" s="53" t="n">
        <f aca="false">IF($A77="","",R77*C77)</f>
        <v>453.024</v>
      </c>
      <c r="V77" s="53" t="n">
        <f aca="false">IF($A77="","",E77*C77)</f>
        <v>10126.272</v>
      </c>
      <c r="W77" s="59" t="n">
        <f aca="false">IF($A77="","",IFERROR(E77/G77,0))</f>
        <v>44.0012514339347</v>
      </c>
      <c r="X77" s="48" t="n">
        <f aca="false">IF($A77="","",S77+T77)</f>
        <v>2485</v>
      </c>
      <c r="Y77" s="48" t="n">
        <f aca="false">IF($A77="","",MAX(0,E77-X77))</f>
        <v>5629</v>
      </c>
      <c r="Z77" s="53" t="n">
        <f aca="false">IF($A77="","",Y77*C77)</f>
        <v>7024.992</v>
      </c>
      <c r="AA77" s="56" t="str">
        <f aca="false">IF($A77="","",IF(E77&lt;=R77,"Below Safety Stock",IF(E77&lt;=S77,"Reorder Now",IF(E77&gt;X77,"Excess","Healthy"))))</f>
        <v>Excess</v>
      </c>
      <c r="AB77" s="48" t="n">
        <f aca="false">IF($A77="","",RANK(AF77,$AF$5:$AF$504,0)+COUNTIF($AF$5:AF77,AF77)-1)</f>
        <v>83</v>
      </c>
      <c r="AC77" s="44" t="str">
        <f aca="false">IF($A77="","",Weekly_Demand!B77)</f>
        <v>JUMBO BAG WOODLAND ANIMALS</v>
      </c>
      <c r="AD77" s="59" t="n">
        <f aca="false">IF($A77="","",H77*SQRT(D77))</f>
        <v>176.285921855218</v>
      </c>
      <c r="AE77" s="53" t="n">
        <f aca="false">IF($A77="","",AD77*C77)</f>
        <v>220.004830475312</v>
      </c>
      <c r="AF77" s="53" t="n">
        <f aca="false">IF($A77="","",ROUND(J77,2))</f>
        <v>11967.07</v>
      </c>
    </row>
    <row r="78" customFormat="false" ht="15" hidden="false" customHeight="false" outlineLevel="0" collapsed="false">
      <c r="A78" s="44" t="str">
        <f aca="false">IF(Weekly_Demand!A78="","",Weekly_Demand!A78)</f>
        <v>22697</v>
      </c>
      <c r="B78" s="44" t="str">
        <f aca="false">IF($A78="","",Weekly_Demand!C78)</f>
        <v>Other</v>
      </c>
      <c r="C78" s="45" t="n">
        <f aca="false">IF($A78="","",Weekly_Demand!D78)</f>
        <v>1.77</v>
      </c>
      <c r="D78" s="46" t="n">
        <f aca="false">IF($A78="","",Weekly_Demand!E78+Assumptions!$B$19)</f>
        <v>4</v>
      </c>
      <c r="E78" s="46" t="n">
        <f aca="false">IF($A78="","",Weekly_Demand!F78)</f>
        <v>796</v>
      </c>
      <c r="F78" s="46" t="n">
        <f aca="false">IF($A78="","",SUM(Weekly_Demand!G78:BF78))</f>
        <v>6902</v>
      </c>
      <c r="G78" s="51" t="n">
        <f aca="false">IF($A78="","",IFERROR(F78/Assumptions!$B$6,0))</f>
        <v>132.730769230769</v>
      </c>
      <c r="H78" s="51" t="n">
        <f aca="false">IF($A78="","",STDEV(Weekly_Demand!G78:BF78))</f>
        <v>65.8712694027526</v>
      </c>
      <c r="I78" s="52" t="n">
        <f aca="false">IF($A78="","",IFERROR(H78/G78,0))</f>
        <v>0.496277312220101</v>
      </c>
      <c r="J78" s="53" t="n">
        <f aca="false">IF($A78="","",F78*C78)</f>
        <v>12216.54</v>
      </c>
      <c r="K78" s="54" t="n">
        <f aca="false">IF($A78="","",IFERROR(J78/$J$505,0))</f>
        <v>0.00316105863167208</v>
      </c>
      <c r="L78" s="54" t="n">
        <f aca="false">IF($A78="","",IFERROR(SUMIFS($J$5:$J$504,$AB$5:$AB$504,"&lt;="&amp;AB78)/$J$505,0))</f>
        <v>0.404111613083629</v>
      </c>
      <c r="M78" s="55" t="str">
        <f aca="false">IF($A78="","",IF(L78&lt;=Assumptions!$B$7,"A",IF(L78&lt;=Assumptions!$B$8,"B","C")))</f>
        <v>A</v>
      </c>
      <c r="N78" s="55" t="str">
        <f aca="false">IF($A78="","",IF(I78&lt;=Assumptions!$B$9,"X",IF(I78&lt;=Assumptions!$B$10,"Y","Z")))</f>
        <v>X</v>
      </c>
      <c r="O78" s="56" t="str">
        <f aca="false">IF($A78="","",M78&amp;N78)</f>
        <v>AX</v>
      </c>
      <c r="P78" s="57" t="n">
        <f aca="false">IF($A78="","",INDEX(Assumptions!$B$35:$B$37,MATCH(M78,Assumptions!$A$35:$A$37,0)))</f>
        <v>0.98</v>
      </c>
      <c r="Q78" s="58" t="n">
        <f aca="false">IF($A78="","",NORMSINV(P78))</f>
        <v>2.05374891063182</v>
      </c>
      <c r="R78" s="48" t="n">
        <f aca="false">IF($A78="","",ROUNDUP(Q78*H78*SQRT(D78),0))</f>
        <v>271</v>
      </c>
      <c r="S78" s="48" t="n">
        <f aca="false">IF($A78="","",ROUNDUP(G78*D78+R78,0))</f>
        <v>802</v>
      </c>
      <c r="T78" s="46" t="n">
        <f aca="false">IF($A78="","",IFERROR(ROUND(SQRT(2*F78*Assumptions!$B$4/(Assumptions!$B$5*C78)),0),0))</f>
        <v>1249</v>
      </c>
      <c r="U78" s="53" t="n">
        <f aca="false">IF($A78="","",R78*C78)</f>
        <v>479.67</v>
      </c>
      <c r="V78" s="53" t="n">
        <f aca="false">IF($A78="","",E78*C78)</f>
        <v>1408.92</v>
      </c>
      <c r="W78" s="59" t="n">
        <f aca="false">IF($A78="","",IFERROR(E78/G78,0))</f>
        <v>5.99710228919154</v>
      </c>
      <c r="X78" s="48" t="n">
        <f aca="false">IF($A78="","",S78+T78)</f>
        <v>2051</v>
      </c>
      <c r="Y78" s="48" t="n">
        <f aca="false">IF($A78="","",MAX(0,E78-X78))</f>
        <v>0</v>
      </c>
      <c r="Z78" s="53" t="n">
        <f aca="false">IF($A78="","",Y78*C78)</f>
        <v>0</v>
      </c>
      <c r="AA78" s="56" t="str">
        <f aca="false">IF($A78="","",IF(E78&lt;=R78,"Below Safety Stock",IF(E78&lt;=S78,"Reorder Now",IF(E78&gt;X78,"Excess","Healthy"))))</f>
        <v>Reorder Now</v>
      </c>
      <c r="AB78" s="48" t="n">
        <f aca="false">IF($A78="","",RANK(AF78,$AF$5:$AF$504,0)+COUNTIF($AF$5:AF78,AF78)-1)</f>
        <v>79</v>
      </c>
      <c r="AC78" s="44" t="str">
        <f aca="false">IF($A78="","",Weekly_Demand!B78)</f>
        <v>GREEN REGENCY TEACUP AND SAUCER</v>
      </c>
      <c r="AD78" s="59" t="n">
        <f aca="false">IF($A78="","",H78*SQRT(D78))</f>
        <v>131.742538805505</v>
      </c>
      <c r="AE78" s="53" t="n">
        <f aca="false">IF($A78="","",AD78*C78)</f>
        <v>233.184293685744</v>
      </c>
      <c r="AF78" s="53" t="n">
        <f aca="false">IF($A78="","",ROUND(J78,2))</f>
        <v>12216.54</v>
      </c>
    </row>
    <row r="79" customFormat="false" ht="15" hidden="false" customHeight="false" outlineLevel="0" collapsed="false">
      <c r="A79" s="44" t="str">
        <f aca="false">IF(Weekly_Demand!A79="","",Weekly_Demand!A79)</f>
        <v>48194</v>
      </c>
      <c r="B79" s="44" t="str">
        <f aca="false">IF($A79="","",Weekly_Demand!C79)</f>
        <v>Other</v>
      </c>
      <c r="C79" s="45" t="n">
        <f aca="false">IF($A79="","",Weekly_Demand!D79)</f>
        <v>4.77</v>
      </c>
      <c r="D79" s="46" t="n">
        <f aca="false">IF($A79="","",Weekly_Demand!E79+Assumptions!$B$19)</f>
        <v>6</v>
      </c>
      <c r="E79" s="46" t="n">
        <f aca="false">IF($A79="","",Weekly_Demand!F79)</f>
        <v>383</v>
      </c>
      <c r="F79" s="46" t="n">
        <f aca="false">IF($A79="","",SUM(Weekly_Demand!G79:BF79))</f>
        <v>3315</v>
      </c>
      <c r="G79" s="51" t="n">
        <f aca="false">IF($A79="","",IFERROR(F79/Assumptions!$B$6,0))</f>
        <v>63.75</v>
      </c>
      <c r="H79" s="51" t="n">
        <f aca="false">IF($A79="","",STDEV(Weekly_Demand!G79:BF79))</f>
        <v>117.885600078561</v>
      </c>
      <c r="I79" s="52" t="n">
        <f aca="false">IF($A79="","",IFERROR(H79/G79,0))</f>
        <v>1.84918588358527</v>
      </c>
      <c r="J79" s="53" t="n">
        <f aca="false">IF($A79="","",F79*C79)</f>
        <v>15812.55</v>
      </c>
      <c r="K79" s="54" t="n">
        <f aca="false">IF($A79="","",IFERROR(J79/$J$505,0))</f>
        <v>0.00409153472802008</v>
      </c>
      <c r="L79" s="54" t="n">
        <f aca="false">IF($A79="","",IFERROR(SUMIFS($J$5:$J$504,$AB$5:$AB$504,"&lt;="&amp;AB79)/$J$505,0))</f>
        <v>0.271436708887378</v>
      </c>
      <c r="M79" s="55" t="str">
        <f aca="false">IF($A79="","",IF(L79&lt;=Assumptions!$B$7,"A",IF(L79&lt;=Assumptions!$B$8,"B","C")))</f>
        <v>A</v>
      </c>
      <c r="N79" s="55" t="str">
        <f aca="false">IF($A79="","",IF(I79&lt;=Assumptions!$B$9,"X",IF(I79&lt;=Assumptions!$B$10,"Y","Z")))</f>
        <v>Z</v>
      </c>
      <c r="O79" s="56" t="str">
        <f aca="false">IF($A79="","",M79&amp;N79)</f>
        <v>AZ</v>
      </c>
      <c r="P79" s="57" t="n">
        <f aca="false">IF($A79="","",INDEX(Assumptions!$B$35:$B$37,MATCH(M79,Assumptions!$A$35:$A$37,0)))</f>
        <v>0.98</v>
      </c>
      <c r="Q79" s="58" t="n">
        <f aca="false">IF($A79="","",NORMSINV(P79))</f>
        <v>2.05374891063182</v>
      </c>
      <c r="R79" s="48" t="n">
        <f aca="false">IF($A79="","",ROUNDUP(Q79*H79*SQRT(D79),0))</f>
        <v>594</v>
      </c>
      <c r="S79" s="48" t="n">
        <f aca="false">IF($A79="","",ROUNDUP(G79*D79+R79,0))</f>
        <v>977</v>
      </c>
      <c r="T79" s="46" t="n">
        <f aca="false">IF($A79="","",IFERROR(ROUND(SQRT(2*F79*Assumptions!$B$4/(Assumptions!$B$5*C79)),0),0))</f>
        <v>527</v>
      </c>
      <c r="U79" s="53" t="n">
        <f aca="false">IF($A79="","",R79*C79)</f>
        <v>2833.38</v>
      </c>
      <c r="V79" s="53" t="n">
        <f aca="false">IF($A79="","",E79*C79)</f>
        <v>1826.91</v>
      </c>
      <c r="W79" s="59" t="n">
        <f aca="false">IF($A79="","",IFERROR(E79/G79,0))</f>
        <v>6.0078431372549</v>
      </c>
      <c r="X79" s="48" t="n">
        <f aca="false">IF($A79="","",S79+T79)</f>
        <v>1504</v>
      </c>
      <c r="Y79" s="48" t="n">
        <f aca="false">IF($A79="","",MAX(0,E79-X79))</f>
        <v>0</v>
      </c>
      <c r="Z79" s="53" t="n">
        <f aca="false">IF($A79="","",Y79*C79)</f>
        <v>0</v>
      </c>
      <c r="AA79" s="56" t="str">
        <f aca="false">IF($A79="","",IF(E79&lt;=R79,"Below Safety Stock",IF(E79&lt;=S79,"Reorder Now",IF(E79&gt;X79,"Excess","Healthy"))))</f>
        <v>Below Safety Stock</v>
      </c>
      <c r="AB79" s="48" t="n">
        <f aca="false">IF($A79="","",RANK(AF79,$AF$5:$AF$504,0)+COUNTIF($AF$5:AF79,AF79)-1)</f>
        <v>41</v>
      </c>
      <c r="AC79" s="44" t="str">
        <f aca="false">IF($A79="","",Weekly_Demand!B79)</f>
        <v>DOORMAT HEARTS</v>
      </c>
      <c r="AD79" s="59" t="n">
        <f aca="false">IF($A79="","",H79*SQRT(D79))</f>
        <v>288.759568214274</v>
      </c>
      <c r="AE79" s="53" t="n">
        <f aca="false">IF($A79="","",AD79*C79)</f>
        <v>1377.38314038209</v>
      </c>
      <c r="AF79" s="53" t="n">
        <f aca="false">IF($A79="","",ROUND(J79,2))</f>
        <v>15812.55</v>
      </c>
    </row>
    <row r="80" customFormat="false" ht="15" hidden="false" customHeight="false" outlineLevel="0" collapsed="false">
      <c r="A80" s="44" t="str">
        <f aca="false">IF(Weekly_Demand!A80="","",Weekly_Demand!A80)</f>
        <v>20728</v>
      </c>
      <c r="B80" s="44" t="str">
        <f aca="false">IF($A80="","",Weekly_Demand!C80)</f>
        <v>Bags</v>
      </c>
      <c r="C80" s="45" t="n">
        <f aca="false">IF($A80="","",Weekly_Demand!D80)</f>
        <v>0.99</v>
      </c>
      <c r="D80" s="46" t="n">
        <f aca="false">IF($A80="","",Weekly_Demand!E80+Assumptions!$B$19)</f>
        <v>2</v>
      </c>
      <c r="E80" s="46" t="n">
        <f aca="false">IF($A80="","",Weekly_Demand!F80)</f>
        <v>8000</v>
      </c>
      <c r="F80" s="46" t="n">
        <f aca="false">IF($A80="","",SUM(Weekly_Demand!G80:BF80))</f>
        <v>11556</v>
      </c>
      <c r="G80" s="51" t="n">
        <f aca="false">IF($A80="","",IFERROR(F80/Assumptions!$B$6,0))</f>
        <v>222.230769230769</v>
      </c>
      <c r="H80" s="51" t="n">
        <f aca="false">IF($A80="","",STDEV(Weekly_Demand!G80:BF80))</f>
        <v>120.60250954769</v>
      </c>
      <c r="I80" s="52" t="n">
        <f aca="false">IF($A80="","",IFERROR(H80/G80,0))</f>
        <v>0.542690420256133</v>
      </c>
      <c r="J80" s="53" t="n">
        <f aca="false">IF($A80="","",F80*C80)</f>
        <v>11440.44</v>
      </c>
      <c r="K80" s="54" t="n">
        <f aca="false">IF($A80="","",IFERROR(J80/$J$505,0))</f>
        <v>0.00296024092027092</v>
      </c>
      <c r="L80" s="54" t="n">
        <f aca="false">IF($A80="","",IFERROR(SUMIFS($J$5:$J$504,$AB$5:$AB$504,"&lt;="&amp;AB80)/$J$505,0))</f>
        <v>0.446906769393964</v>
      </c>
      <c r="M80" s="55" t="str">
        <f aca="false">IF($A80="","",IF(L80&lt;=Assumptions!$B$7,"A",IF(L80&lt;=Assumptions!$B$8,"B","C")))</f>
        <v>A</v>
      </c>
      <c r="N80" s="55" t="str">
        <f aca="false">IF($A80="","",IF(I80&lt;=Assumptions!$B$9,"X",IF(I80&lt;=Assumptions!$B$10,"Y","Z")))</f>
        <v>Y</v>
      </c>
      <c r="O80" s="56" t="str">
        <f aca="false">IF($A80="","",M80&amp;N80)</f>
        <v>AY</v>
      </c>
      <c r="P80" s="57" t="n">
        <f aca="false">IF($A80="","",INDEX(Assumptions!$B$35:$B$37,MATCH(M80,Assumptions!$A$35:$A$37,0)))</f>
        <v>0.98</v>
      </c>
      <c r="Q80" s="58" t="n">
        <f aca="false">IF($A80="","",NORMSINV(P80))</f>
        <v>2.05374891063182</v>
      </c>
      <c r="R80" s="48" t="n">
        <f aca="false">IF($A80="","",ROUNDUP(Q80*H80*SQRT(D80),0))</f>
        <v>351</v>
      </c>
      <c r="S80" s="48" t="n">
        <f aca="false">IF($A80="","",ROUNDUP(G80*D80+R80,0))</f>
        <v>796</v>
      </c>
      <c r="T80" s="46" t="n">
        <f aca="false">IF($A80="","",IFERROR(ROUND(SQRT(2*F80*Assumptions!$B$4/(Assumptions!$B$5*C80)),0),0))</f>
        <v>2161</v>
      </c>
      <c r="U80" s="53" t="n">
        <f aca="false">IF($A80="","",R80*C80)</f>
        <v>347.49</v>
      </c>
      <c r="V80" s="53" t="n">
        <f aca="false">IF($A80="","",E80*C80)</f>
        <v>7920</v>
      </c>
      <c r="W80" s="59" t="n">
        <f aca="false">IF($A80="","",IFERROR(E80/G80,0))</f>
        <v>35.9986154378678</v>
      </c>
      <c r="X80" s="48" t="n">
        <f aca="false">IF($A80="","",S80+T80)</f>
        <v>2957</v>
      </c>
      <c r="Y80" s="48" t="n">
        <f aca="false">IF($A80="","",MAX(0,E80-X80))</f>
        <v>5043</v>
      </c>
      <c r="Z80" s="53" t="n">
        <f aca="false">IF($A80="","",Y80*C80)</f>
        <v>4992.57</v>
      </c>
      <c r="AA80" s="56" t="str">
        <f aca="false">IF($A80="","",IF(E80&lt;=R80,"Below Safety Stock",IF(E80&lt;=S80,"Reorder Now",IF(E80&gt;X80,"Excess","Healthy"))))</f>
        <v>Excess</v>
      </c>
      <c r="AB80" s="48" t="n">
        <f aca="false">IF($A80="","",RANK(AF80,$AF$5:$AF$504,0)+COUNTIF($AF$5:AF80,AF80)-1)</f>
        <v>93</v>
      </c>
      <c r="AC80" s="44" t="str">
        <f aca="false">IF($A80="","",Weekly_Demand!B80)</f>
        <v>LUNCH BAG CARS BLUE</v>
      </c>
      <c r="AD80" s="59" t="n">
        <f aca="false">IF($A80="","",H80*SQRT(D80))</f>
        <v>170.557704658574</v>
      </c>
      <c r="AE80" s="53" t="n">
        <f aca="false">IF($A80="","",AD80*C80)</f>
        <v>168.852127611988</v>
      </c>
      <c r="AF80" s="53" t="n">
        <f aca="false">IF($A80="","",ROUND(J80,2))</f>
        <v>11440.44</v>
      </c>
    </row>
    <row r="81" customFormat="false" ht="15" hidden="false" customHeight="false" outlineLevel="0" collapsed="false">
      <c r="A81" s="44" t="str">
        <f aca="false">IF(Weekly_Demand!A81="","",Weekly_Demand!A81)</f>
        <v>22630</v>
      </c>
      <c r="B81" s="44" t="str">
        <f aca="false">IF($A81="","",Weekly_Demand!C81)</f>
        <v>Other</v>
      </c>
      <c r="C81" s="45" t="n">
        <f aca="false">IF($A81="","",Weekly_Demand!D81)</f>
        <v>1.17</v>
      </c>
      <c r="D81" s="46" t="n">
        <f aca="false">IF($A81="","",Weekly_Demand!E81+Assumptions!$B$19)</f>
        <v>6</v>
      </c>
      <c r="E81" s="46" t="n">
        <f aca="false">IF($A81="","",Weekly_Demand!F81)</f>
        <v>3551</v>
      </c>
      <c r="F81" s="46" t="n">
        <f aca="false">IF($A81="","",SUM(Weekly_Demand!G81:BF81))</f>
        <v>11542</v>
      </c>
      <c r="G81" s="51" t="n">
        <f aca="false">IF($A81="","",IFERROR(F81/Assumptions!$B$6,0))</f>
        <v>221.961538461538</v>
      </c>
      <c r="H81" s="51" t="n">
        <f aca="false">IF($A81="","",STDEV(Weekly_Demand!G81:BF81))</f>
        <v>170.040013922728</v>
      </c>
      <c r="I81" s="52" t="n">
        <f aca="false">IF($A81="","",IFERROR(H81/G81,0))</f>
        <v>0.766078731933969</v>
      </c>
      <c r="J81" s="53" t="n">
        <f aca="false">IF($A81="","",F81*C81)</f>
        <v>13504.14</v>
      </c>
      <c r="K81" s="54" t="n">
        <f aca="false">IF($A81="","",IFERROR(J81/$J$505,0))</f>
        <v>0.00349422817838015</v>
      </c>
      <c r="L81" s="54" t="n">
        <f aca="false">IF($A81="","",IFERROR(SUMIFS($J$5:$J$504,$AB$5:$AB$504,"&lt;="&amp;AB81)/$J$505,0))</f>
        <v>0.33432219224357</v>
      </c>
      <c r="M81" s="55" t="str">
        <f aca="false">IF($A81="","",IF(L81&lt;=Assumptions!$B$7,"A",IF(L81&lt;=Assumptions!$B$8,"B","C")))</f>
        <v>A</v>
      </c>
      <c r="N81" s="55" t="str">
        <f aca="false">IF($A81="","",IF(I81&lt;=Assumptions!$B$9,"X",IF(I81&lt;=Assumptions!$B$10,"Y","Z")))</f>
        <v>Y</v>
      </c>
      <c r="O81" s="56" t="str">
        <f aca="false">IF($A81="","",M81&amp;N81)</f>
        <v>AY</v>
      </c>
      <c r="P81" s="57" t="n">
        <f aca="false">IF($A81="","",INDEX(Assumptions!$B$35:$B$37,MATCH(M81,Assumptions!$A$35:$A$37,0)))</f>
        <v>0.98</v>
      </c>
      <c r="Q81" s="58" t="n">
        <f aca="false">IF($A81="","",NORMSINV(P81))</f>
        <v>2.05374891063182</v>
      </c>
      <c r="R81" s="48" t="n">
        <f aca="false">IF($A81="","",ROUNDUP(Q81*H81*SQRT(D81),0))</f>
        <v>856</v>
      </c>
      <c r="S81" s="48" t="n">
        <f aca="false">IF($A81="","",ROUNDUP(G81*D81+R81,0))</f>
        <v>2188</v>
      </c>
      <c r="T81" s="46" t="n">
        <f aca="false">IF($A81="","",IFERROR(ROUND(SQRT(2*F81*Assumptions!$B$4/(Assumptions!$B$5*C81)),0),0))</f>
        <v>1986</v>
      </c>
      <c r="U81" s="53" t="n">
        <f aca="false">IF($A81="","",R81*C81)</f>
        <v>1001.52</v>
      </c>
      <c r="V81" s="53" t="n">
        <f aca="false">IF($A81="","",E81*C81)</f>
        <v>4154.67</v>
      </c>
      <c r="W81" s="59" t="n">
        <f aca="false">IF($A81="","",IFERROR(E81/G81,0))</f>
        <v>15.9982671980593</v>
      </c>
      <c r="X81" s="48" t="n">
        <f aca="false">IF($A81="","",S81+T81)</f>
        <v>4174</v>
      </c>
      <c r="Y81" s="48" t="n">
        <f aca="false">IF($A81="","",MAX(0,E81-X81))</f>
        <v>0</v>
      </c>
      <c r="Z81" s="53" t="n">
        <f aca="false">IF($A81="","",Y81*C81)</f>
        <v>0</v>
      </c>
      <c r="AA81" s="56" t="str">
        <f aca="false">IF($A81="","",IF(E81&lt;=R81,"Below Safety Stock",IF(E81&lt;=S81,"Reorder Now",IF(E81&gt;X81,"Excess","Healthy"))))</f>
        <v>Healthy</v>
      </c>
      <c r="AB81" s="48" t="n">
        <f aca="false">IF($A81="","",RANK(AF81,$AF$5:$AF$504,0)+COUNTIF($AF$5:AF81,AF81)-1)</f>
        <v>58</v>
      </c>
      <c r="AC81" s="44" t="str">
        <f aca="false">IF($A81="","",Weekly_Demand!B81)</f>
        <v>DOLLY GIRL LUNCH BOX</v>
      </c>
      <c r="AD81" s="59" t="n">
        <f aca="false">IF($A81="","",H81*SQRT(D81))</f>
        <v>416.511269966432</v>
      </c>
      <c r="AE81" s="53" t="n">
        <f aca="false">IF($A81="","",AD81*C81)</f>
        <v>487.318185860725</v>
      </c>
      <c r="AF81" s="53" t="n">
        <f aca="false">IF($A81="","",ROUND(J81,2))</f>
        <v>13504.14</v>
      </c>
    </row>
    <row r="82" customFormat="false" ht="15" hidden="false" customHeight="false" outlineLevel="0" collapsed="false">
      <c r="A82" s="44" t="str">
        <f aca="false">IF(Weekly_Demand!A82="","",Weekly_Demand!A82)</f>
        <v>23202</v>
      </c>
      <c r="B82" s="44" t="str">
        <f aca="false">IF($A82="","",Weekly_Demand!C82)</f>
        <v>Bags</v>
      </c>
      <c r="C82" s="45" t="n">
        <f aca="false">IF($A82="","",Weekly_Demand!D82)</f>
        <v>1.248</v>
      </c>
      <c r="D82" s="46" t="n">
        <f aca="false">IF($A82="","",Weekly_Demand!E82+Assumptions!$B$19)</f>
        <v>6</v>
      </c>
      <c r="E82" s="46" t="n">
        <f aca="false">IF($A82="","",Weekly_Demand!F82)</f>
        <v>2641</v>
      </c>
      <c r="F82" s="46" t="n">
        <f aca="false">IF($A82="","",SUM(Weekly_Demand!G82:BF82))</f>
        <v>10562</v>
      </c>
      <c r="G82" s="51" t="n">
        <f aca="false">IF($A82="","",IFERROR(F82/Assumptions!$B$6,0))</f>
        <v>203.115384615385</v>
      </c>
      <c r="H82" s="51" t="n">
        <f aca="false">IF($A82="","",STDEV(Weekly_Demand!G82:BF82))</f>
        <v>210.398655576685</v>
      </c>
      <c r="I82" s="52" t="n">
        <f aca="false">IF($A82="","",IFERROR(H82/G82,0))</f>
        <v>1.03585780060478</v>
      </c>
      <c r="J82" s="53" t="n">
        <f aca="false">IF($A82="","",F82*C82)</f>
        <v>13181.376</v>
      </c>
      <c r="K82" s="54" t="n">
        <f aca="false">IF($A82="","",IFERROR(J82/$J$505,0))</f>
        <v>0.00341071222965874</v>
      </c>
      <c r="L82" s="54" t="n">
        <f aca="false">IF($A82="","",IFERROR(SUMIFS($J$5:$J$504,$AB$5:$AB$504,"&lt;="&amp;AB82)/$J$505,0))</f>
        <v>0.351505130609969</v>
      </c>
      <c r="M82" s="55" t="str">
        <f aca="false">IF($A82="","",IF(L82&lt;=Assumptions!$B$7,"A",IF(L82&lt;=Assumptions!$B$8,"B","C")))</f>
        <v>A</v>
      </c>
      <c r="N82" s="55" t="str">
        <f aca="false">IF($A82="","",IF(I82&lt;=Assumptions!$B$9,"X",IF(I82&lt;=Assumptions!$B$10,"Y","Z")))</f>
        <v>Z</v>
      </c>
      <c r="O82" s="56" t="str">
        <f aca="false">IF($A82="","",M82&amp;N82)</f>
        <v>AZ</v>
      </c>
      <c r="P82" s="57" t="n">
        <f aca="false">IF($A82="","",INDEX(Assumptions!$B$35:$B$37,MATCH(M82,Assumptions!$A$35:$A$37,0)))</f>
        <v>0.98</v>
      </c>
      <c r="Q82" s="58" t="n">
        <f aca="false">IF($A82="","",NORMSINV(P82))</f>
        <v>2.05374891063182</v>
      </c>
      <c r="R82" s="48" t="n">
        <f aca="false">IF($A82="","",ROUNDUP(Q82*H82*SQRT(D82),0))</f>
        <v>1059</v>
      </c>
      <c r="S82" s="48" t="n">
        <f aca="false">IF($A82="","",ROUNDUP(G82*D82+R82,0))</f>
        <v>2278</v>
      </c>
      <c r="T82" s="46" t="n">
        <f aca="false">IF($A82="","",IFERROR(ROUND(SQRT(2*F82*Assumptions!$B$4/(Assumptions!$B$5*C82)),0),0))</f>
        <v>1840</v>
      </c>
      <c r="U82" s="53" t="n">
        <f aca="false">IF($A82="","",R82*C82)</f>
        <v>1321.632</v>
      </c>
      <c r="V82" s="53" t="n">
        <f aca="false">IF($A82="","",E82*C82)</f>
        <v>3295.968</v>
      </c>
      <c r="W82" s="59" t="n">
        <f aca="false">IF($A82="","",IFERROR(E82/G82,0))</f>
        <v>13.0024616549896</v>
      </c>
      <c r="X82" s="48" t="n">
        <f aca="false">IF($A82="","",S82+T82)</f>
        <v>4118</v>
      </c>
      <c r="Y82" s="48" t="n">
        <f aca="false">IF($A82="","",MAX(0,E82-X82))</f>
        <v>0</v>
      </c>
      <c r="Z82" s="53" t="n">
        <f aca="false">IF($A82="","",Y82*C82)</f>
        <v>0</v>
      </c>
      <c r="AA82" s="56" t="str">
        <f aca="false">IF($A82="","",IF(E82&lt;=R82,"Below Safety Stock",IF(E82&lt;=S82,"Reorder Now",IF(E82&gt;X82,"Excess","Healthy"))))</f>
        <v>Healthy</v>
      </c>
      <c r="AB82" s="48" t="n">
        <f aca="false">IF($A82="","",RANK(AF82,$AF$5:$AF$504,0)+COUNTIF($AF$5:AF82,AF82)-1)</f>
        <v>63</v>
      </c>
      <c r="AC82" s="44" t="str">
        <f aca="false">IF($A82="","",Weekly_Demand!B82)</f>
        <v>JUMBO BAG VINTAGE LEAF</v>
      </c>
      <c r="AD82" s="59" t="n">
        <f aca="false">IF($A82="","",H82*SQRT(D82))</f>
        <v>515.369348730461</v>
      </c>
      <c r="AE82" s="53" t="n">
        <f aca="false">IF($A82="","",AD82*C82)</f>
        <v>643.180947215616</v>
      </c>
      <c r="AF82" s="53" t="n">
        <f aca="false">IF($A82="","",ROUND(J82,2))</f>
        <v>13181.38</v>
      </c>
    </row>
    <row r="83" customFormat="false" ht="15" hidden="false" customHeight="false" outlineLevel="0" collapsed="false">
      <c r="A83" s="44" t="str">
        <f aca="false">IF(Weekly_Demand!A83="","",Weekly_Demand!A83)</f>
        <v>23209</v>
      </c>
      <c r="B83" s="44" t="str">
        <f aca="false">IF($A83="","",Weekly_Demand!C83)</f>
        <v>Bags</v>
      </c>
      <c r="C83" s="45" t="n">
        <f aca="false">IF($A83="","",Weekly_Demand!D83)</f>
        <v>0.99</v>
      </c>
      <c r="D83" s="46" t="n">
        <f aca="false">IF($A83="","",Weekly_Demand!E83+Assumptions!$B$19)</f>
        <v>4</v>
      </c>
      <c r="E83" s="46" t="n">
        <f aca="false">IF($A83="","",Weekly_Demand!F83)</f>
        <v>8154</v>
      </c>
      <c r="F83" s="46" t="n">
        <f aca="false">IF($A83="","",SUM(Weekly_Demand!G83:BF83))</f>
        <v>12848</v>
      </c>
      <c r="G83" s="51" t="n">
        <f aca="false">IF($A83="","",IFERROR(F83/Assumptions!$B$6,0))</f>
        <v>247.076923076923</v>
      </c>
      <c r="H83" s="51" t="n">
        <f aca="false">IF($A83="","",STDEV(Weekly_Demand!G83:BF83))</f>
        <v>264.576527804068</v>
      </c>
      <c r="I83" s="52" t="n">
        <f aca="false">IF($A83="","",IFERROR(H83/G83,0))</f>
        <v>1.07082654466155</v>
      </c>
      <c r="J83" s="53" t="n">
        <f aca="false">IF($A83="","",F83*C83)</f>
        <v>12719.52</v>
      </c>
      <c r="K83" s="54" t="n">
        <f aca="false">IF($A83="","",IFERROR(J83/$J$505,0))</f>
        <v>0.00329120589681904</v>
      </c>
      <c r="L83" s="54" t="n">
        <f aca="false">IF($A83="","",IFERROR(SUMIFS($J$5:$J$504,$AB$5:$AB$504,"&lt;="&amp;AB83)/$J$505,0))</f>
        <v>0.378297139800145</v>
      </c>
      <c r="M83" s="55" t="str">
        <f aca="false">IF($A83="","",IF(L83&lt;=Assumptions!$B$7,"A",IF(L83&lt;=Assumptions!$B$8,"B","C")))</f>
        <v>A</v>
      </c>
      <c r="N83" s="55" t="str">
        <f aca="false">IF($A83="","",IF(I83&lt;=Assumptions!$B$9,"X",IF(I83&lt;=Assumptions!$B$10,"Y","Z")))</f>
        <v>Z</v>
      </c>
      <c r="O83" s="56" t="str">
        <f aca="false">IF($A83="","",M83&amp;N83)</f>
        <v>AZ</v>
      </c>
      <c r="P83" s="57" t="n">
        <f aca="false">IF($A83="","",INDEX(Assumptions!$B$35:$B$37,MATCH(M83,Assumptions!$A$35:$A$37,0)))</f>
        <v>0.98</v>
      </c>
      <c r="Q83" s="58" t="n">
        <f aca="false">IF($A83="","",NORMSINV(P83))</f>
        <v>2.05374891063182</v>
      </c>
      <c r="R83" s="48" t="n">
        <f aca="false">IF($A83="","",ROUNDUP(Q83*H83*SQRT(D83),0))</f>
        <v>1087</v>
      </c>
      <c r="S83" s="48" t="n">
        <f aca="false">IF($A83="","",ROUNDUP(G83*D83+R83,0))</f>
        <v>2076</v>
      </c>
      <c r="T83" s="46" t="n">
        <f aca="false">IF($A83="","",IFERROR(ROUND(SQRT(2*F83*Assumptions!$B$4/(Assumptions!$B$5*C83)),0),0))</f>
        <v>2278</v>
      </c>
      <c r="U83" s="53" t="n">
        <f aca="false">IF($A83="","",R83*C83)</f>
        <v>1076.13</v>
      </c>
      <c r="V83" s="53" t="n">
        <f aca="false">IF($A83="","",E83*C83)</f>
        <v>8072.46</v>
      </c>
      <c r="W83" s="59" t="n">
        <f aca="false">IF($A83="","",IFERROR(E83/G83,0))</f>
        <v>33.0018679950187</v>
      </c>
      <c r="X83" s="48" t="n">
        <f aca="false">IF($A83="","",S83+T83)</f>
        <v>4354</v>
      </c>
      <c r="Y83" s="48" t="n">
        <f aca="false">IF($A83="","",MAX(0,E83-X83))</f>
        <v>3800</v>
      </c>
      <c r="Z83" s="53" t="n">
        <f aca="false">IF($A83="","",Y83*C83)</f>
        <v>3762</v>
      </c>
      <c r="AA83" s="56" t="str">
        <f aca="false">IF($A83="","",IF(E83&lt;=R83,"Below Safety Stock",IF(E83&lt;=S83,"Reorder Now",IF(E83&gt;X83,"Excess","Healthy"))))</f>
        <v>Excess</v>
      </c>
      <c r="AB83" s="48" t="n">
        <f aca="false">IF($A83="","",RANK(AF83,$AF$5:$AF$504,0)+COUNTIF($AF$5:AF83,AF83)-1)</f>
        <v>71</v>
      </c>
      <c r="AC83" s="44" t="str">
        <f aca="false">IF($A83="","",Weekly_Demand!B83)</f>
        <v>LUNCH BAG VINTAGE DOILY</v>
      </c>
      <c r="AD83" s="59" t="n">
        <f aca="false">IF($A83="","",H83*SQRT(D83))</f>
        <v>529.153055608136</v>
      </c>
      <c r="AE83" s="53" t="n">
        <f aca="false">IF($A83="","",AD83*C83)</f>
        <v>523.861525052054</v>
      </c>
      <c r="AF83" s="53" t="n">
        <f aca="false">IF($A83="","",ROUND(J83,2))</f>
        <v>12719.52</v>
      </c>
    </row>
    <row r="84" customFormat="false" ht="15" hidden="false" customHeight="false" outlineLevel="0" collapsed="false">
      <c r="A84" s="44" t="str">
        <f aca="false">IF(Weekly_Demand!A84="","",Weekly_Demand!A84)</f>
        <v>82494L</v>
      </c>
      <c r="B84" s="44" t="str">
        <f aca="false">IF($A84="","",Weekly_Demand!C84)</f>
        <v>Other</v>
      </c>
      <c r="C84" s="45" t="n">
        <f aca="false">IF($A84="","",Weekly_Demand!D84)</f>
        <v>1.77</v>
      </c>
      <c r="D84" s="46" t="n">
        <f aca="false">IF($A84="","",Weekly_Demand!E84+Assumptions!$B$19)</f>
        <v>6</v>
      </c>
      <c r="E84" s="46" t="n">
        <f aca="false">IF($A84="","",Weekly_Demand!F84)</f>
        <v>775</v>
      </c>
      <c r="F84" s="46" t="n">
        <f aca="false">IF($A84="","",SUM(Weekly_Demand!G84:BF84))</f>
        <v>6715</v>
      </c>
      <c r="G84" s="51" t="n">
        <f aca="false">IF($A84="","",IFERROR(F84/Assumptions!$B$6,0))</f>
        <v>129.134615384615</v>
      </c>
      <c r="H84" s="51" t="n">
        <f aca="false">IF($A84="","",STDEV(Weekly_Demand!G84:BF84))</f>
        <v>83.3003139711508</v>
      </c>
      <c r="I84" s="52" t="n">
        <f aca="false">IF($A84="","",IFERROR(H84/G84,0))</f>
        <v>0.645065722486946</v>
      </c>
      <c r="J84" s="53" t="n">
        <f aca="false">IF($A84="","",F84*C84)</f>
        <v>11885.55</v>
      </c>
      <c r="K84" s="54" t="n">
        <f aca="false">IF($A84="","",IFERROR(J84/$J$505,0))</f>
        <v>0.00307541418598639</v>
      </c>
      <c r="L84" s="54" t="n">
        <f aca="false">IF($A84="","",IFERROR(SUMIFS($J$5:$J$504,$AB$5:$AB$504,"&lt;="&amp;AB84)/$J$505,0))</f>
        <v>0.425808472505609</v>
      </c>
      <c r="M84" s="55" t="str">
        <f aca="false">IF($A84="","",IF(L84&lt;=Assumptions!$B$7,"A",IF(L84&lt;=Assumptions!$B$8,"B","C")))</f>
        <v>A</v>
      </c>
      <c r="N84" s="55" t="str">
        <f aca="false">IF($A84="","",IF(I84&lt;=Assumptions!$B$9,"X",IF(I84&lt;=Assumptions!$B$10,"Y","Z")))</f>
        <v>Y</v>
      </c>
      <c r="O84" s="56" t="str">
        <f aca="false">IF($A84="","",M84&amp;N84)</f>
        <v>AY</v>
      </c>
      <c r="P84" s="57" t="n">
        <f aca="false">IF($A84="","",INDEX(Assumptions!$B$35:$B$37,MATCH(M84,Assumptions!$A$35:$A$37,0)))</f>
        <v>0.98</v>
      </c>
      <c r="Q84" s="58" t="n">
        <f aca="false">IF($A84="","",NORMSINV(P84))</f>
        <v>2.05374891063182</v>
      </c>
      <c r="R84" s="48" t="n">
        <f aca="false">IF($A84="","",ROUNDUP(Q84*H84*SQRT(D84),0))</f>
        <v>420</v>
      </c>
      <c r="S84" s="48" t="n">
        <f aca="false">IF($A84="","",ROUNDUP(G84*D84+R84,0))</f>
        <v>1195</v>
      </c>
      <c r="T84" s="46" t="n">
        <f aca="false">IF($A84="","",IFERROR(ROUND(SQRT(2*F84*Assumptions!$B$4/(Assumptions!$B$5*C84)),0),0))</f>
        <v>1232</v>
      </c>
      <c r="U84" s="53" t="n">
        <f aca="false">IF($A84="","",R84*C84)</f>
        <v>743.4</v>
      </c>
      <c r="V84" s="53" t="n">
        <f aca="false">IF($A84="","",E84*C84)</f>
        <v>1371.75</v>
      </c>
      <c r="W84" s="59" t="n">
        <f aca="false">IF($A84="","",IFERROR(E84/G84,0))</f>
        <v>6.00148920327625</v>
      </c>
      <c r="X84" s="48" t="n">
        <f aca="false">IF($A84="","",S84+T84)</f>
        <v>2427</v>
      </c>
      <c r="Y84" s="48" t="n">
        <f aca="false">IF($A84="","",MAX(0,E84-X84))</f>
        <v>0</v>
      </c>
      <c r="Z84" s="53" t="n">
        <f aca="false">IF($A84="","",Y84*C84)</f>
        <v>0</v>
      </c>
      <c r="AA84" s="56" t="str">
        <f aca="false">IF($A84="","",IF(E84&lt;=R84,"Below Safety Stock",IF(E84&lt;=S84,"Reorder Now",IF(E84&gt;X84,"Excess","Healthy"))))</f>
        <v>Reorder Now</v>
      </c>
      <c r="AB84" s="48" t="n">
        <f aca="false">IF($A84="","",RANK(AF84,$AF$5:$AF$504,0)+COUNTIF($AF$5:AF84,AF84)-1)</f>
        <v>86</v>
      </c>
      <c r="AC84" s="44" t="str">
        <f aca="false">IF($A84="","",Weekly_Demand!B84)</f>
        <v>WOODEN FRAME ANTIQUE WHITE</v>
      </c>
      <c r="AD84" s="59" t="n">
        <f aca="false">IF($A84="","",H84*SQRT(D84))</f>
        <v>204.043264642952</v>
      </c>
      <c r="AE84" s="53" t="n">
        <f aca="false">IF($A84="","",AD84*C84)</f>
        <v>361.156578418025</v>
      </c>
      <c r="AF84" s="53" t="n">
        <f aca="false">IF($A84="","",ROUND(J84,2))</f>
        <v>11885.55</v>
      </c>
    </row>
    <row r="85" customFormat="false" ht="15" hidden="false" customHeight="false" outlineLevel="0" collapsed="false">
      <c r="A85" s="44" t="str">
        <f aca="false">IF(Weekly_Demand!A85="","",Weekly_Demand!A85)</f>
        <v>20724</v>
      </c>
      <c r="B85" s="44" t="str">
        <f aca="false">IF($A85="","",Weekly_Demand!C85)</f>
        <v>Bags</v>
      </c>
      <c r="C85" s="45" t="n">
        <f aca="false">IF($A85="","",Weekly_Demand!D85)</f>
        <v>0.51</v>
      </c>
      <c r="D85" s="46" t="n">
        <f aca="false">IF($A85="","",Weekly_Demand!E85+Assumptions!$B$19)</f>
        <v>2</v>
      </c>
      <c r="E85" s="46" t="n">
        <f aca="false">IF($A85="","",Weekly_Demand!F85)</f>
        <v>5258</v>
      </c>
      <c r="F85" s="46" t="n">
        <f aca="false">IF($A85="","",SUM(Weekly_Demand!G85:BF85))</f>
        <v>17088</v>
      </c>
      <c r="G85" s="51" t="n">
        <f aca="false">IF($A85="","",IFERROR(F85/Assumptions!$B$6,0))</f>
        <v>328.615384615385</v>
      </c>
      <c r="H85" s="51" t="n">
        <f aca="false">IF($A85="","",STDEV(Weekly_Demand!G85:BF85))</f>
        <v>161.757522944872</v>
      </c>
      <c r="I85" s="52" t="n">
        <f aca="false">IF($A85="","",IFERROR(H85/G85,0))</f>
        <v>0.492239653156213</v>
      </c>
      <c r="J85" s="53" t="n">
        <f aca="false">IF($A85="","",F85*C85)</f>
        <v>8714.88</v>
      </c>
      <c r="K85" s="54" t="n">
        <f aca="false">IF($A85="","",IFERROR(J85/$J$505,0))</f>
        <v>0.00225499582107425</v>
      </c>
      <c r="L85" s="54" t="n">
        <f aca="false">IF($A85="","",IFERROR(SUMIFS($J$5:$J$504,$AB$5:$AB$504,"&lt;="&amp;AB85)/$J$505,0))</f>
        <v>0.546899793481922</v>
      </c>
      <c r="M85" s="55" t="str">
        <f aca="false">IF($A85="","",IF(L85&lt;=Assumptions!$B$7,"A",IF(L85&lt;=Assumptions!$B$8,"B","C")))</f>
        <v>A</v>
      </c>
      <c r="N85" s="55" t="str">
        <f aca="false">IF($A85="","",IF(I85&lt;=Assumptions!$B$9,"X",IF(I85&lt;=Assumptions!$B$10,"Y","Z")))</f>
        <v>X</v>
      </c>
      <c r="O85" s="56" t="str">
        <f aca="false">IF($A85="","",M85&amp;N85)</f>
        <v>AX</v>
      </c>
      <c r="P85" s="57" t="n">
        <f aca="false">IF($A85="","",INDEX(Assumptions!$B$35:$B$37,MATCH(M85,Assumptions!$A$35:$A$37,0)))</f>
        <v>0.98</v>
      </c>
      <c r="Q85" s="58" t="n">
        <f aca="false">IF($A85="","",NORMSINV(P85))</f>
        <v>2.05374891063182</v>
      </c>
      <c r="R85" s="48" t="n">
        <f aca="false">IF($A85="","",ROUNDUP(Q85*H85*SQRT(D85),0))</f>
        <v>470</v>
      </c>
      <c r="S85" s="48" t="n">
        <f aca="false">IF($A85="","",ROUNDUP(G85*D85+R85,0))</f>
        <v>1128</v>
      </c>
      <c r="T85" s="46" t="n">
        <f aca="false">IF($A85="","",IFERROR(ROUND(SQRT(2*F85*Assumptions!$B$4/(Assumptions!$B$5*C85)),0),0))</f>
        <v>3661</v>
      </c>
      <c r="U85" s="53" t="n">
        <f aca="false">IF($A85="","",R85*C85)</f>
        <v>239.7</v>
      </c>
      <c r="V85" s="53" t="n">
        <f aca="false">IF($A85="","",E85*C85)</f>
        <v>2681.58</v>
      </c>
      <c r="W85" s="59" t="n">
        <f aca="false">IF($A85="","",IFERROR(E85/G85,0))</f>
        <v>16.000468164794</v>
      </c>
      <c r="X85" s="48" t="n">
        <f aca="false">IF($A85="","",S85+T85)</f>
        <v>4789</v>
      </c>
      <c r="Y85" s="48" t="n">
        <f aca="false">IF($A85="","",MAX(0,E85-X85))</f>
        <v>469</v>
      </c>
      <c r="Z85" s="53" t="n">
        <f aca="false">IF($A85="","",Y85*C85)</f>
        <v>239.19</v>
      </c>
      <c r="AA85" s="56" t="str">
        <f aca="false">IF($A85="","",IF(E85&lt;=R85,"Below Safety Stock",IF(E85&lt;=S85,"Reorder Now",IF(E85&gt;X85,"Excess","Healthy"))))</f>
        <v>Excess</v>
      </c>
      <c r="AB85" s="48" t="n">
        <f aca="false">IF($A85="","",RANK(AF85,$AF$5:$AF$504,0)+COUNTIF($AF$5:AF85,AF85)-1)</f>
        <v>133</v>
      </c>
      <c r="AC85" s="44" t="str">
        <f aca="false">IF($A85="","",Weekly_Demand!B85)</f>
        <v>RED RETROSPOT CHARLOTTE BAG</v>
      </c>
      <c r="AD85" s="59" t="n">
        <f aca="false">IF($A85="","",H85*SQRT(D85))</f>
        <v>228.759682764516</v>
      </c>
      <c r="AE85" s="53" t="n">
        <f aca="false">IF($A85="","",AD85*C85)</f>
        <v>116.667438209903</v>
      </c>
      <c r="AF85" s="53" t="n">
        <f aca="false">IF($A85="","",ROUND(J85,2))</f>
        <v>8714.88</v>
      </c>
    </row>
    <row r="86" customFormat="false" ht="15" hidden="false" customHeight="false" outlineLevel="0" collapsed="false">
      <c r="A86" s="44" t="str">
        <f aca="false">IF(Weekly_Demand!A86="","",Weekly_Demand!A86)</f>
        <v>21523</v>
      </c>
      <c r="B86" s="44" t="str">
        <f aca="false">IF($A86="","",Weekly_Demand!C86)</f>
        <v>Other</v>
      </c>
      <c r="C86" s="45" t="n">
        <f aca="false">IF($A86="","",Weekly_Demand!D86)</f>
        <v>4.77</v>
      </c>
      <c r="D86" s="46" t="n">
        <f aca="false">IF($A86="","",Weekly_Demand!E86+Assumptions!$B$19)</f>
        <v>8</v>
      </c>
      <c r="E86" s="46" t="n">
        <f aca="false">IF($A86="","",Weekly_Demand!F86)</f>
        <v>181</v>
      </c>
      <c r="F86" s="46" t="n">
        <f aca="false">IF($A86="","",SUM(Weekly_Demand!G86:BF86))</f>
        <v>3135</v>
      </c>
      <c r="G86" s="51" t="n">
        <f aca="false">IF($A86="","",IFERROR(F86/Assumptions!$B$6,0))</f>
        <v>60.2884615384615</v>
      </c>
      <c r="H86" s="51" t="n">
        <f aca="false">IF($A86="","",STDEV(Weekly_Demand!G86:BF86))</f>
        <v>103.835529175496</v>
      </c>
      <c r="I86" s="52" t="n">
        <f aca="false">IF($A86="","",IFERROR(H86/G86,0))</f>
        <v>1.72231180769563</v>
      </c>
      <c r="J86" s="53" t="n">
        <f aca="false">IF($A86="","",F86*C86)</f>
        <v>14953.95</v>
      </c>
      <c r="K86" s="54" t="n">
        <f aca="false">IF($A86="","",IFERROR(J86/$J$505,0))</f>
        <v>0.00386936994640813</v>
      </c>
      <c r="L86" s="54" t="n">
        <f aca="false">IF($A86="","",IFERROR(SUMIFS($J$5:$J$504,$AB$5:$AB$504,"&lt;="&amp;AB86)/$J$505,0))</f>
        <v>0.287026010060575</v>
      </c>
      <c r="M86" s="55" t="str">
        <f aca="false">IF($A86="","",IF(L86&lt;=Assumptions!$B$7,"A",IF(L86&lt;=Assumptions!$B$8,"B","C")))</f>
        <v>A</v>
      </c>
      <c r="N86" s="55" t="str">
        <f aca="false">IF($A86="","",IF(I86&lt;=Assumptions!$B$9,"X",IF(I86&lt;=Assumptions!$B$10,"Y","Z")))</f>
        <v>Z</v>
      </c>
      <c r="O86" s="56" t="str">
        <f aca="false">IF($A86="","",M86&amp;N86)</f>
        <v>AZ</v>
      </c>
      <c r="P86" s="57" t="n">
        <f aca="false">IF($A86="","",INDEX(Assumptions!$B$35:$B$37,MATCH(M86,Assumptions!$A$35:$A$37,0)))</f>
        <v>0.98</v>
      </c>
      <c r="Q86" s="58" t="n">
        <f aca="false">IF($A86="","",NORMSINV(P86))</f>
        <v>2.05374891063182</v>
      </c>
      <c r="R86" s="48" t="n">
        <f aca="false">IF($A86="","",ROUNDUP(Q86*H86*SQRT(D86),0))</f>
        <v>604</v>
      </c>
      <c r="S86" s="48" t="n">
        <f aca="false">IF($A86="","",ROUNDUP(G86*D86+R86,0))</f>
        <v>1087</v>
      </c>
      <c r="T86" s="46" t="n">
        <f aca="false">IF($A86="","",IFERROR(ROUND(SQRT(2*F86*Assumptions!$B$4/(Assumptions!$B$5*C86)),0),0))</f>
        <v>513</v>
      </c>
      <c r="U86" s="53" t="n">
        <f aca="false">IF($A86="","",R86*C86)</f>
        <v>2881.08</v>
      </c>
      <c r="V86" s="53" t="n">
        <f aca="false">IF($A86="","",E86*C86)</f>
        <v>863.37</v>
      </c>
      <c r="W86" s="59" t="n">
        <f aca="false">IF($A86="","",IFERROR(E86/G86,0))</f>
        <v>3.00223285486443</v>
      </c>
      <c r="X86" s="48" t="n">
        <f aca="false">IF($A86="","",S86+T86)</f>
        <v>1600</v>
      </c>
      <c r="Y86" s="48" t="n">
        <f aca="false">IF($A86="","",MAX(0,E86-X86))</f>
        <v>0</v>
      </c>
      <c r="Z86" s="53" t="n">
        <f aca="false">IF($A86="","",Y86*C86)</f>
        <v>0</v>
      </c>
      <c r="AA86" s="56" t="str">
        <f aca="false">IF($A86="","",IF(E86&lt;=R86,"Below Safety Stock",IF(E86&lt;=S86,"Reorder Now",IF(E86&gt;X86,"Excess","Healthy"))))</f>
        <v>Below Safety Stock</v>
      </c>
      <c r="AB86" s="48" t="n">
        <f aca="false">IF($A86="","",RANK(AF86,$AF$5:$AF$504,0)+COUNTIF($AF$5:AF86,AF86)-1)</f>
        <v>45</v>
      </c>
      <c r="AC86" s="44" t="str">
        <f aca="false">IF($A86="","",Weekly_Demand!B86)</f>
        <v>DOORMAT FANCY FONT HOME SWEET HOME</v>
      </c>
      <c r="AD86" s="59" t="n">
        <f aca="false">IF($A86="","",H86*SQRT(D86))</f>
        <v>293.691227232348</v>
      </c>
      <c r="AE86" s="53" t="n">
        <f aca="false">IF($A86="","",AD86*C86)</f>
        <v>1400.9071538983</v>
      </c>
      <c r="AF86" s="53" t="n">
        <f aca="false">IF($A86="","",ROUND(J86,2))</f>
        <v>14953.95</v>
      </c>
    </row>
    <row r="87" customFormat="false" ht="15" hidden="false" customHeight="false" outlineLevel="0" collapsed="false">
      <c r="A87" s="44" t="str">
        <f aca="false">IF(Weekly_Demand!A87="","",Weekly_Demand!A87)</f>
        <v>23206</v>
      </c>
      <c r="B87" s="44" t="str">
        <f aca="false">IF($A87="","",Weekly_Demand!C87)</f>
        <v>Bags</v>
      </c>
      <c r="C87" s="45" t="n">
        <f aca="false">IF($A87="","",Weekly_Demand!D87)</f>
        <v>0.99</v>
      </c>
      <c r="D87" s="46" t="n">
        <f aca="false">IF($A87="","",Weekly_Demand!E87+Assumptions!$B$19)</f>
        <v>6</v>
      </c>
      <c r="E87" s="46" t="n">
        <f aca="false">IF($A87="","",Weekly_Demand!F87)</f>
        <v>11368</v>
      </c>
      <c r="F87" s="46" t="n">
        <f aca="false">IF($A87="","",SUM(Weekly_Demand!G87:BF87))</f>
        <v>12064</v>
      </c>
      <c r="G87" s="51" t="n">
        <f aca="false">IF($A87="","",IFERROR(F87/Assumptions!$B$6,0))</f>
        <v>232</v>
      </c>
      <c r="H87" s="51" t="n">
        <f aca="false">IF($A87="","",STDEV(Weekly_Demand!G87:BF87))</f>
        <v>224.650840194289</v>
      </c>
      <c r="I87" s="52" t="n">
        <f aca="false">IF($A87="","",IFERROR(H87/G87,0))</f>
        <v>0.968322587044349</v>
      </c>
      <c r="J87" s="53" t="n">
        <f aca="false">IF($A87="","",F87*C87)</f>
        <v>11943.36</v>
      </c>
      <c r="K87" s="54" t="n">
        <f aca="false">IF($A87="","",IFERROR(J87/$J$505,0))</f>
        <v>0.00309037266027591</v>
      </c>
      <c r="L87" s="54" t="n">
        <f aca="false">IF($A87="","",IFERROR(SUMIFS($J$5:$J$504,$AB$5:$AB$504,"&lt;="&amp;AB87)/$J$505,0))</f>
        <v>0.419650112887266</v>
      </c>
      <c r="M87" s="55" t="str">
        <f aca="false">IF($A87="","",IF(L87&lt;=Assumptions!$B$7,"A",IF(L87&lt;=Assumptions!$B$8,"B","C")))</f>
        <v>A</v>
      </c>
      <c r="N87" s="55" t="str">
        <f aca="false">IF($A87="","",IF(I87&lt;=Assumptions!$B$9,"X",IF(I87&lt;=Assumptions!$B$10,"Y","Z")))</f>
        <v>Y</v>
      </c>
      <c r="O87" s="56" t="str">
        <f aca="false">IF($A87="","",M87&amp;N87)</f>
        <v>AY</v>
      </c>
      <c r="P87" s="57" t="n">
        <f aca="false">IF($A87="","",INDEX(Assumptions!$B$35:$B$37,MATCH(M87,Assumptions!$A$35:$A$37,0)))</f>
        <v>0.98</v>
      </c>
      <c r="Q87" s="58" t="n">
        <f aca="false">IF($A87="","",NORMSINV(P87))</f>
        <v>2.05374891063182</v>
      </c>
      <c r="R87" s="48" t="n">
        <f aca="false">IF($A87="","",ROUNDUP(Q87*H87*SQRT(D87),0))</f>
        <v>1131</v>
      </c>
      <c r="S87" s="48" t="n">
        <f aca="false">IF($A87="","",ROUNDUP(G87*D87+R87,0))</f>
        <v>2523</v>
      </c>
      <c r="T87" s="46" t="n">
        <f aca="false">IF($A87="","",IFERROR(ROUND(SQRT(2*F87*Assumptions!$B$4/(Assumptions!$B$5*C87)),0),0))</f>
        <v>2208</v>
      </c>
      <c r="U87" s="53" t="n">
        <f aca="false">IF($A87="","",R87*C87)</f>
        <v>1119.69</v>
      </c>
      <c r="V87" s="53" t="n">
        <f aca="false">IF($A87="","",E87*C87)</f>
        <v>11254.32</v>
      </c>
      <c r="W87" s="59" t="n">
        <f aca="false">IF($A87="","",IFERROR(E87/G87,0))</f>
        <v>49</v>
      </c>
      <c r="X87" s="48" t="n">
        <f aca="false">IF($A87="","",S87+T87)</f>
        <v>4731</v>
      </c>
      <c r="Y87" s="48" t="n">
        <f aca="false">IF($A87="","",MAX(0,E87-X87))</f>
        <v>6637</v>
      </c>
      <c r="Z87" s="53" t="n">
        <f aca="false">IF($A87="","",Y87*C87)</f>
        <v>6570.63</v>
      </c>
      <c r="AA87" s="56" t="str">
        <f aca="false">IF($A87="","",IF(E87&lt;=R87,"Below Safety Stock",IF(E87&lt;=S87,"Reorder Now",IF(E87&gt;X87,"Excess","Healthy"))))</f>
        <v>Excess</v>
      </c>
      <c r="AB87" s="48" t="n">
        <f aca="false">IF($A87="","",RANK(AF87,$AF$5:$AF$504,0)+COUNTIF($AF$5:AF87,AF87)-1)</f>
        <v>84</v>
      </c>
      <c r="AC87" s="44" t="str">
        <f aca="false">IF($A87="","",Weekly_Demand!B87)</f>
        <v>LUNCH BAG APPLE DESIGN</v>
      </c>
      <c r="AD87" s="59" t="n">
        <f aca="false">IF($A87="","",H87*SQRT(D87))</f>
        <v>550.279928763534</v>
      </c>
      <c r="AE87" s="53" t="n">
        <f aca="false">IF($A87="","",AD87*C87)</f>
        <v>544.777129475899</v>
      </c>
      <c r="AF87" s="53" t="n">
        <f aca="false">IF($A87="","",ROUND(J87,2))</f>
        <v>11943.36</v>
      </c>
    </row>
    <row r="88" customFormat="false" ht="15" hidden="false" customHeight="false" outlineLevel="0" collapsed="false">
      <c r="A88" s="44" t="str">
        <f aca="false">IF(Weekly_Demand!A88="","",Weekly_Demand!A88)</f>
        <v>21928</v>
      </c>
      <c r="B88" s="44" t="str">
        <f aca="false">IF($A88="","",Weekly_Demand!C88)</f>
        <v>Bags</v>
      </c>
      <c r="C88" s="45" t="n">
        <f aca="false">IF($A88="","",Weekly_Demand!D88)</f>
        <v>1.248</v>
      </c>
      <c r="D88" s="46" t="n">
        <f aca="false">IF($A88="","",Weekly_Demand!E88+Assumptions!$B$19)</f>
        <v>2</v>
      </c>
      <c r="E88" s="46" t="n">
        <f aca="false">IF($A88="","",Weekly_Demand!F88)</f>
        <v>6976</v>
      </c>
      <c r="F88" s="46" t="n">
        <f aca="false">IF($A88="","",SUM(Weekly_Demand!G88:BF88))</f>
        <v>10077</v>
      </c>
      <c r="G88" s="51" t="n">
        <f aca="false">IF($A88="","",IFERROR(F88/Assumptions!$B$6,0))</f>
        <v>193.788461538462</v>
      </c>
      <c r="H88" s="51" t="n">
        <f aca="false">IF($A88="","",STDEV(Weekly_Demand!G88:BF88))</f>
        <v>128.792938629119</v>
      </c>
      <c r="I88" s="52" t="n">
        <f aca="false">IF($A88="","",IFERROR(H88/G88,0))</f>
        <v>0.664605816087544</v>
      </c>
      <c r="J88" s="53" t="n">
        <f aca="false">IF($A88="","",F88*C88)</f>
        <v>12576.096</v>
      </c>
      <c r="K88" s="54" t="n">
        <f aca="false">IF($A88="","",IFERROR(J88/$J$505,0))</f>
        <v>0.0032540945974504</v>
      </c>
      <c r="L88" s="54" t="n">
        <f aca="false">IF($A88="","",IFERROR(SUMIFS($J$5:$J$504,$AB$5:$AB$504,"&lt;="&amp;AB88)/$J$505,0))</f>
        <v>0.391358575256976</v>
      </c>
      <c r="M88" s="55" t="str">
        <f aca="false">IF($A88="","",IF(L88&lt;=Assumptions!$B$7,"A",IF(L88&lt;=Assumptions!$B$8,"B","C")))</f>
        <v>A</v>
      </c>
      <c r="N88" s="55" t="str">
        <f aca="false">IF($A88="","",IF(I88&lt;=Assumptions!$B$9,"X",IF(I88&lt;=Assumptions!$B$10,"Y","Z")))</f>
        <v>Y</v>
      </c>
      <c r="O88" s="56" t="str">
        <f aca="false">IF($A88="","",M88&amp;N88)</f>
        <v>AY</v>
      </c>
      <c r="P88" s="57" t="n">
        <f aca="false">IF($A88="","",INDEX(Assumptions!$B$35:$B$37,MATCH(M88,Assumptions!$A$35:$A$37,0)))</f>
        <v>0.98</v>
      </c>
      <c r="Q88" s="58" t="n">
        <f aca="false">IF($A88="","",NORMSINV(P88))</f>
        <v>2.05374891063182</v>
      </c>
      <c r="R88" s="48" t="n">
        <f aca="false">IF($A88="","",ROUNDUP(Q88*H88*SQRT(D88),0))</f>
        <v>375</v>
      </c>
      <c r="S88" s="48" t="n">
        <f aca="false">IF($A88="","",ROUNDUP(G88*D88+R88,0))</f>
        <v>763</v>
      </c>
      <c r="T88" s="46" t="n">
        <f aca="false">IF($A88="","",IFERROR(ROUND(SQRT(2*F88*Assumptions!$B$4/(Assumptions!$B$5*C88)),0),0))</f>
        <v>1797</v>
      </c>
      <c r="U88" s="53" t="n">
        <f aca="false">IF($A88="","",R88*C88)</f>
        <v>468</v>
      </c>
      <c r="V88" s="53" t="n">
        <f aca="false">IF($A88="","",E88*C88)</f>
        <v>8706.048</v>
      </c>
      <c r="W88" s="59" t="n">
        <f aca="false">IF($A88="","",IFERROR(E88/G88,0))</f>
        <v>35.9980152823261</v>
      </c>
      <c r="X88" s="48" t="n">
        <f aca="false">IF($A88="","",S88+T88)</f>
        <v>2560</v>
      </c>
      <c r="Y88" s="48" t="n">
        <f aca="false">IF($A88="","",MAX(0,E88-X88))</f>
        <v>4416</v>
      </c>
      <c r="Z88" s="53" t="n">
        <f aca="false">IF($A88="","",Y88*C88)</f>
        <v>5511.168</v>
      </c>
      <c r="AA88" s="56" t="str">
        <f aca="false">IF($A88="","",IF(E88&lt;=R88,"Below Safety Stock",IF(E88&lt;=S88,"Reorder Now",IF(E88&gt;X88,"Excess","Healthy"))))</f>
        <v>Excess</v>
      </c>
      <c r="AB88" s="48" t="n">
        <f aca="false">IF($A88="","",RANK(AF88,$AF$5:$AF$504,0)+COUNTIF($AF$5:AF88,AF88)-1)</f>
        <v>75</v>
      </c>
      <c r="AC88" s="44" t="str">
        <f aca="false">IF($A88="","",Weekly_Demand!B88)</f>
        <v>JUMBO BAG SCANDINAVIAN BLUE PAISLEY</v>
      </c>
      <c r="AD88" s="59" t="n">
        <f aca="false">IF($A88="","",H88*SQRT(D88))</f>
        <v>182.140720547186</v>
      </c>
      <c r="AE88" s="53" t="n">
        <f aca="false">IF($A88="","",AD88*C88)</f>
        <v>227.311619242888</v>
      </c>
      <c r="AF88" s="53" t="n">
        <f aca="false">IF($A88="","",ROUND(J88,2))</f>
        <v>12576.1</v>
      </c>
    </row>
    <row r="89" customFormat="false" ht="15" hidden="false" customHeight="false" outlineLevel="0" collapsed="false">
      <c r="A89" s="44" t="str">
        <f aca="false">IF(Weekly_Demand!A89="","",Weekly_Demand!A89)</f>
        <v>21212</v>
      </c>
      <c r="B89" s="44" t="str">
        <f aca="false">IF($A89="","",Weekly_Demand!C89)</f>
        <v>Kitchen</v>
      </c>
      <c r="C89" s="45" t="n">
        <f aca="false">IF($A89="","",Weekly_Demand!D89)</f>
        <v>0.33</v>
      </c>
      <c r="D89" s="46" t="n">
        <f aca="false">IF($A89="","",Weekly_Demand!E89+Assumptions!$B$19)</f>
        <v>2</v>
      </c>
      <c r="E89" s="46" t="n">
        <f aca="false">IF($A89="","",Weekly_Demand!F89)</f>
        <v>29766</v>
      </c>
      <c r="F89" s="46" t="n">
        <f aca="false">IF($A89="","",SUM(Weekly_Demand!G89:BF89))</f>
        <v>35178</v>
      </c>
      <c r="G89" s="51" t="n">
        <f aca="false">IF($A89="","",IFERROR(F89/Assumptions!$B$6,0))</f>
        <v>676.5</v>
      </c>
      <c r="H89" s="51" t="n">
        <f aca="false">IF($A89="","",STDEV(Weekly_Demand!G89:BF89))</f>
        <v>400.612888303047</v>
      </c>
      <c r="I89" s="52" t="n">
        <f aca="false">IF($A89="","",IFERROR(H89/G89,0))</f>
        <v>0.592184609464963</v>
      </c>
      <c r="J89" s="53" t="n">
        <f aca="false">IF($A89="","",F89*C89)</f>
        <v>11608.74</v>
      </c>
      <c r="K89" s="54" t="n">
        <f aca="false">IF($A89="","",IFERROR(J89/$J$505,0))</f>
        <v>0.00300378894350094</v>
      </c>
      <c r="L89" s="54" t="n">
        <f aca="false">IF($A89="","",IFERROR(SUMIFS($J$5:$J$504,$AB$5:$AB$504,"&lt;="&amp;AB89)/$J$505,0))</f>
        <v>0.440963954636696</v>
      </c>
      <c r="M89" s="55" t="str">
        <f aca="false">IF($A89="","",IF(L89&lt;=Assumptions!$B$7,"A",IF(L89&lt;=Assumptions!$B$8,"B","C")))</f>
        <v>A</v>
      </c>
      <c r="N89" s="55" t="str">
        <f aca="false">IF($A89="","",IF(I89&lt;=Assumptions!$B$9,"X",IF(I89&lt;=Assumptions!$B$10,"Y","Z")))</f>
        <v>Y</v>
      </c>
      <c r="O89" s="56" t="str">
        <f aca="false">IF($A89="","",M89&amp;N89)</f>
        <v>AY</v>
      </c>
      <c r="P89" s="57" t="n">
        <f aca="false">IF($A89="","",INDEX(Assumptions!$B$35:$B$37,MATCH(M89,Assumptions!$A$35:$A$37,0)))</f>
        <v>0.98</v>
      </c>
      <c r="Q89" s="58" t="n">
        <f aca="false">IF($A89="","",NORMSINV(P89))</f>
        <v>2.05374891063182</v>
      </c>
      <c r="R89" s="48" t="n">
        <f aca="false">IF($A89="","",ROUNDUP(Q89*H89*SQRT(D89),0))</f>
        <v>1164</v>
      </c>
      <c r="S89" s="48" t="n">
        <f aca="false">IF($A89="","",ROUNDUP(G89*D89+R89,0))</f>
        <v>2517</v>
      </c>
      <c r="T89" s="46" t="n">
        <f aca="false">IF($A89="","",IFERROR(ROUND(SQRT(2*F89*Assumptions!$B$4/(Assumptions!$B$5*C89)),0),0))</f>
        <v>6530</v>
      </c>
      <c r="U89" s="53" t="n">
        <f aca="false">IF($A89="","",R89*C89)</f>
        <v>384.12</v>
      </c>
      <c r="V89" s="53" t="n">
        <f aca="false">IF($A89="","",E89*C89)</f>
        <v>9822.78</v>
      </c>
      <c r="W89" s="59" t="n">
        <f aca="false">IF($A89="","",IFERROR(E89/G89,0))</f>
        <v>44</v>
      </c>
      <c r="X89" s="48" t="n">
        <f aca="false">IF($A89="","",S89+T89)</f>
        <v>9047</v>
      </c>
      <c r="Y89" s="48" t="n">
        <f aca="false">IF($A89="","",MAX(0,E89-X89))</f>
        <v>20719</v>
      </c>
      <c r="Z89" s="53" t="n">
        <f aca="false">IF($A89="","",Y89*C89)</f>
        <v>6837.27</v>
      </c>
      <c r="AA89" s="56" t="str">
        <f aca="false">IF($A89="","",IF(E89&lt;=R89,"Below Safety Stock",IF(E89&lt;=S89,"Reorder Now",IF(E89&gt;X89,"Excess","Healthy"))))</f>
        <v>Excess</v>
      </c>
      <c r="AB89" s="48" t="n">
        <f aca="false">IF($A89="","",RANK(AF89,$AF$5:$AF$504,0)+COUNTIF($AF$5:AF89,AF89)-1)</f>
        <v>91</v>
      </c>
      <c r="AC89" s="44" t="str">
        <f aca="false">IF($A89="","",Weekly_Demand!B89)</f>
        <v>PACK OF 72 RETROSPOT CAKE CASES</v>
      </c>
      <c r="AD89" s="59" t="n">
        <f aca="false">IF($A89="","",H89*SQRT(D89))</f>
        <v>566.552179899627</v>
      </c>
      <c r="AE89" s="53" t="n">
        <f aca="false">IF($A89="","",AD89*C89)</f>
        <v>186.962219366877</v>
      </c>
      <c r="AF89" s="53" t="n">
        <f aca="false">IF($A89="","",ROUND(J89,2))</f>
        <v>11608.74</v>
      </c>
    </row>
    <row r="90" customFormat="false" ht="15" hidden="false" customHeight="false" outlineLevel="0" collapsed="false">
      <c r="A90" s="44" t="str">
        <f aca="false">IF(Weekly_Demand!A90="","",Weekly_Demand!A90)</f>
        <v>21843</v>
      </c>
      <c r="B90" s="44" t="str">
        <f aca="false">IF($A90="","",Weekly_Demand!C90)</f>
        <v>Kitchen</v>
      </c>
      <c r="C90" s="45" t="n">
        <f aca="false">IF($A90="","",Weekly_Demand!D90)</f>
        <v>6.57</v>
      </c>
      <c r="D90" s="46" t="n">
        <f aca="false">IF($A90="","",Weekly_Demand!E90+Assumptions!$B$19)</f>
        <v>8</v>
      </c>
      <c r="E90" s="46" t="n">
        <f aca="false">IF($A90="","",Weekly_Demand!F90)</f>
        <v>295</v>
      </c>
      <c r="F90" s="46" t="n">
        <f aca="false">IF($A90="","",SUM(Weekly_Demand!G90:BF90))</f>
        <v>1917</v>
      </c>
      <c r="G90" s="51" t="n">
        <f aca="false">IF($A90="","",IFERROR(F90/Assumptions!$B$6,0))</f>
        <v>36.8653846153846</v>
      </c>
      <c r="H90" s="51" t="n">
        <f aca="false">IF($A90="","",STDEV(Weekly_Demand!G90:BF90))</f>
        <v>41.6342754942079</v>
      </c>
      <c r="I90" s="52" t="n">
        <f aca="false">IF($A90="","",IFERROR(H90/G90,0))</f>
        <v>1.12935958565405</v>
      </c>
      <c r="J90" s="53" t="n">
        <f aca="false">IF($A90="","",F90*C90)</f>
        <v>12594.69</v>
      </c>
      <c r="K90" s="54" t="n">
        <f aca="false">IF($A90="","",IFERROR(J90/$J$505,0))</f>
        <v>0.00325890583894737</v>
      </c>
      <c r="L90" s="54" t="n">
        <f aca="false">IF($A90="","",IFERROR(SUMIFS($J$5:$J$504,$AB$5:$AB$504,"&lt;="&amp;AB90)/$J$505,0))</f>
        <v>0.388104480659526</v>
      </c>
      <c r="M90" s="55" t="str">
        <f aca="false">IF($A90="","",IF(L90&lt;=Assumptions!$B$7,"A",IF(L90&lt;=Assumptions!$B$8,"B","C")))</f>
        <v>A</v>
      </c>
      <c r="N90" s="55" t="str">
        <f aca="false">IF($A90="","",IF(I90&lt;=Assumptions!$B$9,"X",IF(I90&lt;=Assumptions!$B$10,"Y","Z")))</f>
        <v>Z</v>
      </c>
      <c r="O90" s="56" t="str">
        <f aca="false">IF($A90="","",M90&amp;N90)</f>
        <v>AZ</v>
      </c>
      <c r="P90" s="57" t="n">
        <f aca="false">IF($A90="","",INDEX(Assumptions!$B$35:$B$37,MATCH(M90,Assumptions!$A$35:$A$37,0)))</f>
        <v>0.98</v>
      </c>
      <c r="Q90" s="58" t="n">
        <f aca="false">IF($A90="","",NORMSINV(P90))</f>
        <v>2.05374891063182</v>
      </c>
      <c r="R90" s="48" t="n">
        <f aca="false">IF($A90="","",ROUNDUP(Q90*H90*SQRT(D90),0))</f>
        <v>242</v>
      </c>
      <c r="S90" s="48" t="n">
        <f aca="false">IF($A90="","",ROUNDUP(G90*D90+R90,0))</f>
        <v>537</v>
      </c>
      <c r="T90" s="46" t="n">
        <f aca="false">IF($A90="","",IFERROR(ROUND(SQRT(2*F90*Assumptions!$B$4/(Assumptions!$B$5*C90)),0),0))</f>
        <v>342</v>
      </c>
      <c r="U90" s="53" t="n">
        <f aca="false">IF($A90="","",R90*C90)</f>
        <v>1589.94</v>
      </c>
      <c r="V90" s="53" t="n">
        <f aca="false">IF($A90="","",E90*C90)</f>
        <v>1938.15</v>
      </c>
      <c r="W90" s="59" t="n">
        <f aca="false">IF($A90="","",IFERROR(E90/G90,0))</f>
        <v>8.00208659363589</v>
      </c>
      <c r="X90" s="48" t="n">
        <f aca="false">IF($A90="","",S90+T90)</f>
        <v>879</v>
      </c>
      <c r="Y90" s="48" t="n">
        <f aca="false">IF($A90="","",MAX(0,E90-X90))</f>
        <v>0</v>
      </c>
      <c r="Z90" s="53" t="n">
        <f aca="false">IF($A90="","",Y90*C90)</f>
        <v>0</v>
      </c>
      <c r="AA90" s="56" t="str">
        <f aca="false">IF($A90="","",IF(E90&lt;=R90,"Below Safety Stock",IF(E90&lt;=S90,"Reorder Now",IF(E90&gt;X90,"Excess","Healthy"))))</f>
        <v>Reorder Now</v>
      </c>
      <c r="AB90" s="48" t="n">
        <f aca="false">IF($A90="","",RANK(AF90,$AF$5:$AF$504,0)+COUNTIF($AF$5:AF90,AF90)-1)</f>
        <v>74</v>
      </c>
      <c r="AC90" s="44" t="str">
        <f aca="false">IF($A90="","",Weekly_Demand!B90)</f>
        <v>RED RETROSPOT CAKE STAND</v>
      </c>
      <c r="AD90" s="59" t="n">
        <f aca="false">IF($A90="","",H90*SQRT(D90))</f>
        <v>117.759514126973</v>
      </c>
      <c r="AE90" s="53" t="n">
        <f aca="false">IF($A90="","",AD90*C90)</f>
        <v>773.680007814214</v>
      </c>
      <c r="AF90" s="53" t="n">
        <f aca="false">IF($A90="","",ROUND(J90,2))</f>
        <v>12594.69</v>
      </c>
    </row>
    <row r="91" customFormat="false" ht="15" hidden="false" customHeight="false" outlineLevel="0" collapsed="false">
      <c r="A91" s="44" t="str">
        <f aca="false">IF(Weekly_Demand!A91="","",Weekly_Demand!A91)</f>
        <v>21166</v>
      </c>
      <c r="B91" s="44" t="str">
        <f aca="false">IF($A91="","",Weekly_Demand!C91)</f>
        <v>Other</v>
      </c>
      <c r="C91" s="45" t="n">
        <f aca="false">IF($A91="","",Weekly_Demand!D91)</f>
        <v>1.248</v>
      </c>
      <c r="D91" s="46" t="n">
        <f aca="false">IF($A91="","",Weekly_Demand!E91+Assumptions!$B$19)</f>
        <v>6</v>
      </c>
      <c r="E91" s="46" t="n">
        <f aca="false">IF($A91="","",Weekly_Demand!F91)</f>
        <v>7978</v>
      </c>
      <c r="F91" s="46" t="n">
        <f aca="false">IF($A91="","",SUM(Weekly_Demand!G91:BF91))</f>
        <v>9877</v>
      </c>
      <c r="G91" s="51" t="n">
        <f aca="false">IF($A91="","",IFERROR(F91/Assumptions!$B$6,0))</f>
        <v>189.942307692308</v>
      </c>
      <c r="H91" s="51" t="n">
        <f aca="false">IF($A91="","",STDEV(Weekly_Demand!G91:BF91))</f>
        <v>205.682452134689</v>
      </c>
      <c r="I91" s="52" t="n">
        <f aca="false">IF($A91="","",IFERROR(H91/G91,0))</f>
        <v>1.08286802784285</v>
      </c>
      <c r="J91" s="53" t="n">
        <f aca="false">IF($A91="","",F91*C91)</f>
        <v>12326.496</v>
      </c>
      <c r="K91" s="54" t="n">
        <f aca="false">IF($A91="","",IFERROR(J91/$J$505,0))</f>
        <v>0.00318951000684903</v>
      </c>
      <c r="L91" s="54" t="n">
        <f aca="false">IF($A91="","",IFERROR(SUMIFS($J$5:$J$504,$AB$5:$AB$504,"&lt;="&amp;AB91)/$J$505,0))</f>
        <v>0.397765771850838</v>
      </c>
      <c r="M91" s="55" t="str">
        <f aca="false">IF($A91="","",IF(L91&lt;=Assumptions!$B$7,"A",IF(L91&lt;=Assumptions!$B$8,"B","C")))</f>
        <v>A</v>
      </c>
      <c r="N91" s="55" t="str">
        <f aca="false">IF($A91="","",IF(I91&lt;=Assumptions!$B$9,"X",IF(I91&lt;=Assumptions!$B$10,"Y","Z")))</f>
        <v>Z</v>
      </c>
      <c r="O91" s="56" t="str">
        <f aca="false">IF($A91="","",M91&amp;N91)</f>
        <v>AZ</v>
      </c>
      <c r="P91" s="57" t="n">
        <f aca="false">IF($A91="","",INDEX(Assumptions!$B$35:$B$37,MATCH(M91,Assumptions!$A$35:$A$37,0)))</f>
        <v>0.98</v>
      </c>
      <c r="Q91" s="58" t="n">
        <f aca="false">IF($A91="","",NORMSINV(P91))</f>
        <v>2.05374891063182</v>
      </c>
      <c r="R91" s="48" t="n">
        <f aca="false">IF($A91="","",ROUNDUP(Q91*H91*SQRT(D91),0))</f>
        <v>1035</v>
      </c>
      <c r="S91" s="48" t="n">
        <f aca="false">IF($A91="","",ROUNDUP(G91*D91+R91,0))</f>
        <v>2175</v>
      </c>
      <c r="T91" s="46" t="n">
        <f aca="false">IF($A91="","",IFERROR(ROUND(SQRT(2*F91*Assumptions!$B$4/(Assumptions!$B$5*C91)),0),0))</f>
        <v>1779</v>
      </c>
      <c r="U91" s="53" t="n">
        <f aca="false">IF($A91="","",R91*C91)</f>
        <v>1291.68</v>
      </c>
      <c r="V91" s="53" t="n">
        <f aca="false">IF($A91="","",E91*C91)</f>
        <v>9956.544</v>
      </c>
      <c r="W91" s="59" t="n">
        <f aca="false">IF($A91="","",IFERROR(E91/G91,0))</f>
        <v>42.0022273969829</v>
      </c>
      <c r="X91" s="48" t="n">
        <f aca="false">IF($A91="","",S91+T91)</f>
        <v>3954</v>
      </c>
      <c r="Y91" s="48" t="n">
        <f aca="false">IF($A91="","",MAX(0,E91-X91))</f>
        <v>4024</v>
      </c>
      <c r="Z91" s="53" t="n">
        <f aca="false">IF($A91="","",Y91*C91)</f>
        <v>5021.952</v>
      </c>
      <c r="AA91" s="56" t="str">
        <f aca="false">IF($A91="","",IF(E91&lt;=R91,"Below Safety Stock",IF(E91&lt;=S91,"Reorder Now",IF(E91&gt;X91,"Excess","Healthy"))))</f>
        <v>Excess</v>
      </c>
      <c r="AB91" s="48" t="n">
        <f aca="false">IF($A91="","",RANK(AF91,$AF$5:$AF$504,0)+COUNTIF($AF$5:AF91,AF91)-1)</f>
        <v>77</v>
      </c>
      <c r="AC91" s="44" t="str">
        <f aca="false">IF($A91="","",Weekly_Demand!B91)</f>
        <v>COOK WITH WINE METAL SIGN</v>
      </c>
      <c r="AD91" s="59" t="n">
        <f aca="false">IF($A91="","",H91*SQRT(D91))</f>
        <v>503.817056774413</v>
      </c>
      <c r="AE91" s="53" t="n">
        <f aca="false">IF($A91="","",AD91*C91)</f>
        <v>628.763686854468</v>
      </c>
      <c r="AF91" s="53" t="n">
        <f aca="false">IF($A91="","",ROUND(J91,2))</f>
        <v>12326.5</v>
      </c>
    </row>
    <row r="92" customFormat="false" ht="15" hidden="false" customHeight="false" outlineLevel="0" collapsed="false">
      <c r="A92" s="44" t="str">
        <f aca="false">IF(Weekly_Demand!A92="","",Weekly_Demand!A92)</f>
        <v>22659</v>
      </c>
      <c r="B92" s="44" t="str">
        <f aca="false">IF($A92="","",Weekly_Demand!C92)</f>
        <v>Other</v>
      </c>
      <c r="C92" s="45" t="n">
        <f aca="false">IF($A92="","",Weekly_Demand!D92)</f>
        <v>1.17</v>
      </c>
      <c r="D92" s="46" t="n">
        <f aca="false">IF($A92="","",Weekly_Demand!E92+Assumptions!$B$19)</f>
        <v>8</v>
      </c>
      <c r="E92" s="46" t="n">
        <f aca="false">IF($A92="","",Weekly_Demand!F92)</f>
        <v>2332</v>
      </c>
      <c r="F92" s="46" t="n">
        <f aca="false">IF($A92="","",SUM(Weekly_Demand!G92:BF92))</f>
        <v>11025</v>
      </c>
      <c r="G92" s="51" t="n">
        <f aca="false">IF($A92="","",IFERROR(F92/Assumptions!$B$6,0))</f>
        <v>212.019230769231</v>
      </c>
      <c r="H92" s="51" t="n">
        <f aca="false">IF($A92="","",STDEV(Weekly_Demand!G92:BF92))</f>
        <v>196.677150639596</v>
      </c>
      <c r="I92" s="52" t="n">
        <f aca="false">IF($A92="","",IFERROR(H92/G92,0))</f>
        <v>0.927638261520091</v>
      </c>
      <c r="J92" s="53" t="n">
        <f aca="false">IF($A92="","",F92*C92)</f>
        <v>12899.25</v>
      </c>
      <c r="K92" s="54" t="n">
        <f aca="false">IF($A92="","",IFERROR(J92/$J$505,0))</f>
        <v>0.00333771145959462</v>
      </c>
      <c r="L92" s="54" t="n">
        <f aca="false">IF($A92="","",IFERROR(SUMIFS($J$5:$J$504,$AB$5:$AB$504,"&lt;="&amp;AB92)/$J$505,0))</f>
        <v>0.37169892341198</v>
      </c>
      <c r="M92" s="55" t="str">
        <f aca="false">IF($A92="","",IF(L92&lt;=Assumptions!$B$7,"A",IF(L92&lt;=Assumptions!$B$8,"B","C")))</f>
        <v>A</v>
      </c>
      <c r="N92" s="55" t="str">
        <f aca="false">IF($A92="","",IF(I92&lt;=Assumptions!$B$9,"X",IF(I92&lt;=Assumptions!$B$10,"Y","Z")))</f>
        <v>Y</v>
      </c>
      <c r="O92" s="56" t="str">
        <f aca="false">IF($A92="","",M92&amp;N92)</f>
        <v>AY</v>
      </c>
      <c r="P92" s="57" t="n">
        <f aca="false">IF($A92="","",INDEX(Assumptions!$B$35:$B$37,MATCH(M92,Assumptions!$A$35:$A$37,0)))</f>
        <v>0.98</v>
      </c>
      <c r="Q92" s="58" t="n">
        <f aca="false">IF($A92="","",NORMSINV(P92))</f>
        <v>2.05374891063182</v>
      </c>
      <c r="R92" s="48" t="n">
        <f aca="false">IF($A92="","",ROUNDUP(Q92*H92*SQRT(D92),0))</f>
        <v>1143</v>
      </c>
      <c r="S92" s="48" t="n">
        <f aca="false">IF($A92="","",ROUNDUP(G92*D92+R92,0))</f>
        <v>2840</v>
      </c>
      <c r="T92" s="46" t="n">
        <f aca="false">IF($A92="","",IFERROR(ROUND(SQRT(2*F92*Assumptions!$B$4/(Assumptions!$B$5*C92)),0),0))</f>
        <v>1941</v>
      </c>
      <c r="U92" s="53" t="n">
        <f aca="false">IF($A92="","",R92*C92)</f>
        <v>1337.31</v>
      </c>
      <c r="V92" s="53" t="n">
        <f aca="false">IF($A92="","",E92*C92)</f>
        <v>2728.44</v>
      </c>
      <c r="W92" s="59" t="n">
        <f aca="false">IF($A92="","",IFERROR(E92/G92,0))</f>
        <v>10.9990022675737</v>
      </c>
      <c r="X92" s="48" t="n">
        <f aca="false">IF($A92="","",S92+T92)</f>
        <v>4781</v>
      </c>
      <c r="Y92" s="48" t="n">
        <f aca="false">IF($A92="","",MAX(0,E92-X92))</f>
        <v>0</v>
      </c>
      <c r="Z92" s="53" t="n">
        <f aca="false">IF($A92="","",Y92*C92)</f>
        <v>0</v>
      </c>
      <c r="AA92" s="56" t="str">
        <f aca="false">IF($A92="","",IF(E92&lt;=R92,"Below Safety Stock",IF(E92&lt;=S92,"Reorder Now",IF(E92&gt;X92,"Excess","Healthy"))))</f>
        <v>Reorder Now</v>
      </c>
      <c r="AB92" s="48" t="n">
        <f aca="false">IF($A92="","",RANK(AF92,$AF$5:$AF$504,0)+COUNTIF($AF$5:AF92,AF92)-1)</f>
        <v>69</v>
      </c>
      <c r="AC92" s="44" t="str">
        <f aca="false">IF($A92="","",Weekly_Demand!B92)</f>
        <v>LUNCH BOX I LOVE LONDON</v>
      </c>
      <c r="AD92" s="59" t="n">
        <f aca="false">IF($A92="","",H92*SQRT(D92))</f>
        <v>556.286987686826</v>
      </c>
      <c r="AE92" s="53" t="n">
        <f aca="false">IF($A92="","",AD92*C92)</f>
        <v>650.855775593587</v>
      </c>
      <c r="AF92" s="53" t="n">
        <f aca="false">IF($A92="","",ROUND(J92,2))</f>
        <v>12899.25</v>
      </c>
    </row>
    <row r="93" customFormat="false" ht="15" hidden="false" customHeight="false" outlineLevel="0" collapsed="false">
      <c r="A93" s="44" t="str">
        <f aca="false">IF(Weekly_Demand!A93="","",Weekly_Demand!A93)</f>
        <v>22728</v>
      </c>
      <c r="B93" s="44" t="str">
        <f aca="false">IF($A93="","",Weekly_Demand!C93)</f>
        <v>Other</v>
      </c>
      <c r="C93" s="45" t="n">
        <f aca="false">IF($A93="","",Weekly_Demand!D93)</f>
        <v>2.25</v>
      </c>
      <c r="D93" s="46" t="n">
        <f aca="false">IF($A93="","",Weekly_Demand!E93+Assumptions!$B$19)</f>
        <v>2</v>
      </c>
      <c r="E93" s="46" t="n">
        <f aca="false">IF($A93="","",Weekly_Demand!F93)</f>
        <v>3547</v>
      </c>
      <c r="F93" s="46" t="n">
        <f aca="false">IF($A93="","",SUM(Weekly_Demand!G93:BF93))</f>
        <v>5123</v>
      </c>
      <c r="G93" s="51" t="n">
        <f aca="false">IF($A93="","",IFERROR(F93/Assumptions!$B$6,0))</f>
        <v>98.5192307692308</v>
      </c>
      <c r="H93" s="51" t="n">
        <f aca="false">IF($A93="","",STDEV(Weekly_Demand!G93:BF93))</f>
        <v>120.362278369507</v>
      </c>
      <c r="I93" s="52" t="n">
        <f aca="false">IF($A93="","",IFERROR(H93/G93,0))</f>
        <v>1.22171354191184</v>
      </c>
      <c r="J93" s="53" t="n">
        <f aca="false">IF($A93="","",F93*C93)</f>
        <v>11526.75</v>
      </c>
      <c r="K93" s="54" t="n">
        <f aca="false">IF($A93="","",IFERROR(J93/$J$505,0))</f>
        <v>0.00298257383699691</v>
      </c>
      <c r="L93" s="54" t="n">
        <f aca="false">IF($A93="","",IFERROR(SUMIFS($J$5:$J$504,$AB$5:$AB$504,"&lt;="&amp;AB93)/$J$505,0))</f>
        <v>0.443946528473693</v>
      </c>
      <c r="M93" s="55" t="str">
        <f aca="false">IF($A93="","",IF(L93&lt;=Assumptions!$B$7,"A",IF(L93&lt;=Assumptions!$B$8,"B","C")))</f>
        <v>A</v>
      </c>
      <c r="N93" s="55" t="str">
        <f aca="false">IF($A93="","",IF(I93&lt;=Assumptions!$B$9,"X",IF(I93&lt;=Assumptions!$B$10,"Y","Z")))</f>
        <v>Z</v>
      </c>
      <c r="O93" s="56" t="str">
        <f aca="false">IF($A93="","",M93&amp;N93)</f>
        <v>AZ</v>
      </c>
      <c r="P93" s="57" t="n">
        <f aca="false">IF($A93="","",INDEX(Assumptions!$B$35:$B$37,MATCH(M93,Assumptions!$A$35:$A$37,0)))</f>
        <v>0.98</v>
      </c>
      <c r="Q93" s="58" t="n">
        <f aca="false">IF($A93="","",NORMSINV(P93))</f>
        <v>2.05374891063182</v>
      </c>
      <c r="R93" s="48" t="n">
        <f aca="false">IF($A93="","",ROUNDUP(Q93*H93*SQRT(D93),0))</f>
        <v>350</v>
      </c>
      <c r="S93" s="48" t="n">
        <f aca="false">IF($A93="","",ROUNDUP(G93*D93+R93,0))</f>
        <v>548</v>
      </c>
      <c r="T93" s="46" t="n">
        <f aca="false">IF($A93="","",IFERROR(ROUND(SQRT(2*F93*Assumptions!$B$4/(Assumptions!$B$5*C93)),0),0))</f>
        <v>954</v>
      </c>
      <c r="U93" s="53" t="n">
        <f aca="false">IF($A93="","",R93*C93)</f>
        <v>787.5</v>
      </c>
      <c r="V93" s="53" t="n">
        <f aca="false">IF($A93="","",E93*C93)</f>
        <v>7980.75</v>
      </c>
      <c r="W93" s="59" t="n">
        <f aca="false">IF($A93="","",IFERROR(E93/G93,0))</f>
        <v>36.0031231700176</v>
      </c>
      <c r="X93" s="48" t="n">
        <f aca="false">IF($A93="","",S93+T93)</f>
        <v>1502</v>
      </c>
      <c r="Y93" s="48" t="n">
        <f aca="false">IF($A93="","",MAX(0,E93-X93))</f>
        <v>2045</v>
      </c>
      <c r="Z93" s="53" t="n">
        <f aca="false">IF($A93="","",Y93*C93)</f>
        <v>4601.25</v>
      </c>
      <c r="AA93" s="56" t="str">
        <f aca="false">IF($A93="","",IF(E93&lt;=R93,"Below Safety Stock",IF(E93&lt;=S93,"Reorder Now",IF(E93&gt;X93,"Excess","Healthy"))))</f>
        <v>Excess</v>
      </c>
      <c r="AB93" s="48" t="n">
        <f aca="false">IF($A93="","",RANK(AF93,$AF$5:$AF$504,0)+COUNTIF($AF$5:AF93,AF93)-1)</f>
        <v>92</v>
      </c>
      <c r="AC93" s="44" t="str">
        <f aca="false">IF($A93="","",Weekly_Demand!B93)</f>
        <v>ALARM CLOCK BAKELIKE PINK</v>
      </c>
      <c r="AD93" s="59" t="n">
        <f aca="false">IF($A93="","",H93*SQRT(D93))</f>
        <v>170.217966468282</v>
      </c>
      <c r="AE93" s="53" t="n">
        <f aca="false">IF($A93="","",AD93*C93)</f>
        <v>382.990424553635</v>
      </c>
      <c r="AF93" s="53" t="n">
        <f aca="false">IF($A93="","",ROUND(J93,2))</f>
        <v>11526.75</v>
      </c>
    </row>
    <row r="94" customFormat="false" ht="15" hidden="false" customHeight="false" outlineLevel="0" collapsed="false">
      <c r="A94" s="44" t="str">
        <f aca="false">IF(Weekly_Demand!A94="","",Weekly_Demand!A94)</f>
        <v>22501</v>
      </c>
      <c r="B94" s="44" t="str">
        <f aca="false">IF($A94="","",Weekly_Demand!C94)</f>
        <v>Other</v>
      </c>
      <c r="C94" s="45" t="n">
        <f aca="false">IF($A94="","",Weekly_Demand!D94)</f>
        <v>5.97</v>
      </c>
      <c r="D94" s="46" t="n">
        <f aca="false">IF($A94="","",Weekly_Demand!E94+Assumptions!$B$19)</f>
        <v>4</v>
      </c>
      <c r="E94" s="46" t="n">
        <f aca="false">IF($A94="","",Weekly_Demand!F94)</f>
        <v>1135</v>
      </c>
      <c r="F94" s="46" t="n">
        <f aca="false">IF($A94="","",SUM(Weekly_Demand!G94:BF94))</f>
        <v>1595</v>
      </c>
      <c r="G94" s="51" t="n">
        <f aca="false">IF($A94="","",IFERROR(F94/Assumptions!$B$6,0))</f>
        <v>30.6730769230769</v>
      </c>
      <c r="H94" s="51" t="n">
        <f aca="false">IF($A94="","",STDEV(Weekly_Demand!G94:BF94))</f>
        <v>49.6816221017454</v>
      </c>
      <c r="I94" s="52" t="n">
        <f aca="false">IF($A94="","",IFERROR(H94/G94,0))</f>
        <v>1.61971432557414</v>
      </c>
      <c r="J94" s="53" t="n">
        <f aca="false">IF($A94="","",F94*C94)</f>
        <v>9522.15</v>
      </c>
      <c r="K94" s="54" t="n">
        <f aca="false">IF($A94="","",IFERROR(J94/$J$505,0))</f>
        <v>0.00246387884372959</v>
      </c>
      <c r="L94" s="54" t="n">
        <f aca="false">IF($A94="","",IFERROR(SUMIFS($J$5:$J$504,$AB$5:$AB$504,"&lt;="&amp;AB94)/$J$505,0))</f>
        <v>0.507088547723308</v>
      </c>
      <c r="M94" s="55" t="str">
        <f aca="false">IF($A94="","",IF(L94&lt;=Assumptions!$B$7,"A",IF(L94&lt;=Assumptions!$B$8,"B","C")))</f>
        <v>A</v>
      </c>
      <c r="N94" s="55" t="str">
        <f aca="false">IF($A94="","",IF(I94&lt;=Assumptions!$B$9,"X",IF(I94&lt;=Assumptions!$B$10,"Y","Z")))</f>
        <v>Z</v>
      </c>
      <c r="O94" s="56" t="str">
        <f aca="false">IF($A94="","",M94&amp;N94)</f>
        <v>AZ</v>
      </c>
      <c r="P94" s="57" t="n">
        <f aca="false">IF($A94="","",INDEX(Assumptions!$B$35:$B$37,MATCH(M94,Assumptions!$A$35:$A$37,0)))</f>
        <v>0.98</v>
      </c>
      <c r="Q94" s="58" t="n">
        <f aca="false">IF($A94="","",NORMSINV(P94))</f>
        <v>2.05374891063182</v>
      </c>
      <c r="R94" s="48" t="n">
        <f aca="false">IF($A94="","",ROUNDUP(Q94*H94*SQRT(D94),0))</f>
        <v>205</v>
      </c>
      <c r="S94" s="48" t="n">
        <f aca="false">IF($A94="","",ROUNDUP(G94*D94+R94,0))</f>
        <v>328</v>
      </c>
      <c r="T94" s="46" t="n">
        <f aca="false">IF($A94="","",IFERROR(ROUND(SQRT(2*F94*Assumptions!$B$4/(Assumptions!$B$5*C94)),0),0))</f>
        <v>327</v>
      </c>
      <c r="U94" s="53" t="n">
        <f aca="false">IF($A94="","",R94*C94)</f>
        <v>1223.85</v>
      </c>
      <c r="V94" s="53" t="n">
        <f aca="false">IF($A94="","",E94*C94)</f>
        <v>6775.95</v>
      </c>
      <c r="W94" s="59" t="n">
        <f aca="false">IF($A94="","",IFERROR(E94/G94,0))</f>
        <v>37.0031347962382</v>
      </c>
      <c r="X94" s="48" t="n">
        <f aca="false">IF($A94="","",S94+T94)</f>
        <v>655</v>
      </c>
      <c r="Y94" s="48" t="n">
        <f aca="false">IF($A94="","",MAX(0,E94-X94))</f>
        <v>480</v>
      </c>
      <c r="Z94" s="53" t="n">
        <f aca="false">IF($A94="","",Y94*C94)</f>
        <v>2865.6</v>
      </c>
      <c r="AA94" s="56" t="str">
        <f aca="false">IF($A94="","",IF(E94&lt;=R94,"Below Safety Stock",IF(E94&lt;=S94,"Reorder Now",IF(E94&gt;X94,"Excess","Healthy"))))</f>
        <v>Excess</v>
      </c>
      <c r="AB94" s="48" t="n">
        <f aca="false">IF($A94="","",RANK(AF94,$AF$5:$AF$504,0)+COUNTIF($AF$5:AF94,AF94)-1)</f>
        <v>116</v>
      </c>
      <c r="AC94" s="44" t="str">
        <f aca="false">IF($A94="","",Weekly_Demand!B94)</f>
        <v>PICNIC BASKET WICKER LARGE</v>
      </c>
      <c r="AD94" s="59" t="n">
        <f aca="false">IF($A94="","",H94*SQRT(D94))</f>
        <v>99.3632442034907</v>
      </c>
      <c r="AE94" s="53" t="n">
        <f aca="false">IF($A94="","",AD94*C94)</f>
        <v>593.19856789484</v>
      </c>
      <c r="AF94" s="53" t="n">
        <f aca="false">IF($A94="","",ROUND(J94,2))</f>
        <v>9522.15</v>
      </c>
    </row>
    <row r="95" customFormat="false" ht="15" hidden="false" customHeight="false" outlineLevel="0" collapsed="false">
      <c r="A95" s="44" t="str">
        <f aca="false">IF(Weekly_Demand!A95="","",Weekly_Demand!A95)</f>
        <v>84997B</v>
      </c>
      <c r="B95" s="44" t="str">
        <f aca="false">IF($A95="","",Weekly_Demand!C95)</f>
        <v>Other</v>
      </c>
      <c r="C95" s="45" t="n">
        <f aca="false">IF($A95="","",Weekly_Demand!D95)</f>
        <v>2.49</v>
      </c>
      <c r="D95" s="46" t="n">
        <f aca="false">IF($A95="","",Weekly_Demand!E95+Assumptions!$B$19)</f>
        <v>4</v>
      </c>
      <c r="E95" s="46" t="n">
        <f aca="false">IF($A95="","",Weekly_Demand!F95)</f>
        <v>516</v>
      </c>
      <c r="F95" s="46" t="n">
        <f aca="false">IF($A95="","",SUM(Weekly_Demand!G95:BF95))</f>
        <v>4473</v>
      </c>
      <c r="G95" s="51" t="n">
        <f aca="false">IF($A95="","",IFERROR(F95/Assumptions!$B$6,0))</f>
        <v>86.0192307692308</v>
      </c>
      <c r="H95" s="51" t="n">
        <f aca="false">IF($A95="","",STDEV(Weekly_Demand!G95:BF95))</f>
        <v>89.2642014591616</v>
      </c>
      <c r="I95" s="52" t="n">
        <f aca="false">IF($A95="","",IFERROR(H95/G95,0))</f>
        <v>1.03772378177429</v>
      </c>
      <c r="J95" s="53" t="n">
        <f aca="false">IF($A95="","",F95*C95)</f>
        <v>11137.77</v>
      </c>
      <c r="K95" s="54" t="n">
        <f aca="false">IF($A95="","",IFERROR(J95/$J$505,0))</f>
        <v>0.00288192434159577</v>
      </c>
      <c r="L95" s="54" t="n">
        <f aca="false">IF($A95="","",IFERROR(SUMIFS($J$5:$J$504,$AB$5:$AB$504,"&lt;="&amp;AB95)/$J$505,0))</f>
        <v>0.44978869373556</v>
      </c>
      <c r="M95" s="55" t="str">
        <f aca="false">IF($A95="","",IF(L95&lt;=Assumptions!$B$7,"A",IF(L95&lt;=Assumptions!$B$8,"B","C")))</f>
        <v>A</v>
      </c>
      <c r="N95" s="55" t="str">
        <f aca="false">IF($A95="","",IF(I95&lt;=Assumptions!$B$9,"X",IF(I95&lt;=Assumptions!$B$10,"Y","Z")))</f>
        <v>Z</v>
      </c>
      <c r="O95" s="56" t="str">
        <f aca="false">IF($A95="","",M95&amp;N95)</f>
        <v>AZ</v>
      </c>
      <c r="P95" s="57" t="n">
        <f aca="false">IF($A95="","",INDEX(Assumptions!$B$35:$B$37,MATCH(M95,Assumptions!$A$35:$A$37,0)))</f>
        <v>0.98</v>
      </c>
      <c r="Q95" s="58" t="n">
        <f aca="false">IF($A95="","",NORMSINV(P95))</f>
        <v>2.05374891063182</v>
      </c>
      <c r="R95" s="48" t="n">
        <f aca="false">IF($A95="","",ROUNDUP(Q95*H95*SQRT(D95),0))</f>
        <v>367</v>
      </c>
      <c r="S95" s="48" t="n">
        <f aca="false">IF($A95="","",ROUNDUP(G95*D95+R95,0))</f>
        <v>712</v>
      </c>
      <c r="T95" s="46" t="n">
        <f aca="false">IF($A95="","",IFERROR(ROUND(SQRT(2*F95*Assumptions!$B$4/(Assumptions!$B$5*C95)),0),0))</f>
        <v>848</v>
      </c>
      <c r="U95" s="53" t="n">
        <f aca="false">IF($A95="","",R95*C95)</f>
        <v>913.83</v>
      </c>
      <c r="V95" s="53" t="n">
        <f aca="false">IF($A95="","",E95*C95)</f>
        <v>1284.84</v>
      </c>
      <c r="W95" s="59" t="n">
        <f aca="false">IF($A95="","",IFERROR(E95/G95,0))</f>
        <v>5.99865861837693</v>
      </c>
      <c r="X95" s="48" t="n">
        <f aca="false">IF($A95="","",S95+T95)</f>
        <v>1560</v>
      </c>
      <c r="Y95" s="48" t="n">
        <f aca="false">IF($A95="","",MAX(0,E95-X95))</f>
        <v>0</v>
      </c>
      <c r="Z95" s="53" t="n">
        <f aca="false">IF($A95="","",Y95*C95)</f>
        <v>0</v>
      </c>
      <c r="AA95" s="56" t="str">
        <f aca="false">IF($A95="","",IF(E95&lt;=R95,"Below Safety Stock",IF(E95&lt;=S95,"Reorder Now",IF(E95&gt;X95,"Excess","Healthy"))))</f>
        <v>Reorder Now</v>
      </c>
      <c r="AB95" s="48" t="n">
        <f aca="false">IF($A95="","",RANK(AF95,$AF$5:$AF$504,0)+COUNTIF($AF$5:AF95,AF95)-1)</f>
        <v>94</v>
      </c>
      <c r="AC95" s="44" t="str">
        <f aca="false">IF($A95="","",Weekly_Demand!B95)</f>
        <v>CHILDRENS CUTLERY RETROSPOT RED</v>
      </c>
      <c r="AD95" s="59" t="n">
        <f aca="false">IF($A95="","",H95*SQRT(D95))</f>
        <v>178.528402918323</v>
      </c>
      <c r="AE95" s="53" t="n">
        <f aca="false">IF($A95="","",AD95*C95)</f>
        <v>444.535723266625</v>
      </c>
      <c r="AF95" s="53" t="n">
        <f aca="false">IF($A95="","",ROUND(J95,2))</f>
        <v>11137.77</v>
      </c>
    </row>
    <row r="96" customFormat="false" ht="15" hidden="false" customHeight="false" outlineLevel="0" collapsed="false">
      <c r="A96" s="44" t="str">
        <f aca="false">IF(Weekly_Demand!A96="","",Weekly_Demand!A96)</f>
        <v>22328</v>
      </c>
      <c r="B96" s="44" t="str">
        <f aca="false">IF($A96="","",Weekly_Demand!C96)</f>
        <v>Other</v>
      </c>
      <c r="C96" s="45" t="n">
        <f aca="false">IF($A96="","",Weekly_Demand!D96)</f>
        <v>1.77</v>
      </c>
      <c r="D96" s="46" t="n">
        <f aca="false">IF($A96="","",Weekly_Demand!E96+Assumptions!$B$19)</f>
        <v>2</v>
      </c>
      <c r="E96" s="46" t="n">
        <f aca="false">IF($A96="","",Weekly_Demand!F96)</f>
        <v>4606</v>
      </c>
      <c r="F96" s="46" t="n">
        <f aca="false">IF($A96="","",SUM(Weekly_Demand!G96:BF96))</f>
        <v>6653</v>
      </c>
      <c r="G96" s="51" t="n">
        <f aca="false">IF($A96="","",IFERROR(F96/Assumptions!$B$6,0))</f>
        <v>127.942307692308</v>
      </c>
      <c r="H96" s="51" t="n">
        <f aca="false">IF($A96="","",STDEV(Weekly_Demand!G96:BF96))</f>
        <v>210.075935240377</v>
      </c>
      <c r="I96" s="52" t="n">
        <f aca="false">IF($A96="","",IFERROR(H96/G96,0))</f>
        <v>1.64195830940923</v>
      </c>
      <c r="J96" s="53" t="n">
        <f aca="false">IF($A96="","",F96*C96)</f>
        <v>11775.81</v>
      </c>
      <c r="K96" s="54" t="n">
        <f aca="false">IF($A96="","",IFERROR(J96/$J$505,0))</f>
        <v>0.00304701870132054</v>
      </c>
      <c r="L96" s="54" t="n">
        <f aca="false">IF($A96="","",IFERROR(SUMIFS($J$5:$J$504,$AB$5:$AB$504,"&lt;="&amp;AB96)/$J$505,0))</f>
        <v>0.43191420965524</v>
      </c>
      <c r="M96" s="55" t="str">
        <f aca="false">IF($A96="","",IF(L96&lt;=Assumptions!$B$7,"A",IF(L96&lt;=Assumptions!$B$8,"B","C")))</f>
        <v>A</v>
      </c>
      <c r="N96" s="55" t="str">
        <f aca="false">IF($A96="","",IF(I96&lt;=Assumptions!$B$9,"X",IF(I96&lt;=Assumptions!$B$10,"Y","Z")))</f>
        <v>Z</v>
      </c>
      <c r="O96" s="56" t="str">
        <f aca="false">IF($A96="","",M96&amp;N96)</f>
        <v>AZ</v>
      </c>
      <c r="P96" s="57" t="n">
        <f aca="false">IF($A96="","",INDEX(Assumptions!$B$35:$B$37,MATCH(M96,Assumptions!$A$35:$A$37,0)))</f>
        <v>0.98</v>
      </c>
      <c r="Q96" s="58" t="n">
        <f aca="false">IF($A96="","",NORMSINV(P96))</f>
        <v>2.05374891063182</v>
      </c>
      <c r="R96" s="48" t="n">
        <f aca="false">IF($A96="","",ROUNDUP(Q96*H96*SQRT(D96),0))</f>
        <v>611</v>
      </c>
      <c r="S96" s="48" t="n">
        <f aca="false">IF($A96="","",ROUNDUP(G96*D96+R96,0))</f>
        <v>867</v>
      </c>
      <c r="T96" s="46" t="n">
        <f aca="false">IF($A96="","",IFERROR(ROUND(SQRT(2*F96*Assumptions!$B$4/(Assumptions!$B$5*C96)),0),0))</f>
        <v>1226</v>
      </c>
      <c r="U96" s="53" t="n">
        <f aca="false">IF($A96="","",R96*C96)</f>
        <v>1081.47</v>
      </c>
      <c r="V96" s="53" t="n">
        <f aca="false">IF($A96="","",E96*C96)</f>
        <v>8152.62</v>
      </c>
      <c r="W96" s="59" t="n">
        <f aca="false">IF($A96="","",IFERROR(E96/G96,0))</f>
        <v>36.0006012325267</v>
      </c>
      <c r="X96" s="48" t="n">
        <f aca="false">IF($A96="","",S96+T96)</f>
        <v>2093</v>
      </c>
      <c r="Y96" s="48" t="n">
        <f aca="false">IF($A96="","",MAX(0,E96-X96))</f>
        <v>2513</v>
      </c>
      <c r="Z96" s="53" t="n">
        <f aca="false">IF($A96="","",Y96*C96)</f>
        <v>4448.01</v>
      </c>
      <c r="AA96" s="56" t="str">
        <f aca="false">IF($A96="","",IF(E96&lt;=R96,"Below Safety Stock",IF(E96&lt;=S96,"Reorder Now",IF(E96&gt;X96,"Excess","Healthy"))))</f>
        <v>Excess</v>
      </c>
      <c r="AB96" s="48" t="n">
        <f aca="false">IF($A96="","",RANK(AF96,$AF$5:$AF$504,0)+COUNTIF($AF$5:AF96,AF96)-1)</f>
        <v>88</v>
      </c>
      <c r="AC96" s="44" t="str">
        <f aca="false">IF($A96="","",Weekly_Demand!B96)</f>
        <v>ROUND SNACK BOXES SET OF 4 FRUITS</v>
      </c>
      <c r="AD96" s="59" t="n">
        <f aca="false">IF($A96="","",H96*SQRT(D96))</f>
        <v>297.092236745153</v>
      </c>
      <c r="AE96" s="53" t="n">
        <f aca="false">IF($A96="","",AD96*C96)</f>
        <v>525.853259038922</v>
      </c>
      <c r="AF96" s="53" t="n">
        <f aca="false">IF($A96="","",ROUND(J96,2))</f>
        <v>11775.81</v>
      </c>
    </row>
    <row r="97" customFormat="false" ht="15" hidden="false" customHeight="false" outlineLevel="0" collapsed="false">
      <c r="A97" s="44" t="str">
        <f aca="false">IF(Weekly_Demand!A97="","",Weekly_Demand!A97)</f>
        <v>71477</v>
      </c>
      <c r="B97" s="44" t="str">
        <f aca="false">IF($A97="","",Weekly_Demand!C97)</f>
        <v>Lighting</v>
      </c>
      <c r="C97" s="45" t="n">
        <f aca="false">IF($A97="","",Weekly_Demand!D97)</f>
        <v>1.974</v>
      </c>
      <c r="D97" s="46" t="n">
        <f aca="false">IF($A97="","",Weekly_Demand!E97+Assumptions!$B$19)</f>
        <v>4</v>
      </c>
      <c r="E97" s="46" t="n">
        <f aca="false">IF($A97="","",Weekly_Demand!F97)</f>
        <v>117</v>
      </c>
      <c r="F97" s="46" t="n">
        <f aca="false">IF($A97="","",SUM(Weekly_Demand!G97:BF97))</f>
        <v>6073</v>
      </c>
      <c r="G97" s="51" t="n">
        <f aca="false">IF($A97="","",IFERROR(F97/Assumptions!$B$6,0))</f>
        <v>116.788461538462</v>
      </c>
      <c r="H97" s="51" t="n">
        <f aca="false">IF($A97="","",STDEV(Weekly_Demand!G97:BF97))</f>
        <v>187.920230942777</v>
      </c>
      <c r="I97" s="52" t="n">
        <f aca="false">IF($A97="","",IFERROR(H97/G97,0))</f>
        <v>1.60906504347512</v>
      </c>
      <c r="J97" s="53" t="n">
        <f aca="false">IF($A97="","",F97*C97)</f>
        <v>11988.102</v>
      </c>
      <c r="K97" s="54" t="n">
        <f aca="false">IF($A97="","",IFERROR(J97/$J$505,0))</f>
        <v>0.00310194975864405</v>
      </c>
      <c r="L97" s="54" t="n">
        <f aca="false">IF($A97="","",IFERROR(SUMIFS($J$5:$J$504,$AB$5:$AB$504,"&lt;="&amp;AB97)/$J$505,0))</f>
        <v>0.413463232030607</v>
      </c>
      <c r="M97" s="55" t="str">
        <f aca="false">IF($A97="","",IF(L97&lt;=Assumptions!$B$7,"A",IF(L97&lt;=Assumptions!$B$8,"B","C")))</f>
        <v>A</v>
      </c>
      <c r="N97" s="55" t="str">
        <f aca="false">IF($A97="","",IF(I97&lt;=Assumptions!$B$9,"X",IF(I97&lt;=Assumptions!$B$10,"Y","Z")))</f>
        <v>Z</v>
      </c>
      <c r="O97" s="56" t="str">
        <f aca="false">IF($A97="","",M97&amp;N97)</f>
        <v>AZ</v>
      </c>
      <c r="P97" s="57" t="n">
        <f aca="false">IF($A97="","",INDEX(Assumptions!$B$35:$B$37,MATCH(M97,Assumptions!$A$35:$A$37,0)))</f>
        <v>0.98</v>
      </c>
      <c r="Q97" s="58" t="n">
        <f aca="false">IF($A97="","",NORMSINV(P97))</f>
        <v>2.05374891063182</v>
      </c>
      <c r="R97" s="48" t="n">
        <f aca="false">IF($A97="","",ROUNDUP(Q97*H97*SQRT(D97),0))</f>
        <v>772</v>
      </c>
      <c r="S97" s="48" t="n">
        <f aca="false">IF($A97="","",ROUNDUP(G97*D97+R97,0))</f>
        <v>1240</v>
      </c>
      <c r="T97" s="46" t="n">
        <f aca="false">IF($A97="","",IFERROR(ROUND(SQRT(2*F97*Assumptions!$B$4/(Assumptions!$B$5*C97)),0),0))</f>
        <v>1109</v>
      </c>
      <c r="U97" s="53" t="n">
        <f aca="false">IF($A97="","",R97*C97)</f>
        <v>1523.928</v>
      </c>
      <c r="V97" s="53" t="n">
        <f aca="false">IF($A97="","",E97*C97)</f>
        <v>230.958</v>
      </c>
      <c r="W97" s="59" t="n">
        <f aca="false">IF($A97="","",IFERROR(E97/G97,0))</f>
        <v>1.00181129589988</v>
      </c>
      <c r="X97" s="48" t="n">
        <f aca="false">IF($A97="","",S97+T97)</f>
        <v>2349</v>
      </c>
      <c r="Y97" s="48" t="n">
        <f aca="false">IF($A97="","",MAX(0,E97-X97))</f>
        <v>0</v>
      </c>
      <c r="Z97" s="53" t="n">
        <f aca="false">IF($A97="","",Y97*C97)</f>
        <v>0</v>
      </c>
      <c r="AA97" s="56" t="str">
        <f aca="false">IF($A97="","",IF(E97&lt;=R97,"Below Safety Stock",IF(E97&lt;=S97,"Reorder Now",IF(E97&gt;X97,"Excess","Healthy"))))</f>
        <v>Below Safety Stock</v>
      </c>
      <c r="AB97" s="48" t="n">
        <f aca="false">IF($A97="","",RANK(AF97,$AF$5:$AF$504,0)+COUNTIF($AF$5:AF97,AF97)-1)</f>
        <v>82</v>
      </c>
      <c r="AC97" s="44" t="str">
        <f aca="false">IF($A97="","",Weekly_Demand!B97)</f>
        <v>COLOUR GLASS. STAR T-LIGHT HOLDER</v>
      </c>
      <c r="AD97" s="59" t="n">
        <f aca="false">IF($A97="","",H97*SQRT(D97))</f>
        <v>375.840461885554</v>
      </c>
      <c r="AE97" s="53" t="n">
        <f aca="false">IF($A97="","",AD97*C97)</f>
        <v>741.909071762084</v>
      </c>
      <c r="AF97" s="53" t="n">
        <f aca="false">IF($A97="","",ROUND(J97,2))</f>
        <v>11988.1</v>
      </c>
    </row>
    <row r="98" customFormat="false" ht="15" hidden="false" customHeight="false" outlineLevel="0" collapsed="false">
      <c r="A98" s="44" t="str">
        <f aca="false">IF(Weekly_Demand!A98="","",Weekly_Demand!A98)</f>
        <v>15036</v>
      </c>
      <c r="B98" s="44" t="str">
        <f aca="false">IF($A98="","",Weekly_Demand!C98)</f>
        <v>Other</v>
      </c>
      <c r="C98" s="45" t="n">
        <f aca="false">IF($A98="","",Weekly_Demand!D98)</f>
        <v>0.498</v>
      </c>
      <c r="D98" s="46" t="n">
        <f aca="false">IF($A98="","",Weekly_Demand!E98+Assumptions!$B$19)</f>
        <v>2</v>
      </c>
      <c r="E98" s="46" t="n">
        <f aca="false">IF($A98="","",Weekly_Demand!F98)</f>
        <v>14607</v>
      </c>
      <c r="F98" s="46" t="n">
        <f aca="false">IF($A98="","",SUM(Weekly_Demand!G98:BF98))</f>
        <v>23737</v>
      </c>
      <c r="G98" s="51" t="n">
        <f aca="false">IF($A98="","",IFERROR(F98/Assumptions!$B$6,0))</f>
        <v>456.480769230769</v>
      </c>
      <c r="H98" s="51" t="n">
        <f aca="false">IF($A98="","",STDEV(Weekly_Demand!G98:BF98))</f>
        <v>551.444288704212</v>
      </c>
      <c r="I98" s="52" t="n">
        <f aca="false">IF($A98="","",IFERROR(H98/G98,0))</f>
        <v>1.20803399808818</v>
      </c>
      <c r="J98" s="53" t="n">
        <f aca="false">IF($A98="","",F98*C98)</f>
        <v>11821.026</v>
      </c>
      <c r="K98" s="54" t="n">
        <f aca="false">IF($A98="","",IFERROR(J98/$J$505,0))</f>
        <v>0.00305871844831025</v>
      </c>
      <c r="L98" s="54" t="n">
        <f aca="false">IF($A98="","",IFERROR(SUMIFS($J$5:$J$504,$AB$5:$AB$504,"&lt;="&amp;AB98)/$J$505,0))</f>
        <v>0.42886719095392</v>
      </c>
      <c r="M98" s="55" t="str">
        <f aca="false">IF($A98="","",IF(L98&lt;=Assumptions!$B$7,"A",IF(L98&lt;=Assumptions!$B$8,"B","C")))</f>
        <v>A</v>
      </c>
      <c r="N98" s="55" t="str">
        <f aca="false">IF($A98="","",IF(I98&lt;=Assumptions!$B$9,"X",IF(I98&lt;=Assumptions!$B$10,"Y","Z")))</f>
        <v>Z</v>
      </c>
      <c r="O98" s="56" t="str">
        <f aca="false">IF($A98="","",M98&amp;N98)</f>
        <v>AZ</v>
      </c>
      <c r="P98" s="57" t="n">
        <f aca="false">IF($A98="","",INDEX(Assumptions!$B$35:$B$37,MATCH(M98,Assumptions!$A$35:$A$37,0)))</f>
        <v>0.98</v>
      </c>
      <c r="Q98" s="58" t="n">
        <f aca="false">IF($A98="","",NORMSINV(P98))</f>
        <v>2.05374891063182</v>
      </c>
      <c r="R98" s="48" t="n">
        <f aca="false">IF($A98="","",ROUNDUP(Q98*H98*SQRT(D98),0))</f>
        <v>1602</v>
      </c>
      <c r="S98" s="48" t="n">
        <f aca="false">IF($A98="","",ROUNDUP(G98*D98+R98,0))</f>
        <v>2515</v>
      </c>
      <c r="T98" s="46" t="n">
        <f aca="false">IF($A98="","",IFERROR(ROUND(SQRT(2*F98*Assumptions!$B$4/(Assumptions!$B$5*C98)),0),0))</f>
        <v>4366</v>
      </c>
      <c r="U98" s="53" t="n">
        <f aca="false">IF($A98="","",R98*C98)</f>
        <v>797.796</v>
      </c>
      <c r="V98" s="53" t="n">
        <f aca="false">IF($A98="","",E98*C98)</f>
        <v>7274.286</v>
      </c>
      <c r="W98" s="59" t="n">
        <f aca="false">IF($A98="","",IFERROR(E98/G98,0))</f>
        <v>31.9991574335426</v>
      </c>
      <c r="X98" s="48" t="n">
        <f aca="false">IF($A98="","",S98+T98)</f>
        <v>6881</v>
      </c>
      <c r="Y98" s="48" t="n">
        <f aca="false">IF($A98="","",MAX(0,E98-X98))</f>
        <v>7726</v>
      </c>
      <c r="Z98" s="53" t="n">
        <f aca="false">IF($A98="","",Y98*C98)</f>
        <v>3847.548</v>
      </c>
      <c r="AA98" s="56" t="str">
        <f aca="false">IF($A98="","",IF(E98&lt;=R98,"Below Safety Stock",IF(E98&lt;=S98,"Reorder Now",IF(E98&gt;X98,"Excess","Healthy"))))</f>
        <v>Excess</v>
      </c>
      <c r="AB98" s="48" t="n">
        <f aca="false">IF($A98="","",RANK(AF98,$AF$5:$AF$504,0)+COUNTIF($AF$5:AF98,AF98)-1)</f>
        <v>87</v>
      </c>
      <c r="AC98" s="44" t="str">
        <f aca="false">IF($A98="","",Weekly_Demand!B98)</f>
        <v>ASSORTED COLOURS SILK FAN</v>
      </c>
      <c r="AD98" s="59" t="n">
        <f aca="false">IF($A98="","",H98*SQRT(D98))</f>
        <v>779.859991978682</v>
      </c>
      <c r="AE98" s="53" t="n">
        <f aca="false">IF($A98="","",AD98*C98)</f>
        <v>388.370276005383</v>
      </c>
      <c r="AF98" s="53" t="n">
        <f aca="false">IF($A98="","",ROUND(J98,2))</f>
        <v>11821.03</v>
      </c>
    </row>
    <row r="99" customFormat="false" ht="15" hidden="false" customHeight="false" outlineLevel="0" collapsed="false">
      <c r="A99" s="44" t="str">
        <f aca="false">IF(Weekly_Demand!A99="","",Weekly_Demand!A99)</f>
        <v>84029E</v>
      </c>
      <c r="B99" s="44" t="str">
        <f aca="false">IF($A99="","",Weekly_Demand!C99)</f>
        <v>Other</v>
      </c>
      <c r="C99" s="45" t="n">
        <f aca="false">IF($A99="","",Weekly_Demand!D99)</f>
        <v>2.55</v>
      </c>
      <c r="D99" s="46" t="n">
        <f aca="false">IF($A99="","",Weekly_Demand!E99+Assumptions!$B$19)</f>
        <v>4</v>
      </c>
      <c r="E99" s="46" t="n">
        <f aca="false">IF($A99="","",Weekly_Demand!F99)</f>
        <v>874</v>
      </c>
      <c r="F99" s="46" t="n">
        <f aca="false">IF($A99="","",SUM(Weekly_Demand!G99:BF99))</f>
        <v>3789</v>
      </c>
      <c r="G99" s="51" t="n">
        <f aca="false">IF($A99="","",IFERROR(F99/Assumptions!$B$6,0))</f>
        <v>72.8653846153846</v>
      </c>
      <c r="H99" s="51" t="n">
        <f aca="false">IF($A99="","",STDEV(Weekly_Demand!G99:BF99))</f>
        <v>138.151526478996</v>
      </c>
      <c r="I99" s="52" t="n">
        <f aca="false">IF($A99="","",IFERROR(H99/G99,0))</f>
        <v>1.89598294455206</v>
      </c>
      <c r="J99" s="53" t="n">
        <f aca="false">IF($A99="","",F99*C99)</f>
        <v>9661.95</v>
      </c>
      <c r="K99" s="54" t="n">
        <f aca="false">IF($A99="","",IFERROR(J99/$J$505,0))</f>
        <v>0.00250005242452315</v>
      </c>
      <c r="L99" s="54" t="n">
        <f aca="false">IF($A99="","",IFERROR(SUMIFS($J$5:$J$504,$AB$5:$AB$504,"&lt;="&amp;AB99)/$J$505,0))</f>
        <v>0.494714373041213</v>
      </c>
      <c r="M99" s="55" t="str">
        <f aca="false">IF($A99="","",IF(L99&lt;=Assumptions!$B$7,"A",IF(L99&lt;=Assumptions!$B$8,"B","C")))</f>
        <v>A</v>
      </c>
      <c r="N99" s="55" t="str">
        <f aca="false">IF($A99="","",IF(I99&lt;=Assumptions!$B$9,"X",IF(I99&lt;=Assumptions!$B$10,"Y","Z")))</f>
        <v>Z</v>
      </c>
      <c r="O99" s="56" t="str">
        <f aca="false">IF($A99="","",M99&amp;N99)</f>
        <v>AZ</v>
      </c>
      <c r="P99" s="57" t="n">
        <f aca="false">IF($A99="","",INDEX(Assumptions!$B$35:$B$37,MATCH(M99,Assumptions!$A$35:$A$37,0)))</f>
        <v>0.98</v>
      </c>
      <c r="Q99" s="58" t="n">
        <f aca="false">IF($A99="","",NORMSINV(P99))</f>
        <v>2.05374891063182</v>
      </c>
      <c r="R99" s="48" t="n">
        <f aca="false">IF($A99="","",ROUNDUP(Q99*H99*SQRT(D99),0))</f>
        <v>568</v>
      </c>
      <c r="S99" s="48" t="n">
        <f aca="false">IF($A99="","",ROUNDUP(G99*D99+R99,0))</f>
        <v>860</v>
      </c>
      <c r="T99" s="46" t="n">
        <f aca="false">IF($A99="","",IFERROR(ROUND(SQRT(2*F99*Assumptions!$B$4/(Assumptions!$B$5*C99)),0),0))</f>
        <v>771</v>
      </c>
      <c r="U99" s="53" t="n">
        <f aca="false">IF($A99="","",R99*C99)</f>
        <v>1448.4</v>
      </c>
      <c r="V99" s="53" t="n">
        <f aca="false">IF($A99="","",E99*C99)</f>
        <v>2228.7</v>
      </c>
      <c r="W99" s="59" t="n">
        <f aca="false">IF($A99="","",IFERROR(E99/G99,0))</f>
        <v>11.9947215624175</v>
      </c>
      <c r="X99" s="48" t="n">
        <f aca="false">IF($A99="","",S99+T99)</f>
        <v>1631</v>
      </c>
      <c r="Y99" s="48" t="n">
        <f aca="false">IF($A99="","",MAX(0,E99-X99))</f>
        <v>0</v>
      </c>
      <c r="Z99" s="53" t="n">
        <f aca="false">IF($A99="","",Y99*C99)</f>
        <v>0</v>
      </c>
      <c r="AA99" s="56" t="str">
        <f aca="false">IF($A99="","",IF(E99&lt;=R99,"Below Safety Stock",IF(E99&lt;=S99,"Reorder Now",IF(E99&gt;X99,"Excess","Healthy"))))</f>
        <v>Healthy</v>
      </c>
      <c r="AB99" s="48" t="n">
        <f aca="false">IF($A99="","",RANK(AF99,$AF$5:$AF$504,0)+COUNTIF($AF$5:AF99,AF99)-1)</f>
        <v>111</v>
      </c>
      <c r="AC99" s="44" t="str">
        <f aca="false">IF($A99="","",Weekly_Demand!B99)</f>
        <v>RED WOOLLY HOTTIE WHITE HEART.</v>
      </c>
      <c r="AD99" s="59" t="n">
        <f aca="false">IF($A99="","",H99*SQRT(D99))</f>
        <v>276.303052957991</v>
      </c>
      <c r="AE99" s="53" t="n">
        <f aca="false">IF($A99="","",AD99*C99)</f>
        <v>704.572785042877</v>
      </c>
      <c r="AF99" s="53" t="n">
        <f aca="false">IF($A99="","",ROUND(J99,2))</f>
        <v>9661.95</v>
      </c>
    </row>
    <row r="100" customFormat="false" ht="15" hidden="false" customHeight="false" outlineLevel="0" collapsed="false">
      <c r="A100" s="44" t="str">
        <f aca="false">IF(Weekly_Demand!A100="","",Weekly_Demand!A100)</f>
        <v>22467</v>
      </c>
      <c r="B100" s="44" t="str">
        <f aca="false">IF($A100="","",Weekly_Demand!C100)</f>
        <v>Other</v>
      </c>
      <c r="C100" s="45" t="n">
        <f aca="false">IF($A100="","",Weekly_Demand!D100)</f>
        <v>1.53</v>
      </c>
      <c r="D100" s="46" t="n">
        <f aca="false">IF($A100="","",Weekly_Demand!E100+Assumptions!$B$19)</f>
        <v>8</v>
      </c>
      <c r="E100" s="46" t="n">
        <f aca="false">IF($A100="","",Weekly_Demand!F100)</f>
        <v>1027</v>
      </c>
      <c r="F100" s="46" t="n">
        <f aca="false">IF($A100="","",SUM(Weekly_Demand!G100:BF100))</f>
        <v>7630</v>
      </c>
      <c r="G100" s="51" t="n">
        <f aca="false">IF($A100="","",IFERROR(F100/Assumptions!$B$6,0))</f>
        <v>146.730769230769</v>
      </c>
      <c r="H100" s="51" t="n">
        <f aca="false">IF($A100="","",STDEV(Weekly_Demand!G100:BF100))</f>
        <v>98.3218235971807</v>
      </c>
      <c r="I100" s="52" t="n">
        <f aca="false">IF($A100="","",IFERROR(H100/G100,0))</f>
        <v>0.670083201448676</v>
      </c>
      <c r="J100" s="53" t="n">
        <f aca="false">IF($A100="","",F100*C100)</f>
        <v>11673.9</v>
      </c>
      <c r="K100" s="54" t="n">
        <f aca="false">IF($A100="","",IFERROR(J100/$J$505,0))</f>
        <v>0.00302064924768197</v>
      </c>
      <c r="L100" s="54" t="n">
        <f aca="false">IF($A100="","",IFERROR(SUMIFS($J$5:$J$504,$AB$5:$AB$504,"&lt;="&amp;AB100)/$J$505,0))</f>
        <v>0.437960165693196</v>
      </c>
      <c r="M100" s="55" t="str">
        <f aca="false">IF($A100="","",IF(L100&lt;=Assumptions!$B$7,"A",IF(L100&lt;=Assumptions!$B$8,"B","C")))</f>
        <v>A</v>
      </c>
      <c r="N100" s="55" t="str">
        <f aca="false">IF($A100="","",IF(I100&lt;=Assumptions!$B$9,"X",IF(I100&lt;=Assumptions!$B$10,"Y","Z")))</f>
        <v>Y</v>
      </c>
      <c r="O100" s="56" t="str">
        <f aca="false">IF($A100="","",M100&amp;N100)</f>
        <v>AY</v>
      </c>
      <c r="P100" s="57" t="n">
        <f aca="false">IF($A100="","",INDEX(Assumptions!$B$35:$B$37,MATCH(M100,Assumptions!$A$35:$A$37,0)))</f>
        <v>0.98</v>
      </c>
      <c r="Q100" s="58" t="n">
        <f aca="false">IF($A100="","",NORMSINV(P100))</f>
        <v>2.05374891063182</v>
      </c>
      <c r="R100" s="48" t="n">
        <f aca="false">IF($A100="","",ROUNDUP(Q100*H100*SQRT(D100),0))</f>
        <v>572</v>
      </c>
      <c r="S100" s="48" t="n">
        <f aca="false">IF($A100="","",ROUNDUP(G100*D100+R100,0))</f>
        <v>1746</v>
      </c>
      <c r="T100" s="46" t="n">
        <f aca="false">IF($A100="","",IFERROR(ROUND(SQRT(2*F100*Assumptions!$B$4/(Assumptions!$B$5*C100)),0),0))</f>
        <v>1412</v>
      </c>
      <c r="U100" s="53" t="n">
        <f aca="false">IF($A100="","",R100*C100)</f>
        <v>875.16</v>
      </c>
      <c r="V100" s="53" t="n">
        <f aca="false">IF($A100="","",E100*C100)</f>
        <v>1571.31</v>
      </c>
      <c r="W100" s="59" t="n">
        <f aca="false">IF($A100="","",IFERROR(E100/G100,0))</f>
        <v>6.99921363040629</v>
      </c>
      <c r="X100" s="48" t="n">
        <f aca="false">IF($A100="","",S100+T100)</f>
        <v>3158</v>
      </c>
      <c r="Y100" s="48" t="n">
        <f aca="false">IF($A100="","",MAX(0,E100-X100))</f>
        <v>0</v>
      </c>
      <c r="Z100" s="53" t="n">
        <f aca="false">IF($A100="","",Y100*C100)</f>
        <v>0</v>
      </c>
      <c r="AA100" s="56" t="str">
        <f aca="false">IF($A100="","",IF(E100&lt;=R100,"Below Safety Stock",IF(E100&lt;=S100,"Reorder Now",IF(E100&gt;X100,"Excess","Healthy"))))</f>
        <v>Reorder Now</v>
      </c>
      <c r="AB100" s="48" t="n">
        <f aca="false">IF($A100="","",RANK(AF100,$AF$5:$AF$504,0)+COUNTIF($AF$5:AF100,AF100)-1)</f>
        <v>90</v>
      </c>
      <c r="AC100" s="44" t="str">
        <f aca="false">IF($A100="","",Weekly_Demand!B100)</f>
        <v>GUMBALL COAT RACK</v>
      </c>
      <c r="AD100" s="59" t="n">
        <f aca="false">IF($A100="","",H100*SQRT(D100))</f>
        <v>278.096112816776</v>
      </c>
      <c r="AE100" s="53" t="n">
        <f aca="false">IF($A100="","",AD100*C100)</f>
        <v>425.487052609667</v>
      </c>
      <c r="AF100" s="53" t="n">
        <f aca="false">IF($A100="","",ROUND(J100,2))</f>
        <v>11673.9</v>
      </c>
    </row>
    <row r="101" customFormat="false" ht="15" hidden="false" customHeight="false" outlineLevel="0" collapsed="false">
      <c r="A101" s="44" t="str">
        <f aca="false">IF(Weekly_Demand!A101="","",Weekly_Demand!A101)</f>
        <v>22969</v>
      </c>
      <c r="B101" s="44" t="str">
        <f aca="false">IF($A101="","",Weekly_Demand!C101)</f>
        <v>Lighting</v>
      </c>
      <c r="C101" s="45" t="n">
        <f aca="false">IF($A101="","",Weekly_Demand!D101)</f>
        <v>0.87</v>
      </c>
      <c r="D101" s="46" t="n">
        <f aca="false">IF($A101="","",Weekly_Demand!E101+Assumptions!$B$19)</f>
        <v>4</v>
      </c>
      <c r="E101" s="46" t="n">
        <f aca="false">IF($A101="","",Weekly_Demand!F101)</f>
        <v>231</v>
      </c>
      <c r="F101" s="46" t="n">
        <f aca="false">IF($A101="","",SUM(Weekly_Demand!G101:BF101))</f>
        <v>11996</v>
      </c>
      <c r="G101" s="51" t="n">
        <f aca="false">IF($A101="","",IFERROR(F101/Assumptions!$B$6,0))</f>
        <v>230.692307692308</v>
      </c>
      <c r="H101" s="51" t="n">
        <f aca="false">IF($A101="","",STDEV(Weekly_Demand!G101:BF101))</f>
        <v>252.569659462186</v>
      </c>
      <c r="I101" s="52" t="n">
        <f aca="false">IF($A101="","",IFERROR(H101/G101,0))</f>
        <v>1.09483346882575</v>
      </c>
      <c r="J101" s="53" t="n">
        <f aca="false">IF($A101="","",F101*C101)</f>
        <v>10436.52</v>
      </c>
      <c r="K101" s="54" t="n">
        <f aca="false">IF($A101="","",IFERROR(J101/$J$505,0))</f>
        <v>0.00270047424480404</v>
      </c>
      <c r="L101" s="54" t="n">
        <f aca="false">IF($A101="","",IFERROR(SUMIFS($J$5:$J$504,$AB$5:$AB$504,"&lt;="&amp;AB101)/$J$505,0))</f>
        <v>0.463646273997831</v>
      </c>
      <c r="M101" s="55" t="str">
        <f aca="false">IF($A101="","",IF(L101&lt;=Assumptions!$B$7,"A",IF(L101&lt;=Assumptions!$B$8,"B","C")))</f>
        <v>A</v>
      </c>
      <c r="N101" s="55" t="str">
        <f aca="false">IF($A101="","",IF(I101&lt;=Assumptions!$B$9,"X",IF(I101&lt;=Assumptions!$B$10,"Y","Z")))</f>
        <v>Z</v>
      </c>
      <c r="O101" s="56" t="str">
        <f aca="false">IF($A101="","",M101&amp;N101)</f>
        <v>AZ</v>
      </c>
      <c r="P101" s="57" t="n">
        <f aca="false">IF($A101="","",INDEX(Assumptions!$B$35:$B$37,MATCH(M101,Assumptions!$A$35:$A$37,0)))</f>
        <v>0.98</v>
      </c>
      <c r="Q101" s="58" t="n">
        <f aca="false">IF($A101="","",NORMSINV(P101))</f>
        <v>2.05374891063182</v>
      </c>
      <c r="R101" s="48" t="n">
        <f aca="false">IF($A101="","",ROUNDUP(Q101*H101*SQRT(D101),0))</f>
        <v>1038</v>
      </c>
      <c r="S101" s="48" t="n">
        <f aca="false">IF($A101="","",ROUNDUP(G101*D101+R101,0))</f>
        <v>1961</v>
      </c>
      <c r="T101" s="46" t="n">
        <f aca="false">IF($A101="","",IFERROR(ROUND(SQRT(2*F101*Assumptions!$B$4/(Assumptions!$B$5*C101)),0),0))</f>
        <v>2348</v>
      </c>
      <c r="U101" s="53" t="n">
        <f aca="false">IF($A101="","",R101*C101)</f>
        <v>903.06</v>
      </c>
      <c r="V101" s="53" t="n">
        <f aca="false">IF($A101="","",E101*C101)</f>
        <v>200.97</v>
      </c>
      <c r="W101" s="59" t="n">
        <f aca="false">IF($A101="","",IFERROR(E101/G101,0))</f>
        <v>1.00133377792598</v>
      </c>
      <c r="X101" s="48" t="n">
        <f aca="false">IF($A101="","",S101+T101)</f>
        <v>4309</v>
      </c>
      <c r="Y101" s="48" t="n">
        <f aca="false">IF($A101="","",MAX(0,E101-X101))</f>
        <v>0</v>
      </c>
      <c r="Z101" s="53" t="n">
        <f aca="false">IF($A101="","",Y101*C101)</f>
        <v>0</v>
      </c>
      <c r="AA101" s="56" t="str">
        <f aca="false">IF($A101="","",IF(E101&lt;=R101,"Below Safety Stock",IF(E101&lt;=S101,"Reorder Now",IF(E101&gt;X101,"Excess","Healthy"))))</f>
        <v>Below Safety Stock</v>
      </c>
      <c r="AB101" s="48" t="n">
        <f aca="false">IF($A101="","",RANK(AF101,$AF$5:$AF$504,0)+COUNTIF($AF$5:AF101,AF101)-1)</f>
        <v>99</v>
      </c>
      <c r="AC101" s="44" t="str">
        <f aca="false">IF($A101="","",Weekly_Demand!B101)</f>
        <v>HOMEMADE JAM SCENTED CANDLES</v>
      </c>
      <c r="AD101" s="59" t="n">
        <f aca="false">IF($A101="","",H101*SQRT(D101))</f>
        <v>505.139318924372</v>
      </c>
      <c r="AE101" s="53" t="n">
        <f aca="false">IF($A101="","",AD101*C101)</f>
        <v>439.471207464204</v>
      </c>
      <c r="AF101" s="53" t="n">
        <f aca="false">IF($A101="","",ROUND(J101,2))</f>
        <v>10436.52</v>
      </c>
    </row>
    <row r="102" customFormat="false" ht="15" hidden="false" customHeight="false" outlineLevel="0" collapsed="false">
      <c r="A102" s="44" t="str">
        <f aca="false">IF(Weekly_Demand!A102="","",Weekly_Demand!A102)</f>
        <v>21479</v>
      </c>
      <c r="B102" s="44" t="str">
        <f aca="false">IF($A102="","",Weekly_Demand!C102)</f>
        <v>Other</v>
      </c>
      <c r="C102" s="45" t="n">
        <f aca="false">IF($A102="","",Weekly_Demand!D102)</f>
        <v>2.55</v>
      </c>
      <c r="D102" s="46" t="n">
        <f aca="false">IF($A102="","",Weekly_Demand!E102+Assumptions!$B$19)</f>
        <v>8</v>
      </c>
      <c r="E102" s="46" t="n">
        <f aca="false">IF($A102="","",Weekly_Demand!F102)</f>
        <v>3300</v>
      </c>
      <c r="F102" s="46" t="n">
        <f aca="false">IF($A102="","",SUM(Weekly_Demand!G102:BF102))</f>
        <v>3432</v>
      </c>
      <c r="G102" s="51" t="n">
        <f aca="false">IF($A102="","",IFERROR(F102/Assumptions!$B$6,0))</f>
        <v>66</v>
      </c>
      <c r="H102" s="51" t="n">
        <f aca="false">IF($A102="","",STDEV(Weekly_Demand!G102:BF102))</f>
        <v>118.496794032912</v>
      </c>
      <c r="I102" s="52" t="n">
        <f aca="false">IF($A102="","",IFERROR(H102/G102,0))</f>
        <v>1.79540597019564</v>
      </c>
      <c r="J102" s="53" t="n">
        <f aca="false">IF($A102="","",F102*C102)</f>
        <v>8751.6</v>
      </c>
      <c r="K102" s="54" t="n">
        <f aca="false">IF($A102="","",IFERROR(J102/$J$505,0))</f>
        <v>0.0022644972079608</v>
      </c>
      <c r="L102" s="54" t="n">
        <f aca="false">IF($A102="","",IFERROR(SUMIFS($J$5:$J$504,$AB$5:$AB$504,"&lt;="&amp;AB102)/$J$505,0))</f>
        <v>0.542385842928571</v>
      </c>
      <c r="M102" s="55" t="str">
        <f aca="false">IF($A102="","",IF(L102&lt;=Assumptions!$B$7,"A",IF(L102&lt;=Assumptions!$B$8,"B","C")))</f>
        <v>A</v>
      </c>
      <c r="N102" s="55" t="str">
        <f aca="false">IF($A102="","",IF(I102&lt;=Assumptions!$B$9,"X",IF(I102&lt;=Assumptions!$B$10,"Y","Z")))</f>
        <v>Z</v>
      </c>
      <c r="O102" s="56" t="str">
        <f aca="false">IF($A102="","",M102&amp;N102)</f>
        <v>AZ</v>
      </c>
      <c r="P102" s="57" t="n">
        <f aca="false">IF($A102="","",INDEX(Assumptions!$B$35:$B$37,MATCH(M102,Assumptions!$A$35:$A$37,0)))</f>
        <v>0.98</v>
      </c>
      <c r="Q102" s="58" t="n">
        <f aca="false">IF($A102="","",NORMSINV(P102))</f>
        <v>2.05374891063182</v>
      </c>
      <c r="R102" s="48" t="n">
        <f aca="false">IF($A102="","",ROUNDUP(Q102*H102*SQRT(D102),0))</f>
        <v>689</v>
      </c>
      <c r="S102" s="48" t="n">
        <f aca="false">IF($A102="","",ROUNDUP(G102*D102+R102,0))</f>
        <v>1217</v>
      </c>
      <c r="T102" s="46" t="n">
        <f aca="false">IF($A102="","",IFERROR(ROUND(SQRT(2*F102*Assumptions!$B$4/(Assumptions!$B$5*C102)),0),0))</f>
        <v>734</v>
      </c>
      <c r="U102" s="53" t="n">
        <f aca="false">IF($A102="","",R102*C102)</f>
        <v>1756.95</v>
      </c>
      <c r="V102" s="53" t="n">
        <f aca="false">IF($A102="","",E102*C102)</f>
        <v>8415</v>
      </c>
      <c r="W102" s="59" t="n">
        <f aca="false">IF($A102="","",IFERROR(E102/G102,0))</f>
        <v>50</v>
      </c>
      <c r="X102" s="48" t="n">
        <f aca="false">IF($A102="","",S102+T102)</f>
        <v>1951</v>
      </c>
      <c r="Y102" s="48" t="n">
        <f aca="false">IF($A102="","",MAX(0,E102-X102))</f>
        <v>1349</v>
      </c>
      <c r="Z102" s="53" t="n">
        <f aca="false">IF($A102="","",Y102*C102)</f>
        <v>3439.95</v>
      </c>
      <c r="AA102" s="56" t="str">
        <f aca="false">IF($A102="","",IF(E102&lt;=R102,"Below Safety Stock",IF(E102&lt;=S102,"Reorder Now",IF(E102&gt;X102,"Excess","Healthy"))))</f>
        <v>Excess</v>
      </c>
      <c r="AB102" s="48" t="n">
        <f aca="false">IF($A102="","",RANK(AF102,$AF$5:$AF$504,0)+COUNTIF($AF$5:AF102,AF102)-1)</f>
        <v>131</v>
      </c>
      <c r="AC102" s="44" t="str">
        <f aca="false">IF($A102="","",Weekly_Demand!B102)</f>
        <v>WHITE SKULL HOT WATER BOTTLE</v>
      </c>
      <c r="AD102" s="59" t="n">
        <f aca="false">IF($A102="","",H102*SQRT(D102))</f>
        <v>335.159546438152</v>
      </c>
      <c r="AE102" s="53" t="n">
        <f aca="false">IF($A102="","",AD102*C102)</f>
        <v>854.656843417286</v>
      </c>
      <c r="AF102" s="53" t="n">
        <f aca="false">IF($A102="","",ROUND(J102,2))</f>
        <v>8751.6</v>
      </c>
    </row>
    <row r="103" customFormat="false" ht="15" hidden="false" customHeight="false" outlineLevel="0" collapsed="false">
      <c r="A103" s="44" t="str">
        <f aca="false">IF(Weekly_Demand!A103="","",Weekly_Demand!A103)</f>
        <v>22382</v>
      </c>
      <c r="B103" s="44" t="str">
        <f aca="false">IF($A103="","",Weekly_Demand!C103)</f>
        <v>Bags</v>
      </c>
      <c r="C103" s="45" t="n">
        <f aca="false">IF($A103="","",Weekly_Demand!D103)</f>
        <v>0.99</v>
      </c>
      <c r="D103" s="46" t="n">
        <f aca="false">IF($A103="","",Weekly_Demand!E103+Assumptions!$B$19)</f>
        <v>6</v>
      </c>
      <c r="E103" s="46" t="n">
        <f aca="false">IF($A103="","",Weekly_Demand!F103)</f>
        <v>6738</v>
      </c>
      <c r="F103" s="46" t="n">
        <f aca="false">IF($A103="","",SUM(Weekly_Demand!G103:BF103))</f>
        <v>10305</v>
      </c>
      <c r="G103" s="51" t="n">
        <f aca="false">IF($A103="","",IFERROR(F103/Assumptions!$B$6,0))</f>
        <v>198.173076923077</v>
      </c>
      <c r="H103" s="51" t="n">
        <f aca="false">IF($A103="","",STDEV(Weekly_Demand!G103:BF103))</f>
        <v>102.462373993894</v>
      </c>
      <c r="I103" s="52" t="n">
        <f aca="false">IF($A103="","",IFERROR(H103/G103,0))</f>
        <v>0.517034783860502</v>
      </c>
      <c r="J103" s="53" t="n">
        <f aca="false">IF($A103="","",F103*C103)</f>
        <v>10201.95</v>
      </c>
      <c r="K103" s="54" t="n">
        <f aca="false">IF($A103="","",IFERROR(J103/$J$505,0))</f>
        <v>0.00263977870226652</v>
      </c>
      <c r="L103" s="54" t="n">
        <f aca="false">IF($A103="","",IFERROR(SUMIFS($J$5:$J$504,$AB$5:$AB$504,"&lt;="&amp;AB103)/$J$505,0))</f>
        <v>0.468963790374484</v>
      </c>
      <c r="M103" s="55" t="str">
        <f aca="false">IF($A103="","",IF(L103&lt;=Assumptions!$B$7,"A",IF(L103&lt;=Assumptions!$B$8,"B","C")))</f>
        <v>A</v>
      </c>
      <c r="N103" s="55" t="str">
        <f aca="false">IF($A103="","",IF(I103&lt;=Assumptions!$B$9,"X",IF(I103&lt;=Assumptions!$B$10,"Y","Z")))</f>
        <v>Y</v>
      </c>
      <c r="O103" s="56" t="str">
        <f aca="false">IF($A103="","",M103&amp;N103)</f>
        <v>AY</v>
      </c>
      <c r="P103" s="57" t="n">
        <f aca="false">IF($A103="","",INDEX(Assumptions!$B$35:$B$37,MATCH(M103,Assumptions!$A$35:$A$37,0)))</f>
        <v>0.98</v>
      </c>
      <c r="Q103" s="58" t="n">
        <f aca="false">IF($A103="","",NORMSINV(P103))</f>
        <v>2.05374891063182</v>
      </c>
      <c r="R103" s="48" t="n">
        <f aca="false">IF($A103="","",ROUNDUP(Q103*H103*SQRT(D103),0))</f>
        <v>516</v>
      </c>
      <c r="S103" s="48" t="n">
        <f aca="false">IF($A103="","",ROUNDUP(G103*D103+R103,0))</f>
        <v>1706</v>
      </c>
      <c r="T103" s="46" t="n">
        <f aca="false">IF($A103="","",IFERROR(ROUND(SQRT(2*F103*Assumptions!$B$4/(Assumptions!$B$5*C103)),0),0))</f>
        <v>2040</v>
      </c>
      <c r="U103" s="53" t="n">
        <f aca="false">IF($A103="","",R103*C103)</f>
        <v>510.84</v>
      </c>
      <c r="V103" s="53" t="n">
        <f aca="false">IF($A103="","",E103*C103)</f>
        <v>6670.62</v>
      </c>
      <c r="W103" s="59" t="n">
        <f aca="false">IF($A103="","",IFERROR(E103/G103,0))</f>
        <v>34.0005822416303</v>
      </c>
      <c r="X103" s="48" t="n">
        <f aca="false">IF($A103="","",S103+T103)</f>
        <v>3746</v>
      </c>
      <c r="Y103" s="48" t="n">
        <f aca="false">IF($A103="","",MAX(0,E103-X103))</f>
        <v>2992</v>
      </c>
      <c r="Z103" s="53" t="n">
        <f aca="false">IF($A103="","",Y103*C103)</f>
        <v>2962.08</v>
      </c>
      <c r="AA103" s="56" t="str">
        <f aca="false">IF($A103="","",IF(E103&lt;=R103,"Below Safety Stock",IF(E103&lt;=S103,"Reorder Now",IF(E103&gt;X103,"Excess","Healthy"))))</f>
        <v>Excess</v>
      </c>
      <c r="AB103" s="48" t="n">
        <f aca="false">IF($A103="","",RANK(AF103,$AF$5:$AF$504,0)+COUNTIF($AF$5:AF103,AF103)-1)</f>
        <v>101</v>
      </c>
      <c r="AC103" s="44" t="str">
        <f aca="false">IF($A103="","",Weekly_Demand!B103)</f>
        <v>LUNCH BAG SPACEBOY DESIGN</v>
      </c>
      <c r="AD103" s="59" t="n">
        <f aca="false">IF($A103="","",H103*SQRT(D103))</f>
        <v>250.980534119257</v>
      </c>
      <c r="AE103" s="53" t="n">
        <f aca="false">IF($A103="","",AD103*C103)</f>
        <v>248.470728778064</v>
      </c>
      <c r="AF103" s="53" t="n">
        <f aca="false">IF($A103="","",ROUND(J103,2))</f>
        <v>10201.95</v>
      </c>
    </row>
    <row r="104" customFormat="false" ht="15" hidden="false" customHeight="false" outlineLevel="0" collapsed="false">
      <c r="A104" s="44" t="str">
        <f aca="false">IF(Weekly_Demand!A104="","",Weekly_Demand!A104)</f>
        <v>20726</v>
      </c>
      <c r="B104" s="44" t="str">
        <f aca="false">IF($A104="","",Weekly_Demand!C104)</f>
        <v>Bags</v>
      </c>
      <c r="C104" s="45" t="n">
        <f aca="false">IF($A104="","",Weekly_Demand!D104)</f>
        <v>0.99</v>
      </c>
      <c r="D104" s="46" t="n">
        <f aca="false">IF($A104="","",Weekly_Demand!E104+Assumptions!$B$19)</f>
        <v>6</v>
      </c>
      <c r="E104" s="46" t="n">
        <f aca="false">IF($A104="","",Weekly_Demand!F104)</f>
        <v>372</v>
      </c>
      <c r="F104" s="46" t="n">
        <f aca="false">IF($A104="","",SUM(Weekly_Demand!G104:BF104))</f>
        <v>9671</v>
      </c>
      <c r="G104" s="51" t="n">
        <f aca="false">IF($A104="","",IFERROR(F104/Assumptions!$B$6,0))</f>
        <v>185.980769230769</v>
      </c>
      <c r="H104" s="51" t="n">
        <f aca="false">IF($A104="","",STDEV(Weekly_Demand!G104:BF104))</f>
        <v>117.696100920743</v>
      </c>
      <c r="I104" s="52" t="n">
        <f aca="false">IF($A104="","",IFERROR(H104/G104,0))</f>
        <v>0.632840166257743</v>
      </c>
      <c r="J104" s="53" t="n">
        <f aca="false">IF($A104="","",F104*C104)</f>
        <v>9574.29</v>
      </c>
      <c r="K104" s="54" t="n">
        <f aca="false">IF($A104="","",IFERROR(J104/$J$505,0))</f>
        <v>0.00247737019210281</v>
      </c>
      <c r="L104" s="54" t="n">
        <f aca="false">IF($A104="","",IFERROR(SUMIFS($J$5:$J$504,$AB$5:$AB$504,"&lt;="&amp;AB104)/$J$505,0))</f>
        <v>0.49968243399723</v>
      </c>
      <c r="M104" s="55" t="str">
        <f aca="false">IF($A104="","",IF(L104&lt;=Assumptions!$B$7,"A",IF(L104&lt;=Assumptions!$B$8,"B","C")))</f>
        <v>A</v>
      </c>
      <c r="N104" s="55" t="str">
        <f aca="false">IF($A104="","",IF(I104&lt;=Assumptions!$B$9,"X",IF(I104&lt;=Assumptions!$B$10,"Y","Z")))</f>
        <v>Y</v>
      </c>
      <c r="O104" s="56" t="str">
        <f aca="false">IF($A104="","",M104&amp;N104)</f>
        <v>AY</v>
      </c>
      <c r="P104" s="57" t="n">
        <f aca="false">IF($A104="","",INDEX(Assumptions!$B$35:$B$37,MATCH(M104,Assumptions!$A$35:$A$37,0)))</f>
        <v>0.98</v>
      </c>
      <c r="Q104" s="58" t="n">
        <f aca="false">IF($A104="","",NORMSINV(P104))</f>
        <v>2.05374891063182</v>
      </c>
      <c r="R104" s="48" t="n">
        <f aca="false">IF($A104="","",ROUNDUP(Q104*H104*SQRT(D104),0))</f>
        <v>593</v>
      </c>
      <c r="S104" s="48" t="n">
        <f aca="false">IF($A104="","",ROUNDUP(G104*D104+R104,0))</f>
        <v>1709</v>
      </c>
      <c r="T104" s="46" t="n">
        <f aca="false">IF($A104="","",IFERROR(ROUND(SQRT(2*F104*Assumptions!$B$4/(Assumptions!$B$5*C104)),0),0))</f>
        <v>1977</v>
      </c>
      <c r="U104" s="53" t="n">
        <f aca="false">IF($A104="","",R104*C104)</f>
        <v>587.07</v>
      </c>
      <c r="V104" s="53" t="n">
        <f aca="false">IF($A104="","",E104*C104)</f>
        <v>368.28</v>
      </c>
      <c r="W104" s="59" t="n">
        <f aca="false">IF($A104="","",IFERROR(E104/G104,0))</f>
        <v>2.00020680384655</v>
      </c>
      <c r="X104" s="48" t="n">
        <f aca="false">IF($A104="","",S104+T104)</f>
        <v>3686</v>
      </c>
      <c r="Y104" s="48" t="n">
        <f aca="false">IF($A104="","",MAX(0,E104-X104))</f>
        <v>0</v>
      </c>
      <c r="Z104" s="53" t="n">
        <f aca="false">IF($A104="","",Y104*C104)</f>
        <v>0</v>
      </c>
      <c r="AA104" s="56" t="str">
        <f aca="false">IF($A104="","",IF(E104&lt;=R104,"Below Safety Stock",IF(E104&lt;=S104,"Reorder Now",IF(E104&gt;X104,"Excess","Healthy"))))</f>
        <v>Below Safety Stock</v>
      </c>
      <c r="AB104" s="48" t="n">
        <f aca="false">IF($A104="","",RANK(AF104,$AF$5:$AF$504,0)+COUNTIF($AF$5:AF104,AF104)-1)</f>
        <v>113</v>
      </c>
      <c r="AC104" s="44" t="str">
        <f aca="false">IF($A104="","",Weekly_Demand!B104)</f>
        <v>LUNCH BAG WOODLAND</v>
      </c>
      <c r="AD104" s="59" t="n">
        <f aca="false">IF($A104="","",H104*SQRT(D104))</f>
        <v>288.295391970934</v>
      </c>
      <c r="AE104" s="53" t="n">
        <f aca="false">IF($A104="","",AD104*C104)</f>
        <v>285.412438051224</v>
      </c>
      <c r="AF104" s="53" t="n">
        <f aca="false">IF($A104="","",ROUND(J104,2))</f>
        <v>9574.29</v>
      </c>
    </row>
    <row r="105" customFormat="false" ht="15" hidden="false" customHeight="false" outlineLevel="0" collapsed="false">
      <c r="A105" s="44" t="str">
        <f aca="false">IF(Weekly_Demand!A105="","",Weekly_Demand!A105)</f>
        <v>21108</v>
      </c>
      <c r="B105" s="44" t="str">
        <f aca="false">IF($A105="","",Weekly_Demand!C105)</f>
        <v>Kitchen</v>
      </c>
      <c r="C105" s="45" t="n">
        <f aca="false">IF($A105="","",Weekly_Demand!D105)</f>
        <v>1.26</v>
      </c>
      <c r="D105" s="46" t="n">
        <f aca="false">IF($A105="","",Weekly_Demand!E105+Assumptions!$B$19)</f>
        <v>2</v>
      </c>
      <c r="E105" s="46" t="n">
        <f aca="false">IF($A105="","",Weekly_Demand!F105)</f>
        <v>2512</v>
      </c>
      <c r="F105" s="46" t="n">
        <f aca="false">IF($A105="","",SUM(Weekly_Demand!G105:BF105))</f>
        <v>10047</v>
      </c>
      <c r="G105" s="51" t="n">
        <f aca="false">IF($A105="","",IFERROR(F105/Assumptions!$B$6,0))</f>
        <v>193.211538461538</v>
      </c>
      <c r="H105" s="51" t="n">
        <f aca="false">IF($A105="","",STDEV(Weekly_Demand!G105:BF105))</f>
        <v>618.209157338513</v>
      </c>
      <c r="I105" s="52" t="n">
        <f aca="false">IF($A105="","",IFERROR(H105/G105,0))</f>
        <v>3.19964926660721</v>
      </c>
      <c r="J105" s="53" t="n">
        <f aca="false">IF($A105="","",F105*C105)</f>
        <v>12659.22</v>
      </c>
      <c r="K105" s="54" t="n">
        <f aca="false">IF($A105="","",IFERROR(J105/$J$505,0))</f>
        <v>0.0032756031291377</v>
      </c>
      <c r="L105" s="54" t="n">
        <f aca="false">IF($A105="","",IFERROR(SUMIFS($J$5:$J$504,$AB$5:$AB$504,"&lt;="&amp;AB105)/$J$505,0))</f>
        <v>0.381572742929283</v>
      </c>
      <c r="M105" s="55" t="str">
        <f aca="false">IF($A105="","",IF(L105&lt;=Assumptions!$B$7,"A",IF(L105&lt;=Assumptions!$B$8,"B","C")))</f>
        <v>A</v>
      </c>
      <c r="N105" s="55" t="str">
        <f aca="false">IF($A105="","",IF(I105&lt;=Assumptions!$B$9,"X",IF(I105&lt;=Assumptions!$B$10,"Y","Z")))</f>
        <v>Z</v>
      </c>
      <c r="O105" s="56" t="str">
        <f aca="false">IF($A105="","",M105&amp;N105)</f>
        <v>AZ</v>
      </c>
      <c r="P105" s="57" t="n">
        <f aca="false">IF($A105="","",INDEX(Assumptions!$B$35:$B$37,MATCH(M105,Assumptions!$A$35:$A$37,0)))</f>
        <v>0.98</v>
      </c>
      <c r="Q105" s="58" t="n">
        <f aca="false">IF($A105="","",NORMSINV(P105))</f>
        <v>2.05374891063182</v>
      </c>
      <c r="R105" s="48" t="n">
        <f aca="false">IF($A105="","",ROUNDUP(Q105*H105*SQRT(D105),0))</f>
        <v>1796</v>
      </c>
      <c r="S105" s="48" t="n">
        <f aca="false">IF($A105="","",ROUNDUP(G105*D105+R105,0))</f>
        <v>2183</v>
      </c>
      <c r="T105" s="46" t="n">
        <f aca="false">IF($A105="","",IFERROR(ROUND(SQRT(2*F105*Assumptions!$B$4/(Assumptions!$B$5*C105)),0),0))</f>
        <v>1786</v>
      </c>
      <c r="U105" s="53" t="n">
        <f aca="false">IF($A105="","",R105*C105)</f>
        <v>2262.96</v>
      </c>
      <c r="V105" s="53" t="n">
        <f aca="false">IF($A105="","",E105*C105)</f>
        <v>3165.12</v>
      </c>
      <c r="W105" s="59" t="n">
        <f aca="false">IF($A105="","",IFERROR(E105/G105,0))</f>
        <v>13.0012939185827</v>
      </c>
      <c r="X105" s="48" t="n">
        <f aca="false">IF($A105="","",S105+T105)</f>
        <v>3969</v>
      </c>
      <c r="Y105" s="48" t="n">
        <f aca="false">IF($A105="","",MAX(0,E105-X105))</f>
        <v>0</v>
      </c>
      <c r="Z105" s="53" t="n">
        <f aca="false">IF($A105="","",Y105*C105)</f>
        <v>0</v>
      </c>
      <c r="AA105" s="56" t="str">
        <f aca="false">IF($A105="","",IF(E105&lt;=R105,"Below Safety Stock",IF(E105&lt;=S105,"Reorder Now",IF(E105&gt;X105,"Excess","Healthy"))))</f>
        <v>Healthy</v>
      </c>
      <c r="AB105" s="48" t="n">
        <f aca="false">IF($A105="","",RANK(AF105,$AF$5:$AF$504,0)+COUNTIF($AF$5:AF105,AF105)-1)</f>
        <v>72</v>
      </c>
      <c r="AC105" s="44" t="str">
        <f aca="false">IF($A105="","",Weekly_Demand!B105)</f>
        <v>FAIRY CAKE FLANNEL ASSORTED COLOUR</v>
      </c>
      <c r="AD105" s="59" t="n">
        <f aca="false">IF($A105="","",H105*SQRT(D105))</f>
        <v>874.279774691368</v>
      </c>
      <c r="AE105" s="53" t="n">
        <f aca="false">IF($A105="","",AD105*C105)</f>
        <v>1101.59251611112</v>
      </c>
      <c r="AF105" s="53" t="n">
        <f aca="false">IF($A105="","",ROUND(J105,2))</f>
        <v>12659.22</v>
      </c>
    </row>
    <row r="106" customFormat="false" ht="15" hidden="false" customHeight="false" outlineLevel="0" collapsed="false">
      <c r="A106" s="44" t="str">
        <f aca="false">IF(Weekly_Demand!A106="","",Weekly_Demand!A106)</f>
        <v>82486</v>
      </c>
      <c r="B106" s="44" t="str">
        <f aca="false">IF($A106="","",Weekly_Demand!C106)</f>
        <v>Other</v>
      </c>
      <c r="C106" s="45" t="n">
        <f aca="false">IF($A106="","",Weekly_Demand!D106)</f>
        <v>5.37</v>
      </c>
      <c r="D106" s="46" t="n">
        <f aca="false">IF($A106="","",Weekly_Demand!E106+Assumptions!$B$19)</f>
        <v>6</v>
      </c>
      <c r="E106" s="46" t="n">
        <f aca="false">IF($A106="","",Weekly_Demand!F106)</f>
        <v>395</v>
      </c>
      <c r="F106" s="46" t="n">
        <f aca="false">IF($A106="","",SUM(Weekly_Demand!G106:BF106))</f>
        <v>2055</v>
      </c>
      <c r="G106" s="51" t="n">
        <f aca="false">IF($A106="","",IFERROR(F106/Assumptions!$B$6,0))</f>
        <v>39.5192307692308</v>
      </c>
      <c r="H106" s="51" t="n">
        <f aca="false">IF($A106="","",STDEV(Weekly_Demand!G106:BF106))</f>
        <v>21.1683174140454</v>
      </c>
      <c r="I106" s="52" t="n">
        <f aca="false">IF($A106="","",IFERROR(H106/G106,0))</f>
        <v>0.535645988092634</v>
      </c>
      <c r="J106" s="53" t="n">
        <f aca="false">IF($A106="","",F106*C106)</f>
        <v>11035.35</v>
      </c>
      <c r="K106" s="54" t="n">
        <f aca="false">IF($A106="","",IFERROR(J106/$J$505,0))</f>
        <v>0.00285542292425044</v>
      </c>
      <c r="L106" s="54" t="n">
        <f aca="false">IF($A106="","",IFERROR(SUMIFS($J$5:$J$504,$AB$5:$AB$504,"&lt;="&amp;AB106)/$J$505,0))</f>
        <v>0.452644116659811</v>
      </c>
      <c r="M106" s="55" t="str">
        <f aca="false">IF($A106="","",IF(L106&lt;=Assumptions!$B$7,"A",IF(L106&lt;=Assumptions!$B$8,"B","C")))</f>
        <v>A</v>
      </c>
      <c r="N106" s="55" t="str">
        <f aca="false">IF($A106="","",IF(I106&lt;=Assumptions!$B$9,"X",IF(I106&lt;=Assumptions!$B$10,"Y","Z")))</f>
        <v>Y</v>
      </c>
      <c r="O106" s="56" t="str">
        <f aca="false">IF($A106="","",M106&amp;N106)</f>
        <v>AY</v>
      </c>
      <c r="P106" s="57" t="n">
        <f aca="false">IF($A106="","",INDEX(Assumptions!$B$35:$B$37,MATCH(M106,Assumptions!$A$35:$A$37,0)))</f>
        <v>0.98</v>
      </c>
      <c r="Q106" s="58" t="n">
        <f aca="false">IF($A106="","",NORMSINV(P106))</f>
        <v>2.05374891063182</v>
      </c>
      <c r="R106" s="48" t="n">
        <f aca="false">IF($A106="","",ROUNDUP(Q106*H106*SQRT(D106),0))</f>
        <v>107</v>
      </c>
      <c r="S106" s="48" t="n">
        <f aca="false">IF($A106="","",ROUNDUP(G106*D106+R106,0))</f>
        <v>345</v>
      </c>
      <c r="T106" s="46" t="n">
        <f aca="false">IF($A106="","",IFERROR(ROUND(SQRT(2*F106*Assumptions!$B$4/(Assumptions!$B$5*C106)),0),0))</f>
        <v>391</v>
      </c>
      <c r="U106" s="53" t="n">
        <f aca="false">IF($A106="","",R106*C106)</f>
        <v>574.59</v>
      </c>
      <c r="V106" s="53" t="n">
        <f aca="false">IF($A106="","",E106*C106)</f>
        <v>2121.15</v>
      </c>
      <c r="W106" s="59" t="n">
        <f aca="false">IF($A106="","",IFERROR(E106/G106,0))</f>
        <v>9.99513381995134</v>
      </c>
      <c r="X106" s="48" t="n">
        <f aca="false">IF($A106="","",S106+T106)</f>
        <v>736</v>
      </c>
      <c r="Y106" s="48" t="n">
        <f aca="false">IF($A106="","",MAX(0,E106-X106))</f>
        <v>0</v>
      </c>
      <c r="Z106" s="53" t="n">
        <f aca="false">IF($A106="","",Y106*C106)</f>
        <v>0</v>
      </c>
      <c r="AA106" s="56" t="str">
        <f aca="false">IF($A106="","",IF(E106&lt;=R106,"Below Safety Stock",IF(E106&lt;=S106,"Reorder Now",IF(E106&gt;X106,"Excess","Healthy"))))</f>
        <v>Healthy</v>
      </c>
      <c r="AB106" s="48" t="n">
        <f aca="false">IF($A106="","",RANK(AF106,$AF$5:$AF$504,0)+COUNTIF($AF$5:AF106,AF106)-1)</f>
        <v>95</v>
      </c>
      <c r="AC106" s="44" t="str">
        <f aca="false">IF($A106="","",Weekly_Demand!B106)</f>
        <v>WOOD S/3 CABINET ANT WHITE FINISH</v>
      </c>
      <c r="AD106" s="59" t="n">
        <f aca="false">IF($A106="","",H106*SQRT(D106))</f>
        <v>51.8515763776828</v>
      </c>
      <c r="AE106" s="53" t="n">
        <f aca="false">IF($A106="","",AD106*C106)</f>
        <v>278.442965148157</v>
      </c>
      <c r="AF106" s="53" t="n">
        <f aca="false">IF($A106="","",ROUND(J106,2))</f>
        <v>11035.35</v>
      </c>
    </row>
    <row r="107" customFormat="false" ht="15" hidden="false" customHeight="false" outlineLevel="0" collapsed="false">
      <c r="A107" s="44" t="str">
        <f aca="false">IF(Weekly_Demand!A107="","",Weekly_Demand!A107)</f>
        <v>22693</v>
      </c>
      <c r="B107" s="44" t="str">
        <f aca="false">IF($A107="","",Weekly_Demand!C107)</f>
        <v>Kitchen</v>
      </c>
      <c r="C107" s="45" t="n">
        <f aca="false">IF($A107="","",Weekly_Demand!D107)</f>
        <v>0.75</v>
      </c>
      <c r="D107" s="46" t="n">
        <f aca="false">IF($A107="","",Weekly_Demand!E107+Assumptions!$B$19)</f>
        <v>4</v>
      </c>
      <c r="E107" s="46" t="n">
        <f aca="false">IF($A107="","",Weekly_Demand!F107)</f>
        <v>12626</v>
      </c>
      <c r="F107" s="46" t="n">
        <f aca="false">IF($A107="","",SUM(Weekly_Demand!G107:BF107))</f>
        <v>16013</v>
      </c>
      <c r="G107" s="51" t="n">
        <f aca="false">IF($A107="","",IFERROR(F107/Assumptions!$B$6,0))</f>
        <v>307.942307692308</v>
      </c>
      <c r="H107" s="51" t="n">
        <f aca="false">IF($A107="","",STDEV(Weekly_Demand!G107:BF107))</f>
        <v>528.470208538019</v>
      </c>
      <c r="I107" s="52" t="n">
        <f aca="false">IF($A107="","",IFERROR(H107/G107,0))</f>
        <v>1.71613381902061</v>
      </c>
      <c r="J107" s="53" t="n">
        <f aca="false">IF($A107="","",F107*C107)</f>
        <v>12009.75</v>
      </c>
      <c r="K107" s="54" t="n">
        <f aca="false">IF($A107="","",IFERROR(J107/$J$505,0))</f>
        <v>0.00310755122986736</v>
      </c>
      <c r="L107" s="54" t="n">
        <f aca="false">IF($A107="","",IFERROR(SUMIFS($J$5:$J$504,$AB$5:$AB$504,"&lt;="&amp;AB107)/$J$505,0))</f>
        <v>0.410361282271963</v>
      </c>
      <c r="M107" s="55" t="str">
        <f aca="false">IF($A107="","",IF(L107&lt;=Assumptions!$B$7,"A",IF(L107&lt;=Assumptions!$B$8,"B","C")))</f>
        <v>A</v>
      </c>
      <c r="N107" s="55" t="str">
        <f aca="false">IF($A107="","",IF(I107&lt;=Assumptions!$B$9,"X",IF(I107&lt;=Assumptions!$B$10,"Y","Z")))</f>
        <v>Z</v>
      </c>
      <c r="O107" s="56" t="str">
        <f aca="false">IF($A107="","",M107&amp;N107)</f>
        <v>AZ</v>
      </c>
      <c r="P107" s="57" t="n">
        <f aca="false">IF($A107="","",INDEX(Assumptions!$B$35:$B$37,MATCH(M107,Assumptions!$A$35:$A$37,0)))</f>
        <v>0.98</v>
      </c>
      <c r="Q107" s="58" t="n">
        <f aca="false">IF($A107="","",NORMSINV(P107))</f>
        <v>2.05374891063182</v>
      </c>
      <c r="R107" s="48" t="n">
        <f aca="false">IF($A107="","",ROUNDUP(Q107*H107*SQRT(D107),0))</f>
        <v>2171</v>
      </c>
      <c r="S107" s="48" t="n">
        <f aca="false">IF($A107="","",ROUNDUP(G107*D107+R107,0))</f>
        <v>3403</v>
      </c>
      <c r="T107" s="46" t="n">
        <f aca="false">IF($A107="","",IFERROR(ROUND(SQRT(2*F107*Assumptions!$B$4/(Assumptions!$B$5*C107)),0),0))</f>
        <v>2922</v>
      </c>
      <c r="U107" s="53" t="n">
        <f aca="false">IF($A107="","",R107*C107)</f>
        <v>1628.25</v>
      </c>
      <c r="V107" s="53" t="n">
        <f aca="false">IF($A107="","",E107*C107)</f>
        <v>9469.5</v>
      </c>
      <c r="W107" s="59" t="n">
        <f aca="false">IF($A107="","",IFERROR(E107/G107,0))</f>
        <v>41.0011865359396</v>
      </c>
      <c r="X107" s="48" t="n">
        <f aca="false">IF($A107="","",S107+T107)</f>
        <v>6325</v>
      </c>
      <c r="Y107" s="48" t="n">
        <f aca="false">IF($A107="","",MAX(0,E107-X107))</f>
        <v>6301</v>
      </c>
      <c r="Z107" s="53" t="n">
        <f aca="false">IF($A107="","",Y107*C107)</f>
        <v>4725.75</v>
      </c>
      <c r="AA107" s="56" t="str">
        <f aca="false">IF($A107="","",IF(E107&lt;=R107,"Below Safety Stock",IF(E107&lt;=S107,"Reorder Now",IF(E107&gt;X107,"Excess","Healthy"))))</f>
        <v>Excess</v>
      </c>
      <c r="AB107" s="48" t="n">
        <f aca="false">IF($A107="","",RANK(AF107,$AF$5:$AF$504,0)+COUNTIF($AF$5:AF107,AF107)-1)</f>
        <v>81</v>
      </c>
      <c r="AC107" s="44" t="str">
        <f aca="false">IF($A107="","",Weekly_Demand!B107)</f>
        <v>GROW A FLYTRAP OR SUNFLOWER IN TIN</v>
      </c>
      <c r="AD107" s="59" t="n">
        <f aca="false">IF($A107="","",H107*SQRT(D107))</f>
        <v>1056.94041707604</v>
      </c>
      <c r="AE107" s="53" t="n">
        <f aca="false">IF($A107="","",AD107*C107)</f>
        <v>792.705312807028</v>
      </c>
      <c r="AF107" s="53" t="n">
        <f aca="false">IF($A107="","",ROUND(J107,2))</f>
        <v>12009.75</v>
      </c>
    </row>
    <row r="108" customFormat="false" ht="15" hidden="false" customHeight="false" outlineLevel="0" collapsed="false">
      <c r="A108" s="44" t="str">
        <f aca="false">IF(Weekly_Demand!A108="","",Weekly_Demand!A108)</f>
        <v>20914</v>
      </c>
      <c r="B108" s="44" t="str">
        <f aca="false">IF($A108="","",Weekly_Demand!C108)</f>
        <v>Other</v>
      </c>
      <c r="C108" s="45" t="n">
        <f aca="false">IF($A108="","",Weekly_Demand!D108)</f>
        <v>1.77</v>
      </c>
      <c r="D108" s="46" t="n">
        <f aca="false">IF($A108="","",Weekly_Demand!E108+Assumptions!$B$19)</f>
        <v>6</v>
      </c>
      <c r="E108" s="46" t="n">
        <f aca="false">IF($A108="","",Weekly_Demand!F108)</f>
        <v>1525</v>
      </c>
      <c r="F108" s="46" t="n">
        <f aca="false">IF($A108="","",SUM(Weekly_Demand!G108:BF108))</f>
        <v>6099</v>
      </c>
      <c r="G108" s="51" t="n">
        <f aca="false">IF($A108="","",IFERROR(F108/Assumptions!$B$6,0))</f>
        <v>117.288461538462</v>
      </c>
      <c r="H108" s="51" t="n">
        <f aca="false">IF($A108="","",STDEV(Weekly_Demand!G108:BF108))</f>
        <v>84.7631848818354</v>
      </c>
      <c r="I108" s="52" t="n">
        <f aca="false">IF($A108="","",IFERROR(H108/G108,0))</f>
        <v>0.72268988585923</v>
      </c>
      <c r="J108" s="53" t="n">
        <f aca="false">IF($A108="","",F108*C108)</f>
        <v>10795.23</v>
      </c>
      <c r="K108" s="54" t="n">
        <f aca="false">IF($A108="","",IFERROR(J108/$J$505,0))</f>
        <v>0.00279329130608056</v>
      </c>
      <c r="L108" s="54" t="n">
        <f aca="false">IF($A108="","",IFERROR(SUMIFS($J$5:$J$504,$AB$5:$AB$504,"&lt;="&amp;AB108)/$J$505,0))</f>
        <v>0.455437407965891</v>
      </c>
      <c r="M108" s="55" t="str">
        <f aca="false">IF($A108="","",IF(L108&lt;=Assumptions!$B$7,"A",IF(L108&lt;=Assumptions!$B$8,"B","C")))</f>
        <v>A</v>
      </c>
      <c r="N108" s="55" t="str">
        <f aca="false">IF($A108="","",IF(I108&lt;=Assumptions!$B$9,"X",IF(I108&lt;=Assumptions!$B$10,"Y","Z")))</f>
        <v>Y</v>
      </c>
      <c r="O108" s="56" t="str">
        <f aca="false">IF($A108="","",M108&amp;N108)</f>
        <v>AY</v>
      </c>
      <c r="P108" s="57" t="n">
        <f aca="false">IF($A108="","",INDEX(Assumptions!$B$35:$B$37,MATCH(M108,Assumptions!$A$35:$A$37,0)))</f>
        <v>0.98</v>
      </c>
      <c r="Q108" s="58" t="n">
        <f aca="false">IF($A108="","",NORMSINV(P108))</f>
        <v>2.05374891063182</v>
      </c>
      <c r="R108" s="48" t="n">
        <f aca="false">IF($A108="","",ROUNDUP(Q108*H108*SQRT(D108),0))</f>
        <v>427</v>
      </c>
      <c r="S108" s="48" t="n">
        <f aca="false">IF($A108="","",ROUNDUP(G108*D108+R108,0))</f>
        <v>1131</v>
      </c>
      <c r="T108" s="46" t="n">
        <f aca="false">IF($A108="","",IFERROR(ROUND(SQRT(2*F108*Assumptions!$B$4/(Assumptions!$B$5*C108)),0),0))</f>
        <v>1174</v>
      </c>
      <c r="U108" s="53" t="n">
        <f aca="false">IF($A108="","",R108*C108)</f>
        <v>755.79</v>
      </c>
      <c r="V108" s="53" t="n">
        <f aca="false">IF($A108="","",E108*C108)</f>
        <v>2699.25</v>
      </c>
      <c r="W108" s="59" t="n">
        <f aca="false">IF($A108="","",IFERROR(E108/G108,0))</f>
        <v>13.0021314969667</v>
      </c>
      <c r="X108" s="48" t="n">
        <f aca="false">IF($A108="","",S108+T108)</f>
        <v>2305</v>
      </c>
      <c r="Y108" s="48" t="n">
        <f aca="false">IF($A108="","",MAX(0,E108-X108))</f>
        <v>0</v>
      </c>
      <c r="Z108" s="53" t="n">
        <f aca="false">IF($A108="","",Y108*C108)</f>
        <v>0</v>
      </c>
      <c r="AA108" s="56" t="str">
        <f aca="false">IF($A108="","",IF(E108&lt;=R108,"Below Safety Stock",IF(E108&lt;=S108,"Reorder Now",IF(E108&gt;X108,"Excess","Healthy"))))</f>
        <v>Healthy</v>
      </c>
      <c r="AB108" s="48" t="n">
        <f aca="false">IF($A108="","",RANK(AF108,$AF$5:$AF$504,0)+COUNTIF($AF$5:AF108,AF108)-1)</f>
        <v>96</v>
      </c>
      <c r="AC108" s="44" t="str">
        <f aca="false">IF($A108="","",Weekly_Demand!B108)</f>
        <v>SET/5 RED RETROSPOT LID GLASS BOWLS</v>
      </c>
      <c r="AD108" s="59" t="n">
        <f aca="false">IF($A108="","",H108*SQRT(D108))</f>
        <v>207.62655193369</v>
      </c>
      <c r="AE108" s="53" t="n">
        <f aca="false">IF($A108="","",AD108*C108)</f>
        <v>367.498996922631</v>
      </c>
      <c r="AF108" s="53" t="n">
        <f aca="false">IF($A108="","",ROUND(J108,2))</f>
        <v>10795.23</v>
      </c>
    </row>
    <row r="109" customFormat="false" ht="15" hidden="false" customHeight="false" outlineLevel="0" collapsed="false">
      <c r="A109" s="44" t="str">
        <f aca="false">IF(Weekly_Demand!A109="","",Weekly_Demand!A109)</f>
        <v>22384</v>
      </c>
      <c r="B109" s="44" t="str">
        <f aca="false">IF($A109="","",Weekly_Demand!C109)</f>
        <v>Bags</v>
      </c>
      <c r="C109" s="45" t="n">
        <f aca="false">IF($A109="","",Weekly_Demand!D109)</f>
        <v>0.99</v>
      </c>
      <c r="D109" s="46" t="n">
        <f aca="false">IF($A109="","",Weekly_Demand!E109+Assumptions!$B$19)</f>
        <v>2</v>
      </c>
      <c r="E109" s="46" t="n">
        <f aca="false">IF($A109="","",Weekly_Demand!F109)</f>
        <v>2772</v>
      </c>
      <c r="F109" s="46" t="n">
        <f aca="false">IF($A109="","",SUM(Weekly_Demand!G109:BF109))</f>
        <v>10297</v>
      </c>
      <c r="G109" s="51" t="n">
        <f aca="false">IF($A109="","",IFERROR(F109/Assumptions!$B$6,0))</f>
        <v>198.019230769231</v>
      </c>
      <c r="H109" s="51" t="n">
        <f aca="false">IF($A109="","",STDEV(Weekly_Demand!G109:BF109))</f>
        <v>127.557367391567</v>
      </c>
      <c r="I109" s="52" t="n">
        <f aca="false">IF($A109="","",IFERROR(H109/G109,0))</f>
        <v>0.644166563500194</v>
      </c>
      <c r="J109" s="53" t="n">
        <f aca="false">IF($A109="","",F109*C109)</f>
        <v>10194.03</v>
      </c>
      <c r="K109" s="54" t="n">
        <f aca="false">IF($A109="","",IFERROR(J109/$J$505,0))</f>
        <v>0.00263772938352628</v>
      </c>
      <c r="L109" s="54" t="n">
        <f aca="false">IF($A109="","",IFERROR(SUMIFS($J$5:$J$504,$AB$5:$AB$504,"&lt;="&amp;AB109)/$J$505,0))</f>
        <v>0.471601519758011</v>
      </c>
      <c r="M109" s="55" t="str">
        <f aca="false">IF($A109="","",IF(L109&lt;=Assumptions!$B$7,"A",IF(L109&lt;=Assumptions!$B$8,"B","C")))</f>
        <v>A</v>
      </c>
      <c r="N109" s="55" t="str">
        <f aca="false">IF($A109="","",IF(I109&lt;=Assumptions!$B$9,"X",IF(I109&lt;=Assumptions!$B$10,"Y","Z")))</f>
        <v>Y</v>
      </c>
      <c r="O109" s="56" t="str">
        <f aca="false">IF($A109="","",M109&amp;N109)</f>
        <v>AY</v>
      </c>
      <c r="P109" s="57" t="n">
        <f aca="false">IF($A109="","",INDEX(Assumptions!$B$35:$B$37,MATCH(M109,Assumptions!$A$35:$A$37,0)))</f>
        <v>0.98</v>
      </c>
      <c r="Q109" s="58" t="n">
        <f aca="false">IF($A109="","",NORMSINV(P109))</f>
        <v>2.05374891063182</v>
      </c>
      <c r="R109" s="48" t="n">
        <f aca="false">IF($A109="","",ROUNDUP(Q109*H109*SQRT(D109),0))</f>
        <v>371</v>
      </c>
      <c r="S109" s="48" t="n">
        <f aca="false">IF($A109="","",ROUNDUP(G109*D109+R109,0))</f>
        <v>768</v>
      </c>
      <c r="T109" s="46" t="n">
        <f aca="false">IF($A109="","",IFERROR(ROUND(SQRT(2*F109*Assumptions!$B$4/(Assumptions!$B$5*C109)),0),0))</f>
        <v>2040</v>
      </c>
      <c r="U109" s="53" t="n">
        <f aca="false">IF($A109="","",R109*C109)</f>
        <v>367.29</v>
      </c>
      <c r="V109" s="53" t="n">
        <f aca="false">IF($A109="","",E109*C109)</f>
        <v>2744.28</v>
      </c>
      <c r="W109" s="59" t="n">
        <f aca="false">IF($A109="","",IFERROR(E109/G109,0))</f>
        <v>13.9986403806934</v>
      </c>
      <c r="X109" s="48" t="n">
        <f aca="false">IF($A109="","",S109+T109)</f>
        <v>2808</v>
      </c>
      <c r="Y109" s="48" t="n">
        <f aca="false">IF($A109="","",MAX(0,E109-X109))</f>
        <v>0</v>
      </c>
      <c r="Z109" s="53" t="n">
        <f aca="false">IF($A109="","",Y109*C109)</f>
        <v>0</v>
      </c>
      <c r="AA109" s="56" t="str">
        <f aca="false">IF($A109="","",IF(E109&lt;=R109,"Below Safety Stock",IF(E109&lt;=S109,"Reorder Now",IF(E109&gt;X109,"Excess","Healthy"))))</f>
        <v>Healthy</v>
      </c>
      <c r="AB109" s="48" t="n">
        <f aca="false">IF($A109="","",RANK(AF109,$AF$5:$AF$504,0)+COUNTIF($AF$5:AF109,AF109)-1)</f>
        <v>102</v>
      </c>
      <c r="AC109" s="44" t="str">
        <f aca="false">IF($A109="","",Weekly_Demand!B109)</f>
        <v>LUNCH BAG PINK POLKADOT</v>
      </c>
      <c r="AD109" s="59" t="n">
        <f aca="false">IF($A109="","",H109*SQRT(D109))</f>
        <v>180.393358945762</v>
      </c>
      <c r="AE109" s="53" t="n">
        <f aca="false">IF($A109="","",AD109*C109)</f>
        <v>178.589425356304</v>
      </c>
      <c r="AF109" s="53" t="n">
        <f aca="false">IF($A109="","",ROUND(J109,2))</f>
        <v>10194.03</v>
      </c>
    </row>
    <row r="110" customFormat="false" ht="15" hidden="false" customHeight="false" outlineLevel="0" collapsed="false">
      <c r="A110" s="44" t="str">
        <f aca="false">IF(Weekly_Demand!A110="","",Weekly_Demand!A110)</f>
        <v>22698</v>
      </c>
      <c r="B110" s="44" t="str">
        <f aca="false">IF($A110="","",Weekly_Demand!C110)</f>
        <v>Other</v>
      </c>
      <c r="C110" s="45" t="n">
        <f aca="false">IF($A110="","",Weekly_Demand!D110)</f>
        <v>1.77</v>
      </c>
      <c r="D110" s="46" t="n">
        <f aca="false">IF($A110="","",Weekly_Demand!E110+Assumptions!$B$19)</f>
        <v>6</v>
      </c>
      <c r="E110" s="46" t="n">
        <f aca="false">IF($A110="","",Weekly_Demand!F110)</f>
        <v>2821</v>
      </c>
      <c r="F110" s="46" t="n">
        <f aca="false">IF($A110="","",SUM(Weekly_Demand!G110:BF110))</f>
        <v>5641</v>
      </c>
      <c r="G110" s="51" t="n">
        <f aca="false">IF($A110="","",IFERROR(F110/Assumptions!$B$6,0))</f>
        <v>108.480769230769</v>
      </c>
      <c r="H110" s="51" t="n">
        <f aca="false">IF($A110="","",STDEV(Weekly_Demand!G110:BF110))</f>
        <v>77.2763034435944</v>
      </c>
      <c r="I110" s="52" t="n">
        <f aca="false">IF($A110="","",IFERROR(H110/G110,0))</f>
        <v>0.71235025333574</v>
      </c>
      <c r="J110" s="53" t="n">
        <f aca="false">IF($A110="","",F110*C110)</f>
        <v>9984.57</v>
      </c>
      <c r="K110" s="54" t="n">
        <f aca="false">IF($A110="","",IFERROR(J110/$J$505,0))</f>
        <v>0.00258353111290383</v>
      </c>
      <c r="L110" s="54" t="n">
        <f aca="false">IF($A110="","",IFERROR(SUMIFS($J$5:$J$504,$AB$5:$AB$504,"&lt;="&amp;AB110)/$J$505,0))</f>
        <v>0.47941501320942</v>
      </c>
      <c r="M110" s="55" t="str">
        <f aca="false">IF($A110="","",IF(L110&lt;=Assumptions!$B$7,"A",IF(L110&lt;=Assumptions!$B$8,"B","C")))</f>
        <v>A</v>
      </c>
      <c r="N110" s="55" t="str">
        <f aca="false">IF($A110="","",IF(I110&lt;=Assumptions!$B$9,"X",IF(I110&lt;=Assumptions!$B$10,"Y","Z")))</f>
        <v>Y</v>
      </c>
      <c r="O110" s="56" t="str">
        <f aca="false">IF($A110="","",M110&amp;N110)</f>
        <v>AY</v>
      </c>
      <c r="P110" s="57" t="n">
        <f aca="false">IF($A110="","",INDEX(Assumptions!$B$35:$B$37,MATCH(M110,Assumptions!$A$35:$A$37,0)))</f>
        <v>0.98</v>
      </c>
      <c r="Q110" s="58" t="n">
        <f aca="false">IF($A110="","",NORMSINV(P110))</f>
        <v>2.05374891063182</v>
      </c>
      <c r="R110" s="48" t="n">
        <f aca="false">IF($A110="","",ROUNDUP(Q110*H110*SQRT(D110),0))</f>
        <v>389</v>
      </c>
      <c r="S110" s="48" t="n">
        <f aca="false">IF($A110="","",ROUNDUP(G110*D110+R110,0))</f>
        <v>1040</v>
      </c>
      <c r="T110" s="46" t="n">
        <f aca="false">IF($A110="","",IFERROR(ROUND(SQRT(2*F110*Assumptions!$B$4/(Assumptions!$B$5*C110)),0),0))</f>
        <v>1129</v>
      </c>
      <c r="U110" s="53" t="n">
        <f aca="false">IF($A110="","",R110*C110)</f>
        <v>688.53</v>
      </c>
      <c r="V110" s="53" t="n">
        <f aca="false">IF($A110="","",E110*C110)</f>
        <v>4993.17</v>
      </c>
      <c r="W110" s="59" t="n">
        <f aca="false">IF($A110="","",IFERROR(E110/G110,0))</f>
        <v>26.0046091118596</v>
      </c>
      <c r="X110" s="48" t="n">
        <f aca="false">IF($A110="","",S110+T110)</f>
        <v>2169</v>
      </c>
      <c r="Y110" s="48" t="n">
        <f aca="false">IF($A110="","",MAX(0,E110-X110))</f>
        <v>652</v>
      </c>
      <c r="Z110" s="53" t="n">
        <f aca="false">IF($A110="","",Y110*C110)</f>
        <v>1154.04</v>
      </c>
      <c r="AA110" s="56" t="str">
        <f aca="false">IF($A110="","",IF(E110&lt;=R110,"Below Safety Stock",IF(E110&lt;=S110,"Reorder Now",IF(E110&gt;X110,"Excess","Healthy"))))</f>
        <v>Excess</v>
      </c>
      <c r="AB110" s="48" t="n">
        <f aca="false">IF($A110="","",RANK(AF110,$AF$5:$AF$504,0)+COUNTIF($AF$5:AF110,AF110)-1)</f>
        <v>105</v>
      </c>
      <c r="AC110" s="44" t="str">
        <f aca="false">IF($A110="","",Weekly_Demand!B110)</f>
        <v>PINK REGENCY TEACUP AND SAUCER</v>
      </c>
      <c r="AD110" s="59" t="n">
        <f aca="false">IF($A110="","",H110*SQRT(D110))</f>
        <v>189.287512645285</v>
      </c>
      <c r="AE110" s="53" t="n">
        <f aca="false">IF($A110="","",AD110*C110)</f>
        <v>335.038897382154</v>
      </c>
      <c r="AF110" s="53" t="n">
        <f aca="false">IF($A110="","",ROUND(J110,2))</f>
        <v>9984.57</v>
      </c>
    </row>
    <row r="111" customFormat="false" ht="15" hidden="false" customHeight="false" outlineLevel="0" collapsed="false">
      <c r="A111" s="44" t="str">
        <f aca="false">IF(Weekly_Demand!A111="","",Weekly_Demand!A111)</f>
        <v>22385</v>
      </c>
      <c r="B111" s="44" t="str">
        <f aca="false">IF($A111="","",Weekly_Demand!C111)</f>
        <v>Bags</v>
      </c>
      <c r="C111" s="45" t="n">
        <f aca="false">IF($A111="","",Weekly_Demand!D111)</f>
        <v>1.248</v>
      </c>
      <c r="D111" s="46" t="n">
        <f aca="false">IF($A111="","",Weekly_Demand!E111+Assumptions!$B$19)</f>
        <v>4</v>
      </c>
      <c r="E111" s="46" t="n">
        <f aca="false">IF($A111="","",Weekly_Demand!F111)</f>
        <v>165</v>
      </c>
      <c r="F111" s="46" t="n">
        <f aca="false">IF($A111="","",SUM(Weekly_Demand!G111:BF111))</f>
        <v>8592</v>
      </c>
      <c r="G111" s="51" t="n">
        <f aca="false">IF($A111="","",IFERROR(F111/Assumptions!$B$6,0))</f>
        <v>165.230769230769</v>
      </c>
      <c r="H111" s="51" t="n">
        <f aca="false">IF($A111="","",STDEV(Weekly_Demand!G111:BF111))</f>
        <v>135.601147456626</v>
      </c>
      <c r="I111" s="52" t="n">
        <f aca="false">IF($A111="","",IFERROR(H111/G111,0))</f>
        <v>0.820677335631347</v>
      </c>
      <c r="J111" s="53" t="n">
        <f aca="false">IF($A111="","",F111*C111)</f>
        <v>10722.816</v>
      </c>
      <c r="K111" s="54" t="n">
        <f aca="false">IF($A111="","",IFERROR(J111/$J$505,0))</f>
        <v>0.00277455401223518</v>
      </c>
      <c r="L111" s="54" t="n">
        <f aca="false">IF($A111="","",IFERROR(SUMIFS($J$5:$J$504,$AB$5:$AB$504,"&lt;="&amp;AB111)/$J$505,0))</f>
        <v>0.458211961978126</v>
      </c>
      <c r="M111" s="55" t="str">
        <f aca="false">IF($A111="","",IF(L111&lt;=Assumptions!$B$7,"A",IF(L111&lt;=Assumptions!$B$8,"B","C")))</f>
        <v>A</v>
      </c>
      <c r="N111" s="55" t="str">
        <f aca="false">IF($A111="","",IF(I111&lt;=Assumptions!$B$9,"X",IF(I111&lt;=Assumptions!$B$10,"Y","Z")))</f>
        <v>Y</v>
      </c>
      <c r="O111" s="56" t="str">
        <f aca="false">IF($A111="","",M111&amp;N111)</f>
        <v>AY</v>
      </c>
      <c r="P111" s="57" t="n">
        <f aca="false">IF($A111="","",INDEX(Assumptions!$B$35:$B$37,MATCH(M111,Assumptions!$A$35:$A$37,0)))</f>
        <v>0.98</v>
      </c>
      <c r="Q111" s="58" t="n">
        <f aca="false">IF($A111="","",NORMSINV(P111))</f>
        <v>2.05374891063182</v>
      </c>
      <c r="R111" s="48" t="n">
        <f aca="false">IF($A111="","",ROUNDUP(Q111*H111*SQRT(D111),0))</f>
        <v>557</v>
      </c>
      <c r="S111" s="48" t="n">
        <f aca="false">IF($A111="","",ROUNDUP(G111*D111+R111,0))</f>
        <v>1218</v>
      </c>
      <c r="T111" s="46" t="n">
        <f aca="false">IF($A111="","",IFERROR(ROUND(SQRT(2*F111*Assumptions!$B$4/(Assumptions!$B$5*C111)),0),0))</f>
        <v>1659</v>
      </c>
      <c r="U111" s="53" t="n">
        <f aca="false">IF($A111="","",R111*C111)</f>
        <v>695.136</v>
      </c>
      <c r="V111" s="53" t="n">
        <f aca="false">IF($A111="","",E111*C111)</f>
        <v>205.92</v>
      </c>
      <c r="W111" s="59" t="n">
        <f aca="false">IF($A111="","",IFERROR(E111/G111,0))</f>
        <v>0.998603351955307</v>
      </c>
      <c r="X111" s="48" t="n">
        <f aca="false">IF($A111="","",S111+T111)</f>
        <v>2877</v>
      </c>
      <c r="Y111" s="48" t="n">
        <f aca="false">IF($A111="","",MAX(0,E111-X111))</f>
        <v>0</v>
      </c>
      <c r="Z111" s="53" t="n">
        <f aca="false">IF($A111="","",Y111*C111)</f>
        <v>0</v>
      </c>
      <c r="AA111" s="56" t="str">
        <f aca="false">IF($A111="","",IF(E111&lt;=R111,"Below Safety Stock",IF(E111&lt;=S111,"Reorder Now",IF(E111&gt;X111,"Excess","Healthy"))))</f>
        <v>Below Safety Stock</v>
      </c>
      <c r="AB111" s="48" t="n">
        <f aca="false">IF($A111="","",RANK(AF111,$AF$5:$AF$504,0)+COUNTIF($AF$5:AF111,AF111)-1)</f>
        <v>97</v>
      </c>
      <c r="AC111" s="44" t="str">
        <f aca="false">IF($A111="","",Weekly_Demand!B111)</f>
        <v>JUMBO BAG SPACEBOY DESIGN</v>
      </c>
      <c r="AD111" s="59" t="n">
        <f aca="false">IF($A111="","",H111*SQRT(D111))</f>
        <v>271.202294913251</v>
      </c>
      <c r="AE111" s="53" t="n">
        <f aca="false">IF($A111="","",AD111*C111)</f>
        <v>338.460464051738</v>
      </c>
      <c r="AF111" s="53" t="n">
        <f aca="false">IF($A111="","",ROUND(J111,2))</f>
        <v>10722.82</v>
      </c>
    </row>
    <row r="112" customFormat="false" ht="15" hidden="false" customHeight="false" outlineLevel="0" collapsed="false">
      <c r="A112" s="44" t="str">
        <f aca="false">IF(Weekly_Demand!A112="","",Weekly_Demand!A112)</f>
        <v>82583</v>
      </c>
      <c r="B112" s="44" t="str">
        <f aca="false">IF($A112="","",Weekly_Demand!C112)</f>
        <v>Other</v>
      </c>
      <c r="C112" s="45" t="n">
        <f aca="false">IF($A112="","",Weekly_Demand!D112)</f>
        <v>1.26</v>
      </c>
      <c r="D112" s="46" t="n">
        <f aca="false">IF($A112="","",Weekly_Demand!E112+Assumptions!$B$19)</f>
        <v>8</v>
      </c>
      <c r="E112" s="46" t="n">
        <f aca="false">IF($A112="","",Weekly_Demand!F112)</f>
        <v>1386</v>
      </c>
      <c r="F112" s="46" t="n">
        <f aca="false">IF($A112="","",SUM(Weekly_Demand!G112:BF112))</f>
        <v>7205</v>
      </c>
      <c r="G112" s="51" t="n">
        <f aca="false">IF($A112="","",IFERROR(F112/Assumptions!$B$6,0))</f>
        <v>138.557692307692</v>
      </c>
      <c r="H112" s="51" t="n">
        <f aca="false">IF($A112="","",STDEV(Weekly_Demand!G112:BF112))</f>
        <v>138.31683059535</v>
      </c>
      <c r="I112" s="52" t="n">
        <f aca="false">IF($A112="","",IFERROR(H112/G112,0))</f>
        <v>0.998261650375876</v>
      </c>
      <c r="J112" s="53" t="n">
        <f aca="false">IF($A112="","",F112*C112)</f>
        <v>9078.3</v>
      </c>
      <c r="K112" s="54" t="n">
        <f aca="false">IF($A112="","",IFERROR(J112/$J$505,0))</f>
        <v>0.00234903160599553</v>
      </c>
      <c r="L112" s="54" t="n">
        <f aca="false">IF($A112="","",IFERROR(SUMIFS($J$5:$J$504,$AB$5:$AB$504,"&lt;="&amp;AB112)/$J$505,0))</f>
        <v>0.530901041529455</v>
      </c>
      <c r="M112" s="55" t="str">
        <f aca="false">IF($A112="","",IF(L112&lt;=Assumptions!$B$7,"A",IF(L112&lt;=Assumptions!$B$8,"B","C")))</f>
        <v>A</v>
      </c>
      <c r="N112" s="55" t="str">
        <f aca="false">IF($A112="","",IF(I112&lt;=Assumptions!$B$9,"X",IF(I112&lt;=Assumptions!$B$10,"Y","Z")))</f>
        <v>Y</v>
      </c>
      <c r="O112" s="56" t="str">
        <f aca="false">IF($A112="","",M112&amp;N112)</f>
        <v>AY</v>
      </c>
      <c r="P112" s="57" t="n">
        <f aca="false">IF($A112="","",INDEX(Assumptions!$B$35:$B$37,MATCH(M112,Assumptions!$A$35:$A$37,0)))</f>
        <v>0.98</v>
      </c>
      <c r="Q112" s="58" t="n">
        <f aca="false">IF($A112="","",NORMSINV(P112))</f>
        <v>2.05374891063182</v>
      </c>
      <c r="R112" s="48" t="n">
        <f aca="false">IF($A112="","",ROUNDUP(Q112*H112*SQRT(D112),0))</f>
        <v>804</v>
      </c>
      <c r="S112" s="48" t="n">
        <f aca="false">IF($A112="","",ROUNDUP(G112*D112+R112,0))</f>
        <v>1913</v>
      </c>
      <c r="T112" s="46" t="n">
        <f aca="false">IF($A112="","",IFERROR(ROUND(SQRT(2*F112*Assumptions!$B$4/(Assumptions!$B$5*C112)),0),0))</f>
        <v>1512</v>
      </c>
      <c r="U112" s="53" t="n">
        <f aca="false">IF($A112="","",R112*C112)</f>
        <v>1013.04</v>
      </c>
      <c r="V112" s="53" t="n">
        <f aca="false">IF($A112="","",E112*C112)</f>
        <v>1746.36</v>
      </c>
      <c r="W112" s="59" t="n">
        <f aca="false">IF($A112="","",IFERROR(E112/G112,0))</f>
        <v>10.0030534351145</v>
      </c>
      <c r="X112" s="48" t="n">
        <f aca="false">IF($A112="","",S112+T112)</f>
        <v>3425</v>
      </c>
      <c r="Y112" s="48" t="n">
        <f aca="false">IF($A112="","",MAX(0,E112-X112))</f>
        <v>0</v>
      </c>
      <c r="Z112" s="53" t="n">
        <f aca="false">IF($A112="","",Y112*C112)</f>
        <v>0</v>
      </c>
      <c r="AA112" s="56" t="str">
        <f aca="false">IF($A112="","",IF(E112&lt;=R112,"Below Safety Stock",IF(E112&lt;=S112,"Reorder Now",IF(E112&gt;X112,"Excess","Healthy"))))</f>
        <v>Reorder Now</v>
      </c>
      <c r="AB112" s="48" t="n">
        <f aca="false">IF($A112="","",RANK(AF112,$AF$5:$AF$504,0)+COUNTIF($AF$5:AF112,AF112)-1)</f>
        <v>126</v>
      </c>
      <c r="AC112" s="44" t="str">
        <f aca="false">IF($A112="","",Weekly_Demand!B112)</f>
        <v>HOT BATHS METAL SIGN</v>
      </c>
      <c r="AD112" s="59" t="n">
        <f aca="false">IF($A112="","",H112*SQRT(D112))</f>
        <v>391.219075464811</v>
      </c>
      <c r="AE112" s="53" t="n">
        <f aca="false">IF($A112="","",AD112*C112)</f>
        <v>492.936035085662</v>
      </c>
      <c r="AF112" s="53" t="n">
        <f aca="false">IF($A112="","",ROUND(J112,2))</f>
        <v>9078.3</v>
      </c>
    </row>
    <row r="113" customFormat="false" ht="15" hidden="false" customHeight="false" outlineLevel="0" collapsed="false">
      <c r="A113" s="44" t="str">
        <f aca="false">IF(Weekly_Demand!A113="","",Weekly_Demand!A113)</f>
        <v>22835</v>
      </c>
      <c r="B113" s="44" t="str">
        <f aca="false">IF($A113="","",Weekly_Demand!C113)</f>
        <v>Other</v>
      </c>
      <c r="C113" s="45" t="n">
        <f aca="false">IF($A113="","",Weekly_Demand!D113)</f>
        <v>2.97</v>
      </c>
      <c r="D113" s="46" t="n">
        <f aca="false">IF($A113="","",Weekly_Demand!E113+Assumptions!$B$19)</f>
        <v>8</v>
      </c>
      <c r="E113" s="46" t="n">
        <f aca="false">IF($A113="","",Weekly_Demand!F113)</f>
        <v>748</v>
      </c>
      <c r="F113" s="46" t="n">
        <f aca="false">IF($A113="","",SUM(Weekly_Demand!G113:BF113))</f>
        <v>3241</v>
      </c>
      <c r="G113" s="51" t="n">
        <f aca="false">IF($A113="","",IFERROR(F113/Assumptions!$B$6,0))</f>
        <v>62.3269230769231</v>
      </c>
      <c r="H113" s="51" t="n">
        <f aca="false">IF($A113="","",STDEV(Weekly_Demand!G113:BF113))</f>
        <v>85.7915213951127</v>
      </c>
      <c r="I113" s="52" t="n">
        <f aca="false">IF($A113="","",IFERROR(H113/G113,0))</f>
        <v>1.37647612235293</v>
      </c>
      <c r="J113" s="53" t="n">
        <f aca="false">IF($A113="","",F113*C113)</f>
        <v>9625.77</v>
      </c>
      <c r="K113" s="54" t="n">
        <f aca="false">IF($A113="","",IFERROR(J113/$J$505,0))</f>
        <v>0.00249069076391435</v>
      </c>
      <c r="L113" s="54" t="n">
        <f aca="false">IF($A113="","",IFERROR(SUMIFS($J$5:$J$504,$AB$5:$AB$504,"&lt;="&amp;AB113)/$J$505,0))</f>
        <v>0.497205063805128</v>
      </c>
      <c r="M113" s="55" t="str">
        <f aca="false">IF($A113="","",IF(L113&lt;=Assumptions!$B$7,"A",IF(L113&lt;=Assumptions!$B$8,"B","C")))</f>
        <v>A</v>
      </c>
      <c r="N113" s="55" t="str">
        <f aca="false">IF($A113="","",IF(I113&lt;=Assumptions!$B$9,"X",IF(I113&lt;=Assumptions!$B$10,"Y","Z")))</f>
        <v>Z</v>
      </c>
      <c r="O113" s="56" t="str">
        <f aca="false">IF($A113="","",M113&amp;N113)</f>
        <v>AZ</v>
      </c>
      <c r="P113" s="57" t="n">
        <f aca="false">IF($A113="","",INDEX(Assumptions!$B$35:$B$37,MATCH(M113,Assumptions!$A$35:$A$37,0)))</f>
        <v>0.98</v>
      </c>
      <c r="Q113" s="58" t="n">
        <f aca="false">IF($A113="","",NORMSINV(P113))</f>
        <v>2.05374891063182</v>
      </c>
      <c r="R113" s="48" t="n">
        <f aca="false">IF($A113="","",ROUNDUP(Q113*H113*SQRT(D113),0))</f>
        <v>499</v>
      </c>
      <c r="S113" s="48" t="n">
        <f aca="false">IF($A113="","",ROUNDUP(G113*D113+R113,0))</f>
        <v>998</v>
      </c>
      <c r="T113" s="46" t="n">
        <f aca="false">IF($A113="","",IFERROR(ROUND(SQRT(2*F113*Assumptions!$B$4/(Assumptions!$B$5*C113)),0),0))</f>
        <v>661</v>
      </c>
      <c r="U113" s="53" t="n">
        <f aca="false">IF($A113="","",R113*C113)</f>
        <v>1482.03</v>
      </c>
      <c r="V113" s="53" t="n">
        <f aca="false">IF($A113="","",E113*C113)</f>
        <v>2221.56</v>
      </c>
      <c r="W113" s="59" t="n">
        <f aca="false">IF($A113="","",IFERROR(E113/G113,0))</f>
        <v>12.0012341869793</v>
      </c>
      <c r="X113" s="48" t="n">
        <f aca="false">IF($A113="","",S113+T113)</f>
        <v>1659</v>
      </c>
      <c r="Y113" s="48" t="n">
        <f aca="false">IF($A113="","",MAX(0,E113-X113))</f>
        <v>0</v>
      </c>
      <c r="Z113" s="53" t="n">
        <f aca="false">IF($A113="","",Y113*C113)</f>
        <v>0</v>
      </c>
      <c r="AA113" s="56" t="str">
        <f aca="false">IF($A113="","",IF(E113&lt;=R113,"Below Safety Stock",IF(E113&lt;=S113,"Reorder Now",IF(E113&gt;X113,"Excess","Healthy"))))</f>
        <v>Reorder Now</v>
      </c>
      <c r="AB113" s="48" t="n">
        <f aca="false">IF($A113="","",RANK(AF113,$AF$5:$AF$504,0)+COUNTIF($AF$5:AF113,AF113)-1)</f>
        <v>112</v>
      </c>
      <c r="AC113" s="44" t="str">
        <f aca="false">IF($A113="","",Weekly_Demand!B113)</f>
        <v>HOT WATER BOTTLE I AM SO POORLY</v>
      </c>
      <c r="AD113" s="59" t="n">
        <f aca="false">IF($A113="","",H113*SQRT(D113))</f>
        <v>242.65506618718</v>
      </c>
      <c r="AE113" s="53" t="n">
        <f aca="false">IF($A113="","",AD113*C113)</f>
        <v>720.685546575925</v>
      </c>
      <c r="AF113" s="53" t="n">
        <f aca="false">IF($A113="","",ROUND(J113,2))</f>
        <v>9625.77</v>
      </c>
    </row>
    <row r="114" customFormat="false" ht="15" hidden="false" customHeight="false" outlineLevel="0" collapsed="false">
      <c r="A114" s="44" t="str">
        <f aca="false">IF(Weekly_Demand!A114="","",Weekly_Demand!A114)</f>
        <v>21485</v>
      </c>
      <c r="B114" s="44" t="str">
        <f aca="false">IF($A114="","",Weekly_Demand!C114)</f>
        <v>Other</v>
      </c>
      <c r="C114" s="45" t="n">
        <f aca="false">IF($A114="","",Weekly_Demand!D114)</f>
        <v>2.97</v>
      </c>
      <c r="D114" s="46" t="n">
        <f aca="false">IF($A114="","",Weekly_Demand!E114+Assumptions!$B$19)</f>
        <v>4</v>
      </c>
      <c r="E114" s="46" t="n">
        <f aca="false">IF($A114="","",Weekly_Demand!F114)</f>
        <v>64</v>
      </c>
      <c r="F114" s="46" t="n">
        <f aca="false">IF($A114="","",SUM(Weekly_Demand!G114:BF114))</f>
        <v>3311</v>
      </c>
      <c r="G114" s="51" t="n">
        <f aca="false">IF($A114="","",IFERROR(F114/Assumptions!$B$6,0))</f>
        <v>63.6730769230769</v>
      </c>
      <c r="H114" s="51" t="n">
        <f aca="false">IF($A114="","",STDEV(Weekly_Demand!G114:BF114))</f>
        <v>96.5281064735371</v>
      </c>
      <c r="I114" s="52" t="n">
        <f aca="false">IF($A114="","",IFERROR(H114/G114,0))</f>
        <v>1.5159956317197</v>
      </c>
      <c r="J114" s="53" t="n">
        <f aca="false">IF($A114="","",F114*C114)</f>
        <v>9833.67</v>
      </c>
      <c r="K114" s="54" t="n">
        <f aca="false">IF($A114="","",IFERROR(J114/$J$505,0))</f>
        <v>0.00254448538084554</v>
      </c>
      <c r="L114" s="54" t="n">
        <f aca="false">IF($A114="","",IFERROR(SUMIFS($J$5:$J$504,$AB$5:$AB$504,"&lt;="&amp;AB114)/$J$505,0))</f>
        <v>0.49221432061669</v>
      </c>
      <c r="M114" s="55" t="str">
        <f aca="false">IF($A114="","",IF(L114&lt;=Assumptions!$B$7,"A",IF(L114&lt;=Assumptions!$B$8,"B","C")))</f>
        <v>A</v>
      </c>
      <c r="N114" s="55" t="str">
        <f aca="false">IF($A114="","",IF(I114&lt;=Assumptions!$B$9,"X",IF(I114&lt;=Assumptions!$B$10,"Y","Z")))</f>
        <v>Z</v>
      </c>
      <c r="O114" s="56" t="str">
        <f aca="false">IF($A114="","",M114&amp;N114)</f>
        <v>AZ</v>
      </c>
      <c r="P114" s="57" t="n">
        <f aca="false">IF($A114="","",INDEX(Assumptions!$B$35:$B$37,MATCH(M114,Assumptions!$A$35:$A$37,0)))</f>
        <v>0.98</v>
      </c>
      <c r="Q114" s="58" t="n">
        <f aca="false">IF($A114="","",NORMSINV(P114))</f>
        <v>2.05374891063182</v>
      </c>
      <c r="R114" s="48" t="n">
        <f aca="false">IF($A114="","",ROUNDUP(Q114*H114*SQRT(D114),0))</f>
        <v>397</v>
      </c>
      <c r="S114" s="48" t="n">
        <f aca="false">IF($A114="","",ROUNDUP(G114*D114+R114,0))</f>
        <v>652</v>
      </c>
      <c r="T114" s="46" t="n">
        <f aca="false">IF($A114="","",IFERROR(ROUND(SQRT(2*F114*Assumptions!$B$4/(Assumptions!$B$5*C114)),0),0))</f>
        <v>668</v>
      </c>
      <c r="U114" s="53" t="n">
        <f aca="false">IF($A114="","",R114*C114)</f>
        <v>1179.09</v>
      </c>
      <c r="V114" s="53" t="n">
        <f aca="false">IF($A114="","",E114*C114)</f>
        <v>190.08</v>
      </c>
      <c r="W114" s="59" t="n">
        <f aca="false">IF($A114="","",IFERROR(E114/G114,0))</f>
        <v>1.00513440048324</v>
      </c>
      <c r="X114" s="48" t="n">
        <f aca="false">IF($A114="","",S114+T114)</f>
        <v>1320</v>
      </c>
      <c r="Y114" s="48" t="n">
        <f aca="false">IF($A114="","",MAX(0,E114-X114))</f>
        <v>0</v>
      </c>
      <c r="Z114" s="53" t="n">
        <f aca="false">IF($A114="","",Y114*C114)</f>
        <v>0</v>
      </c>
      <c r="AA114" s="56" t="str">
        <f aca="false">IF($A114="","",IF(E114&lt;=R114,"Below Safety Stock",IF(E114&lt;=S114,"Reorder Now",IF(E114&gt;X114,"Excess","Healthy"))))</f>
        <v>Below Safety Stock</v>
      </c>
      <c r="AB114" s="48" t="n">
        <f aca="false">IF($A114="","",RANK(AF114,$AF$5:$AF$504,0)+COUNTIF($AF$5:AF114,AF114)-1)</f>
        <v>110</v>
      </c>
      <c r="AC114" s="44" t="str">
        <f aca="false">IF($A114="","",Weekly_Demand!B114)</f>
        <v>RETROSPOT HEART HOT WATER BOTTLE</v>
      </c>
      <c r="AD114" s="59" t="n">
        <f aca="false">IF($A114="","",H114*SQRT(D114))</f>
        <v>193.056212947074</v>
      </c>
      <c r="AE114" s="53" t="n">
        <f aca="false">IF($A114="","",AD114*C114)</f>
        <v>573.37695245281</v>
      </c>
      <c r="AF114" s="53" t="n">
        <f aca="false">IF($A114="","",ROUND(J114,2))</f>
        <v>9833.67</v>
      </c>
    </row>
    <row r="115" customFormat="false" ht="15" hidden="false" customHeight="false" outlineLevel="0" collapsed="false">
      <c r="A115" s="44" t="str">
        <f aca="false">IF(Weekly_Demand!A115="","",Weekly_Demand!A115)</f>
        <v>84997C</v>
      </c>
      <c r="B115" s="44" t="str">
        <f aca="false">IF($A115="","",Weekly_Demand!C115)</f>
        <v>Other</v>
      </c>
      <c r="C115" s="45" t="n">
        <f aca="false">IF($A115="","",Weekly_Demand!D115)</f>
        <v>2.49</v>
      </c>
      <c r="D115" s="46" t="n">
        <f aca="false">IF($A115="","",Weekly_Demand!E115+Assumptions!$B$19)</f>
        <v>4</v>
      </c>
      <c r="E115" s="46" t="n">
        <f aca="false">IF($A115="","",Weekly_Demand!F115)</f>
        <v>461</v>
      </c>
      <c r="F115" s="46" t="n">
        <f aca="false">IF($A115="","",SUM(Weekly_Demand!G115:BF115))</f>
        <v>3998</v>
      </c>
      <c r="G115" s="51" t="n">
        <f aca="false">IF($A115="","",IFERROR(F115/Assumptions!$B$6,0))</f>
        <v>76.8846153846154</v>
      </c>
      <c r="H115" s="51" t="n">
        <f aca="false">IF($A115="","",STDEV(Weekly_Demand!G115:BF115))</f>
        <v>85.6464812976733</v>
      </c>
      <c r="I115" s="52" t="n">
        <f aca="false">IF($A115="","",IFERROR(H115/G115,0))</f>
        <v>1.1139612374885</v>
      </c>
      <c r="J115" s="53" t="n">
        <f aca="false">IF($A115="","",F115*C115)</f>
        <v>9955.02</v>
      </c>
      <c r="K115" s="54" t="n">
        <f aca="false">IF($A115="","",IFERROR(J115/$J$505,0))</f>
        <v>0.00257588498048287</v>
      </c>
      <c r="L115" s="54" t="n">
        <f aca="false">IF($A115="","",IFERROR(SUMIFS($J$5:$J$504,$AB$5:$AB$504,"&lt;="&amp;AB115)/$J$505,0))</f>
        <v>0.481990898189903</v>
      </c>
      <c r="M115" s="55" t="str">
        <f aca="false">IF($A115="","",IF(L115&lt;=Assumptions!$B$7,"A",IF(L115&lt;=Assumptions!$B$8,"B","C")))</f>
        <v>A</v>
      </c>
      <c r="N115" s="55" t="str">
        <f aca="false">IF($A115="","",IF(I115&lt;=Assumptions!$B$9,"X",IF(I115&lt;=Assumptions!$B$10,"Y","Z")))</f>
        <v>Z</v>
      </c>
      <c r="O115" s="56" t="str">
        <f aca="false">IF($A115="","",M115&amp;N115)</f>
        <v>AZ</v>
      </c>
      <c r="P115" s="57" t="n">
        <f aca="false">IF($A115="","",INDEX(Assumptions!$B$35:$B$37,MATCH(M115,Assumptions!$A$35:$A$37,0)))</f>
        <v>0.98</v>
      </c>
      <c r="Q115" s="58" t="n">
        <f aca="false">IF($A115="","",NORMSINV(P115))</f>
        <v>2.05374891063182</v>
      </c>
      <c r="R115" s="48" t="n">
        <f aca="false">IF($A115="","",ROUNDUP(Q115*H115*SQRT(D115),0))</f>
        <v>352</v>
      </c>
      <c r="S115" s="48" t="n">
        <f aca="false">IF($A115="","",ROUNDUP(G115*D115+R115,0))</f>
        <v>660</v>
      </c>
      <c r="T115" s="46" t="n">
        <f aca="false">IF($A115="","",IFERROR(ROUND(SQRT(2*F115*Assumptions!$B$4/(Assumptions!$B$5*C115)),0),0))</f>
        <v>801</v>
      </c>
      <c r="U115" s="53" t="n">
        <f aca="false">IF($A115="","",R115*C115)</f>
        <v>876.48</v>
      </c>
      <c r="V115" s="53" t="n">
        <f aca="false">IF($A115="","",E115*C115)</f>
        <v>1147.89</v>
      </c>
      <c r="W115" s="59" t="n">
        <f aca="false">IF($A115="","",IFERROR(E115/G115,0))</f>
        <v>5.9959979989995</v>
      </c>
      <c r="X115" s="48" t="n">
        <f aca="false">IF($A115="","",S115+T115)</f>
        <v>1461</v>
      </c>
      <c r="Y115" s="48" t="n">
        <f aca="false">IF($A115="","",MAX(0,E115-X115))</f>
        <v>0</v>
      </c>
      <c r="Z115" s="53" t="n">
        <f aca="false">IF($A115="","",Y115*C115)</f>
        <v>0</v>
      </c>
      <c r="AA115" s="56" t="str">
        <f aca="false">IF($A115="","",IF(E115&lt;=R115,"Below Safety Stock",IF(E115&lt;=S115,"Reorder Now",IF(E115&gt;X115,"Excess","Healthy"))))</f>
        <v>Reorder Now</v>
      </c>
      <c r="AB115" s="48" t="n">
        <f aca="false">IF($A115="","",RANK(AF115,$AF$5:$AF$504,0)+COUNTIF($AF$5:AF115,AF115)-1)</f>
        <v>106</v>
      </c>
      <c r="AC115" s="44" t="str">
        <f aca="false">IF($A115="","",Weekly_Demand!B115)</f>
        <v>CHILDRENS CUTLERY POLKADOT BLUE</v>
      </c>
      <c r="AD115" s="59" t="n">
        <f aca="false">IF($A115="","",H115*SQRT(D115))</f>
        <v>171.292962595347</v>
      </c>
      <c r="AE115" s="53" t="n">
        <f aca="false">IF($A115="","",AD115*C115)</f>
        <v>426.519476862413</v>
      </c>
      <c r="AF115" s="53" t="n">
        <f aca="false">IF($A115="","",ROUND(J115,2))</f>
        <v>9955.02</v>
      </c>
    </row>
    <row r="116" customFormat="false" ht="15" hidden="false" customHeight="false" outlineLevel="0" collapsed="false">
      <c r="A116" s="44" t="str">
        <f aca="false">IF(Weekly_Demand!A116="","",Weekly_Demand!A116)</f>
        <v>22492</v>
      </c>
      <c r="B116" s="44" t="str">
        <f aca="false">IF($A116="","",Weekly_Demand!C116)</f>
        <v>Other</v>
      </c>
      <c r="C116" s="45" t="n">
        <f aca="false">IF($A116="","",Weekly_Demand!D116)</f>
        <v>0.39</v>
      </c>
      <c r="D116" s="46" t="n">
        <f aca="false">IF($A116="","",Weekly_Demand!E116+Assumptions!$B$19)</f>
        <v>2</v>
      </c>
      <c r="E116" s="46" t="n">
        <f aca="false">IF($A116="","",Weekly_Demand!F116)</f>
        <v>4989</v>
      </c>
      <c r="F116" s="46" t="n">
        <f aca="false">IF($A116="","",SUM(Weekly_Demand!G116:BF116))</f>
        <v>25943</v>
      </c>
      <c r="G116" s="51" t="n">
        <f aca="false">IF($A116="","",IFERROR(F116/Assumptions!$B$6,0))</f>
        <v>498.903846153846</v>
      </c>
      <c r="H116" s="51" t="n">
        <f aca="false">IF($A116="","",STDEV(Weekly_Demand!G116:BF116))</f>
        <v>416.580160099876</v>
      </c>
      <c r="I116" s="52" t="n">
        <f aca="false">IF($A116="","",IFERROR(H116/G116,0))</f>
        <v>0.834990877122675</v>
      </c>
      <c r="J116" s="53" t="n">
        <f aca="false">IF($A116="","",F116*C116)</f>
        <v>10117.77</v>
      </c>
      <c r="K116" s="54" t="n">
        <f aca="false">IF($A116="","",IFERROR(J116/$J$505,0))</f>
        <v>0.00261799692808052</v>
      </c>
      <c r="L116" s="54" t="n">
        <f aca="false">IF($A116="","",IFERROR(SUMIFS($J$5:$J$504,$AB$5:$AB$504,"&lt;="&amp;AB116)/$J$505,0))</f>
        <v>0.474219516686091</v>
      </c>
      <c r="M116" s="55" t="str">
        <f aca="false">IF($A116="","",IF(L116&lt;=Assumptions!$B$7,"A",IF(L116&lt;=Assumptions!$B$8,"B","C")))</f>
        <v>A</v>
      </c>
      <c r="N116" s="55" t="str">
        <f aca="false">IF($A116="","",IF(I116&lt;=Assumptions!$B$9,"X",IF(I116&lt;=Assumptions!$B$10,"Y","Z")))</f>
        <v>Y</v>
      </c>
      <c r="O116" s="56" t="str">
        <f aca="false">IF($A116="","",M116&amp;N116)</f>
        <v>AY</v>
      </c>
      <c r="P116" s="57" t="n">
        <f aca="false">IF($A116="","",INDEX(Assumptions!$B$35:$B$37,MATCH(M116,Assumptions!$A$35:$A$37,0)))</f>
        <v>0.98</v>
      </c>
      <c r="Q116" s="58" t="n">
        <f aca="false">IF($A116="","",NORMSINV(P116))</f>
        <v>2.05374891063182</v>
      </c>
      <c r="R116" s="48" t="n">
        <f aca="false">IF($A116="","",ROUNDUP(Q116*H116*SQRT(D116),0))</f>
        <v>1210</v>
      </c>
      <c r="S116" s="48" t="n">
        <f aca="false">IF($A116="","",ROUNDUP(G116*D116+R116,0))</f>
        <v>2208</v>
      </c>
      <c r="T116" s="46" t="n">
        <f aca="false">IF($A116="","",IFERROR(ROUND(SQRT(2*F116*Assumptions!$B$4/(Assumptions!$B$5*C116)),0),0))</f>
        <v>5158</v>
      </c>
      <c r="U116" s="53" t="n">
        <f aca="false">IF($A116="","",R116*C116)</f>
        <v>471.9</v>
      </c>
      <c r="V116" s="53" t="n">
        <f aca="false">IF($A116="","",E116*C116)</f>
        <v>1945.71</v>
      </c>
      <c r="W116" s="59" t="n">
        <f aca="false">IF($A116="","",IFERROR(E116/G116,0))</f>
        <v>9.9999229079135</v>
      </c>
      <c r="X116" s="48" t="n">
        <f aca="false">IF($A116="","",S116+T116)</f>
        <v>7366</v>
      </c>
      <c r="Y116" s="48" t="n">
        <f aca="false">IF($A116="","",MAX(0,E116-X116))</f>
        <v>0</v>
      </c>
      <c r="Z116" s="53" t="n">
        <f aca="false">IF($A116="","",Y116*C116)</f>
        <v>0</v>
      </c>
      <c r="AA116" s="56" t="str">
        <f aca="false">IF($A116="","",IF(E116&lt;=R116,"Below Safety Stock",IF(E116&lt;=S116,"Reorder Now",IF(E116&gt;X116,"Excess","Healthy"))))</f>
        <v>Healthy</v>
      </c>
      <c r="AB116" s="48" t="n">
        <f aca="false">IF($A116="","",RANK(AF116,$AF$5:$AF$504,0)+COUNTIF($AF$5:AF116,AF116)-1)</f>
        <v>103</v>
      </c>
      <c r="AC116" s="44" t="str">
        <f aca="false">IF($A116="","",Weekly_Demand!B116)</f>
        <v>MINI PAINT SET VINTAGE</v>
      </c>
      <c r="AD116" s="59" t="n">
        <f aca="false">IF($A116="","",H116*SQRT(D116))</f>
        <v>589.1333122288</v>
      </c>
      <c r="AE116" s="53" t="n">
        <f aca="false">IF($A116="","",AD116*C116)</f>
        <v>229.761991769232</v>
      </c>
      <c r="AF116" s="53" t="n">
        <f aca="false">IF($A116="","",ROUND(J116,2))</f>
        <v>10117.77</v>
      </c>
    </row>
    <row r="117" customFormat="false" ht="15" hidden="false" customHeight="false" outlineLevel="0" collapsed="false">
      <c r="A117" s="44" t="str">
        <f aca="false">IF(Weekly_Demand!A117="","",Weekly_Demand!A117)</f>
        <v>23240</v>
      </c>
      <c r="B117" s="44" t="str">
        <f aca="false">IF($A117="","",Weekly_Demand!C117)</f>
        <v>Kitchen</v>
      </c>
      <c r="C117" s="45" t="n">
        <f aca="false">IF($A117="","",Weekly_Demand!D117)</f>
        <v>2.49</v>
      </c>
      <c r="D117" s="46" t="n">
        <f aca="false">IF($A117="","",Weekly_Demand!E117+Assumptions!$B$19)</f>
        <v>2</v>
      </c>
      <c r="E117" s="46" t="n">
        <f aca="false">IF($A117="","",Weekly_Demand!F117)</f>
        <v>624</v>
      </c>
      <c r="F117" s="46" t="n">
        <f aca="false">IF($A117="","",SUM(Weekly_Demand!G117:BF117))</f>
        <v>4054</v>
      </c>
      <c r="G117" s="51" t="n">
        <f aca="false">IF($A117="","",IFERROR(F117/Assumptions!$B$6,0))</f>
        <v>77.9615384615385</v>
      </c>
      <c r="H117" s="51" t="n">
        <f aca="false">IF($A117="","",STDEV(Weekly_Demand!G117:BF117))</f>
        <v>97.518014733621</v>
      </c>
      <c r="I117" s="52" t="n">
        <f aca="false">IF($A117="","",IFERROR(H117/G117,0))</f>
        <v>1.25084774695321</v>
      </c>
      <c r="J117" s="53" t="n">
        <f aca="false">IF($A117="","",F117*C117)</f>
        <v>10094.46</v>
      </c>
      <c r="K117" s="54" t="n">
        <f aca="false">IF($A117="","",IFERROR(J117/$J$505,0))</f>
        <v>0.0026119654104246</v>
      </c>
      <c r="L117" s="54" t="n">
        <f aca="false">IF($A117="","",IFERROR(SUMIFS($J$5:$J$504,$AB$5:$AB$504,"&lt;="&amp;AB117)/$J$505,0))</f>
        <v>0.476831482096516</v>
      </c>
      <c r="M117" s="55" t="str">
        <f aca="false">IF($A117="","",IF(L117&lt;=Assumptions!$B$7,"A",IF(L117&lt;=Assumptions!$B$8,"B","C")))</f>
        <v>A</v>
      </c>
      <c r="N117" s="55" t="str">
        <f aca="false">IF($A117="","",IF(I117&lt;=Assumptions!$B$9,"X",IF(I117&lt;=Assumptions!$B$10,"Y","Z")))</f>
        <v>Z</v>
      </c>
      <c r="O117" s="56" t="str">
        <f aca="false">IF($A117="","",M117&amp;N117)</f>
        <v>AZ</v>
      </c>
      <c r="P117" s="57" t="n">
        <f aca="false">IF($A117="","",INDEX(Assumptions!$B$35:$B$37,MATCH(M117,Assumptions!$A$35:$A$37,0)))</f>
        <v>0.98</v>
      </c>
      <c r="Q117" s="58" t="n">
        <f aca="false">IF($A117="","",NORMSINV(P117))</f>
        <v>2.05374891063182</v>
      </c>
      <c r="R117" s="48" t="n">
        <f aca="false">IF($A117="","",ROUNDUP(Q117*H117*SQRT(D117),0))</f>
        <v>284</v>
      </c>
      <c r="S117" s="48" t="n">
        <f aca="false">IF($A117="","",ROUNDUP(G117*D117+R117,0))</f>
        <v>440</v>
      </c>
      <c r="T117" s="46" t="n">
        <f aca="false">IF($A117="","",IFERROR(ROUND(SQRT(2*F117*Assumptions!$B$4/(Assumptions!$B$5*C117)),0),0))</f>
        <v>807</v>
      </c>
      <c r="U117" s="53" t="n">
        <f aca="false">IF($A117="","",R117*C117)</f>
        <v>707.16</v>
      </c>
      <c r="V117" s="53" t="n">
        <f aca="false">IF($A117="","",E117*C117)</f>
        <v>1553.76</v>
      </c>
      <c r="W117" s="59" t="n">
        <f aca="false">IF($A117="","",IFERROR(E117/G117,0))</f>
        <v>8.00394671928959</v>
      </c>
      <c r="X117" s="48" t="n">
        <f aca="false">IF($A117="","",S117+T117)</f>
        <v>1247</v>
      </c>
      <c r="Y117" s="48" t="n">
        <f aca="false">IF($A117="","",MAX(0,E117-X117))</f>
        <v>0</v>
      </c>
      <c r="Z117" s="53" t="n">
        <f aca="false">IF($A117="","",Y117*C117)</f>
        <v>0</v>
      </c>
      <c r="AA117" s="56" t="str">
        <f aca="false">IF($A117="","",IF(E117&lt;=R117,"Below Safety Stock",IF(E117&lt;=S117,"Reorder Now",IF(E117&gt;X117,"Excess","Healthy"))))</f>
        <v>Healthy</v>
      </c>
      <c r="AB117" s="48" t="n">
        <f aca="false">IF($A117="","",RANK(AF117,$AF$5:$AF$504,0)+COUNTIF($AF$5:AF117,AF117)-1)</f>
        <v>104</v>
      </c>
      <c r="AC117" s="44" t="str">
        <f aca="false">IF($A117="","",Weekly_Demand!B117)</f>
        <v>SET OF 4 KNICK KNACK TINS DOILY</v>
      </c>
      <c r="AD117" s="59" t="n">
        <f aca="false">IF($A117="","",H117*SQRT(D117))</f>
        <v>137.911299011986</v>
      </c>
      <c r="AE117" s="53" t="n">
        <f aca="false">IF($A117="","",AD117*C117)</f>
        <v>343.399134539846</v>
      </c>
      <c r="AF117" s="53" t="n">
        <f aca="false">IF($A117="","",ROUND(J117,2))</f>
        <v>10094.46</v>
      </c>
    </row>
    <row r="118" customFormat="false" ht="15" hidden="false" customHeight="false" outlineLevel="0" collapsed="false">
      <c r="A118" s="44" t="str">
        <f aca="false">IF(Weekly_Demand!A118="","",Weekly_Demand!A118)</f>
        <v>22077</v>
      </c>
      <c r="B118" s="44" t="str">
        <f aca="false">IF($A118="","",Weekly_Demand!C118)</f>
        <v>Other</v>
      </c>
      <c r="C118" s="45" t="n">
        <f aca="false">IF($A118="","",Weekly_Demand!D118)</f>
        <v>1.17</v>
      </c>
      <c r="D118" s="46" t="n">
        <f aca="false">IF($A118="","",Weekly_Demand!E118+Assumptions!$B$19)</f>
        <v>4</v>
      </c>
      <c r="E118" s="46" t="n">
        <f aca="false">IF($A118="","",Weekly_Demand!F118)</f>
        <v>170</v>
      </c>
      <c r="F118" s="46" t="n">
        <f aca="false">IF($A118="","",SUM(Weekly_Demand!G118:BF118))</f>
        <v>8845</v>
      </c>
      <c r="G118" s="51" t="n">
        <f aca="false">IF($A118="","",IFERROR(F118/Assumptions!$B$6,0))</f>
        <v>170.096153846154</v>
      </c>
      <c r="H118" s="51" t="n">
        <f aca="false">IF($A118="","",STDEV(Weekly_Demand!G118:BF118))</f>
        <v>98.136411586295</v>
      </c>
      <c r="I118" s="52" t="n">
        <f aca="false">IF($A118="","",IFERROR(H118/G118,0))</f>
        <v>0.576946682022311</v>
      </c>
      <c r="J118" s="53" t="n">
        <f aca="false">IF($A118="","",F118*C118)</f>
        <v>10348.65</v>
      </c>
      <c r="K118" s="54" t="n">
        <f aca="false">IF($A118="","",IFERROR(J118/$J$505,0))</f>
        <v>0.0026777376743868</v>
      </c>
      <c r="L118" s="54" t="n">
        <f aca="false">IF($A118="","",IFERROR(SUMIFS($J$5:$J$504,$AB$5:$AB$504,"&lt;="&amp;AB118)/$J$505,0))</f>
        <v>0.466324011672218</v>
      </c>
      <c r="M118" s="55" t="str">
        <f aca="false">IF($A118="","",IF(L118&lt;=Assumptions!$B$7,"A",IF(L118&lt;=Assumptions!$B$8,"B","C")))</f>
        <v>A</v>
      </c>
      <c r="N118" s="55" t="str">
        <f aca="false">IF($A118="","",IF(I118&lt;=Assumptions!$B$9,"X",IF(I118&lt;=Assumptions!$B$10,"Y","Z")))</f>
        <v>Y</v>
      </c>
      <c r="O118" s="56" t="str">
        <f aca="false">IF($A118="","",M118&amp;N118)</f>
        <v>AY</v>
      </c>
      <c r="P118" s="57" t="n">
        <f aca="false">IF($A118="","",INDEX(Assumptions!$B$35:$B$37,MATCH(M118,Assumptions!$A$35:$A$37,0)))</f>
        <v>0.98</v>
      </c>
      <c r="Q118" s="58" t="n">
        <f aca="false">IF($A118="","",NORMSINV(P118))</f>
        <v>2.05374891063182</v>
      </c>
      <c r="R118" s="48" t="n">
        <f aca="false">IF($A118="","",ROUNDUP(Q118*H118*SQRT(D118),0))</f>
        <v>404</v>
      </c>
      <c r="S118" s="48" t="n">
        <f aca="false">IF($A118="","",ROUNDUP(G118*D118+R118,0))</f>
        <v>1085</v>
      </c>
      <c r="T118" s="46" t="n">
        <f aca="false">IF($A118="","",IFERROR(ROUND(SQRT(2*F118*Assumptions!$B$4/(Assumptions!$B$5*C118)),0),0))</f>
        <v>1739</v>
      </c>
      <c r="U118" s="53" t="n">
        <f aca="false">IF($A118="","",R118*C118)</f>
        <v>472.68</v>
      </c>
      <c r="V118" s="53" t="n">
        <f aca="false">IF($A118="","",E118*C118)</f>
        <v>198.9</v>
      </c>
      <c r="W118" s="59" t="n">
        <f aca="false">IF($A118="","",IFERROR(E118/G118,0))</f>
        <v>0.999434708875071</v>
      </c>
      <c r="X118" s="48" t="n">
        <f aca="false">IF($A118="","",S118+T118)</f>
        <v>2824</v>
      </c>
      <c r="Y118" s="48" t="n">
        <f aca="false">IF($A118="","",MAX(0,E118-X118))</f>
        <v>0</v>
      </c>
      <c r="Z118" s="53" t="n">
        <f aca="false">IF($A118="","",Y118*C118)</f>
        <v>0</v>
      </c>
      <c r="AA118" s="56" t="str">
        <f aca="false">IF($A118="","",IF(E118&lt;=R118,"Below Safety Stock",IF(E118&lt;=S118,"Reorder Now",IF(E118&gt;X118,"Excess","Healthy"))))</f>
        <v>Below Safety Stock</v>
      </c>
      <c r="AB118" s="48" t="n">
        <f aca="false">IF($A118="","",RANK(AF118,$AF$5:$AF$504,0)+COUNTIF($AF$5:AF118,AF118)-1)</f>
        <v>100</v>
      </c>
      <c r="AC118" s="44" t="str">
        <f aca="false">IF($A118="","",Weekly_Demand!B118)</f>
        <v>6 RIBBONS RUSTIC CHARM</v>
      </c>
      <c r="AD118" s="59" t="n">
        <f aca="false">IF($A118="","",H118*SQRT(D118))</f>
        <v>196.27282317259</v>
      </c>
      <c r="AE118" s="53" t="n">
        <f aca="false">IF($A118="","",AD118*C118)</f>
        <v>229.63920311193</v>
      </c>
      <c r="AF118" s="53" t="n">
        <f aca="false">IF($A118="","",ROUND(J118,2))</f>
        <v>10348.65</v>
      </c>
    </row>
    <row r="119" customFormat="false" ht="15" hidden="false" customHeight="false" outlineLevel="0" collapsed="false">
      <c r="A119" s="44" t="str">
        <f aca="false">IF(Weekly_Demand!A119="","",Weekly_Demand!A119)</f>
        <v>21754</v>
      </c>
      <c r="B119" s="44" t="str">
        <f aca="false">IF($A119="","",Weekly_Demand!C119)</f>
        <v>Other</v>
      </c>
      <c r="C119" s="45" t="n">
        <f aca="false">IF($A119="","",Weekly_Demand!D119)</f>
        <v>3.57</v>
      </c>
      <c r="D119" s="46" t="n">
        <f aca="false">IF($A119="","",Weekly_Demand!E119+Assumptions!$B$19)</f>
        <v>6</v>
      </c>
      <c r="E119" s="46" t="n">
        <f aca="false">IF($A119="","",Weekly_Demand!F119)</f>
        <v>771</v>
      </c>
      <c r="F119" s="46" t="n">
        <f aca="false">IF($A119="","",SUM(Weekly_Demand!G119:BF119))</f>
        <v>2673</v>
      </c>
      <c r="G119" s="51" t="n">
        <f aca="false">IF($A119="","",IFERROR(F119/Assumptions!$B$6,0))</f>
        <v>51.4038461538462</v>
      </c>
      <c r="H119" s="51" t="n">
        <f aca="false">IF($A119="","",STDEV(Weekly_Demand!G119:BF119))</f>
        <v>26.8731658674703</v>
      </c>
      <c r="I119" s="52" t="n">
        <f aca="false">IF($A119="","",IFERROR(H119/G119,0))</f>
        <v>0.522785119756251</v>
      </c>
      <c r="J119" s="53" t="n">
        <f aca="false">IF($A119="","",F119*C119)</f>
        <v>9542.61</v>
      </c>
      <c r="K119" s="54" t="n">
        <f aca="false">IF($A119="","",IFERROR(J119/$J$505,0))</f>
        <v>0.00246917291714187</v>
      </c>
      <c r="L119" s="54" t="n">
        <f aca="false">IF($A119="","",IFERROR(SUMIFS($J$5:$J$504,$AB$5:$AB$504,"&lt;="&amp;AB119)/$J$505,0))</f>
        <v>0.504624668879578</v>
      </c>
      <c r="M119" s="55" t="str">
        <f aca="false">IF($A119="","",IF(L119&lt;=Assumptions!$B$7,"A",IF(L119&lt;=Assumptions!$B$8,"B","C")))</f>
        <v>A</v>
      </c>
      <c r="N119" s="55" t="str">
        <f aca="false">IF($A119="","",IF(I119&lt;=Assumptions!$B$9,"X",IF(I119&lt;=Assumptions!$B$10,"Y","Z")))</f>
        <v>Y</v>
      </c>
      <c r="O119" s="56" t="str">
        <f aca="false">IF($A119="","",M119&amp;N119)</f>
        <v>AY</v>
      </c>
      <c r="P119" s="57" t="n">
        <f aca="false">IF($A119="","",INDEX(Assumptions!$B$35:$B$37,MATCH(M119,Assumptions!$A$35:$A$37,0)))</f>
        <v>0.98</v>
      </c>
      <c r="Q119" s="58" t="n">
        <f aca="false">IF($A119="","",NORMSINV(P119))</f>
        <v>2.05374891063182</v>
      </c>
      <c r="R119" s="48" t="n">
        <f aca="false">IF($A119="","",ROUNDUP(Q119*H119*SQRT(D119),0))</f>
        <v>136</v>
      </c>
      <c r="S119" s="48" t="n">
        <f aca="false">IF($A119="","",ROUNDUP(G119*D119+R119,0))</f>
        <v>445</v>
      </c>
      <c r="T119" s="46" t="n">
        <f aca="false">IF($A119="","",IFERROR(ROUND(SQRT(2*F119*Assumptions!$B$4/(Assumptions!$B$5*C119)),0),0))</f>
        <v>547</v>
      </c>
      <c r="U119" s="53" t="n">
        <f aca="false">IF($A119="","",R119*C119)</f>
        <v>485.52</v>
      </c>
      <c r="V119" s="53" t="n">
        <f aca="false">IF($A119="","",E119*C119)</f>
        <v>2752.47</v>
      </c>
      <c r="W119" s="59" t="n">
        <f aca="false">IF($A119="","",IFERROR(E119/G119,0))</f>
        <v>14.9988776655443</v>
      </c>
      <c r="X119" s="48" t="n">
        <f aca="false">IF($A119="","",S119+T119)</f>
        <v>992</v>
      </c>
      <c r="Y119" s="48" t="n">
        <f aca="false">IF($A119="","",MAX(0,E119-X119))</f>
        <v>0</v>
      </c>
      <c r="Z119" s="53" t="n">
        <f aca="false">IF($A119="","",Y119*C119)</f>
        <v>0</v>
      </c>
      <c r="AA119" s="56" t="str">
        <f aca="false">IF($A119="","",IF(E119&lt;=R119,"Below Safety Stock",IF(E119&lt;=S119,"Reorder Now",IF(E119&gt;X119,"Excess","Healthy"))))</f>
        <v>Healthy</v>
      </c>
      <c r="AB119" s="48" t="n">
        <f aca="false">IF($A119="","",RANK(AF119,$AF$5:$AF$504,0)+COUNTIF($AF$5:AF119,AF119)-1)</f>
        <v>115</v>
      </c>
      <c r="AC119" s="44" t="str">
        <f aca="false">IF($A119="","",Weekly_Demand!B119)</f>
        <v>HOME BUILDING BLOCK WORD</v>
      </c>
      <c r="AD119" s="59" t="n">
        <f aca="false">IF($A119="","",H119*SQRT(D119))</f>
        <v>65.8255441484796</v>
      </c>
      <c r="AE119" s="53" t="n">
        <f aca="false">IF($A119="","",AD119*C119)</f>
        <v>234.997192610072</v>
      </c>
      <c r="AF119" s="53" t="n">
        <f aca="false">IF($A119="","",ROUND(J119,2))</f>
        <v>9542.61</v>
      </c>
    </row>
    <row r="120" customFormat="false" ht="15" hidden="false" customHeight="false" outlineLevel="0" collapsed="false">
      <c r="A120" s="44" t="str">
        <f aca="false">IF(Weekly_Demand!A120="","",Weekly_Demand!A120)</f>
        <v>84078A</v>
      </c>
      <c r="B120" s="44" t="str">
        <f aca="false">IF($A120="","",Weekly_Demand!C120)</f>
        <v>Other</v>
      </c>
      <c r="C120" s="45" t="n">
        <f aca="false">IF($A120="","",Weekly_Demand!D120)</f>
        <v>23.97</v>
      </c>
      <c r="D120" s="46" t="n">
        <f aca="false">IF($A120="","",Weekly_Demand!E120+Assumptions!$B$19)</f>
        <v>6</v>
      </c>
      <c r="E120" s="46" t="n">
        <f aca="false">IF($A120="","",Weekly_Demand!F120)</f>
        <v>111</v>
      </c>
      <c r="F120" s="46" t="n">
        <f aca="false">IF($A120="","",SUM(Weekly_Demand!G120:BF120))</f>
        <v>414</v>
      </c>
      <c r="G120" s="51" t="n">
        <f aca="false">IF($A120="","",IFERROR(F120/Assumptions!$B$6,0))</f>
        <v>7.96153846153846</v>
      </c>
      <c r="H120" s="51" t="n">
        <f aca="false">IF($A120="","",STDEV(Weekly_Demand!G120:BF120))</f>
        <v>9.07260807015106</v>
      </c>
      <c r="I120" s="52" t="n">
        <f aca="false">IF($A120="","",IFERROR(H120/G120,0))</f>
        <v>1.13955463683057</v>
      </c>
      <c r="J120" s="53" t="n">
        <f aca="false">IF($A120="","",F120*C120)</f>
        <v>9923.58</v>
      </c>
      <c r="K120" s="54" t="n">
        <f aca="false">IF($A120="","",IFERROR(J120/$J$505,0))</f>
        <v>0.00256774980608981</v>
      </c>
      <c r="L120" s="54" t="n">
        <f aca="false">IF($A120="","",IFERROR(SUMIFS($J$5:$J$504,$AB$5:$AB$504,"&lt;="&amp;AB120)/$J$505,0))</f>
        <v>0.484558647995992</v>
      </c>
      <c r="M120" s="55" t="str">
        <f aca="false">IF($A120="","",IF(L120&lt;=Assumptions!$B$7,"A",IF(L120&lt;=Assumptions!$B$8,"B","C")))</f>
        <v>A</v>
      </c>
      <c r="N120" s="55" t="str">
        <f aca="false">IF($A120="","",IF(I120&lt;=Assumptions!$B$9,"X",IF(I120&lt;=Assumptions!$B$10,"Y","Z")))</f>
        <v>Z</v>
      </c>
      <c r="O120" s="56" t="str">
        <f aca="false">IF($A120="","",M120&amp;N120)</f>
        <v>AZ</v>
      </c>
      <c r="P120" s="57" t="n">
        <f aca="false">IF($A120="","",INDEX(Assumptions!$B$35:$B$37,MATCH(M120,Assumptions!$A$35:$A$37,0)))</f>
        <v>0.98</v>
      </c>
      <c r="Q120" s="58" t="n">
        <f aca="false">IF($A120="","",NORMSINV(P120))</f>
        <v>2.05374891063182</v>
      </c>
      <c r="R120" s="48" t="n">
        <f aca="false">IF($A120="","",ROUNDUP(Q120*H120*SQRT(D120),0))</f>
        <v>46</v>
      </c>
      <c r="S120" s="48" t="n">
        <f aca="false">IF($A120="","",ROUNDUP(G120*D120+R120,0))</f>
        <v>94</v>
      </c>
      <c r="T120" s="46" t="n">
        <f aca="false">IF($A120="","",IFERROR(ROUND(SQRT(2*F120*Assumptions!$B$4/(Assumptions!$B$5*C120)),0),0))</f>
        <v>83</v>
      </c>
      <c r="U120" s="53" t="n">
        <f aca="false">IF($A120="","",R120*C120)</f>
        <v>1102.62</v>
      </c>
      <c r="V120" s="53" t="n">
        <f aca="false">IF($A120="","",E120*C120)</f>
        <v>2660.67</v>
      </c>
      <c r="W120" s="59" t="n">
        <f aca="false">IF($A120="","",IFERROR(E120/G120,0))</f>
        <v>13.9420289855072</v>
      </c>
      <c r="X120" s="48" t="n">
        <f aca="false">IF($A120="","",S120+T120)</f>
        <v>177</v>
      </c>
      <c r="Y120" s="48" t="n">
        <f aca="false">IF($A120="","",MAX(0,E120-X120))</f>
        <v>0</v>
      </c>
      <c r="Z120" s="53" t="n">
        <f aca="false">IF($A120="","",Y120*C120)</f>
        <v>0</v>
      </c>
      <c r="AA120" s="56" t="str">
        <f aca="false">IF($A120="","",IF(E120&lt;=R120,"Below Safety Stock",IF(E120&lt;=S120,"Reorder Now",IF(E120&gt;X120,"Excess","Healthy"))))</f>
        <v>Healthy</v>
      </c>
      <c r="AB120" s="48" t="n">
        <f aca="false">IF($A120="","",RANK(AF120,$AF$5:$AF$504,0)+COUNTIF($AF$5:AF120,AF120)-1)</f>
        <v>107</v>
      </c>
      <c r="AC120" s="44" t="str">
        <f aca="false">IF($A120="","",Weekly_Demand!B120)</f>
        <v>SET/4 WHITE RETRO STORAGE CUBES</v>
      </c>
      <c r="AD120" s="59" t="n">
        <f aca="false">IF($A120="","",H120*SQRT(D120))</f>
        <v>22.2232604081269</v>
      </c>
      <c r="AE120" s="53" t="n">
        <f aca="false">IF($A120="","",AD120*C120)</f>
        <v>532.691551982802</v>
      </c>
      <c r="AF120" s="53" t="n">
        <f aca="false">IF($A120="","",ROUND(J120,2))</f>
        <v>9923.58</v>
      </c>
    </row>
    <row r="121" customFormat="false" ht="15" hidden="false" customHeight="false" outlineLevel="0" collapsed="false">
      <c r="A121" s="44" t="str">
        <f aca="false">IF(Weekly_Demand!A121="","",Weekly_Demand!A121)</f>
        <v>84978</v>
      </c>
      <c r="B121" s="44" t="str">
        <f aca="false">IF($A121="","",Weekly_Demand!C121)</f>
        <v>Lighting</v>
      </c>
      <c r="C121" s="45" t="n">
        <f aca="false">IF($A121="","",Weekly_Demand!D121)</f>
        <v>0.75</v>
      </c>
      <c r="D121" s="46" t="n">
        <f aca="false">IF($A121="","",Weekly_Demand!E121+Assumptions!$B$19)</f>
        <v>6</v>
      </c>
      <c r="E121" s="46" t="n">
        <f aca="false">IF($A121="","",Weekly_Demand!F121)</f>
        <v>3318</v>
      </c>
      <c r="F121" s="46" t="n">
        <f aca="false">IF($A121="","",SUM(Weekly_Demand!G121:BF121))</f>
        <v>12323</v>
      </c>
      <c r="G121" s="51" t="n">
        <f aca="false">IF($A121="","",IFERROR(F121/Assumptions!$B$6,0))</f>
        <v>236.980769230769</v>
      </c>
      <c r="H121" s="51" t="n">
        <f aca="false">IF($A121="","",STDEV(Weekly_Demand!G121:BF121))</f>
        <v>132.156248935607</v>
      </c>
      <c r="I121" s="52" t="n">
        <f aca="false">IF($A121="","",IFERROR(H121/G121,0))</f>
        <v>0.55766655397643</v>
      </c>
      <c r="J121" s="53" t="n">
        <f aca="false">IF($A121="","",F121*C121)</f>
        <v>9242.25</v>
      </c>
      <c r="K121" s="54" t="n">
        <f aca="false">IF($A121="","",IFERROR(J121/$J$505,0))</f>
        <v>0.00239145405643262</v>
      </c>
      <c r="L121" s="54" t="n">
        <f aca="false">IF($A121="","",IFERROR(SUMIFS($J$5:$J$504,$AB$5:$AB$504,"&lt;="&amp;AB121)/$J$505,0))</f>
        <v>0.516719592833031</v>
      </c>
      <c r="M121" s="55" t="str">
        <f aca="false">IF($A121="","",IF(L121&lt;=Assumptions!$B$7,"A",IF(L121&lt;=Assumptions!$B$8,"B","C")))</f>
        <v>A</v>
      </c>
      <c r="N121" s="55" t="str">
        <f aca="false">IF($A121="","",IF(I121&lt;=Assumptions!$B$9,"X",IF(I121&lt;=Assumptions!$B$10,"Y","Z")))</f>
        <v>Y</v>
      </c>
      <c r="O121" s="56" t="str">
        <f aca="false">IF($A121="","",M121&amp;N121)</f>
        <v>AY</v>
      </c>
      <c r="P121" s="57" t="n">
        <f aca="false">IF($A121="","",INDEX(Assumptions!$B$35:$B$37,MATCH(M121,Assumptions!$A$35:$A$37,0)))</f>
        <v>0.98</v>
      </c>
      <c r="Q121" s="58" t="n">
        <f aca="false">IF($A121="","",NORMSINV(P121))</f>
        <v>2.05374891063182</v>
      </c>
      <c r="R121" s="48" t="n">
        <f aca="false">IF($A121="","",ROUNDUP(Q121*H121*SQRT(D121),0))</f>
        <v>665</v>
      </c>
      <c r="S121" s="48" t="n">
        <f aca="false">IF($A121="","",ROUNDUP(G121*D121+R121,0))</f>
        <v>2087</v>
      </c>
      <c r="T121" s="46" t="n">
        <f aca="false">IF($A121="","",IFERROR(ROUND(SQRT(2*F121*Assumptions!$B$4/(Assumptions!$B$5*C121)),0),0))</f>
        <v>2564</v>
      </c>
      <c r="U121" s="53" t="n">
        <f aca="false">IF($A121="","",R121*C121)</f>
        <v>498.75</v>
      </c>
      <c r="V121" s="53" t="n">
        <f aca="false">IF($A121="","",E121*C121)</f>
        <v>2488.5</v>
      </c>
      <c r="W121" s="59" t="n">
        <f aca="false">IF($A121="","",IFERROR(E121/G121,0))</f>
        <v>14.0011360869918</v>
      </c>
      <c r="X121" s="48" t="n">
        <f aca="false">IF($A121="","",S121+T121)</f>
        <v>4651</v>
      </c>
      <c r="Y121" s="48" t="n">
        <f aca="false">IF($A121="","",MAX(0,E121-X121))</f>
        <v>0</v>
      </c>
      <c r="Z121" s="53" t="n">
        <f aca="false">IF($A121="","",Y121*C121)</f>
        <v>0</v>
      </c>
      <c r="AA121" s="56" t="str">
        <f aca="false">IF($A121="","",IF(E121&lt;=R121,"Below Safety Stock",IF(E121&lt;=S121,"Reorder Now",IF(E121&gt;X121,"Excess","Healthy"))))</f>
        <v>Healthy</v>
      </c>
      <c r="AB121" s="48" t="n">
        <f aca="false">IF($A121="","",RANK(AF121,$AF$5:$AF$504,0)+COUNTIF($AF$5:AF121,AF121)-1)</f>
        <v>120</v>
      </c>
      <c r="AC121" s="44" t="str">
        <f aca="false">IF($A121="","",Weekly_Demand!B121)</f>
        <v>HANGING HEART JAR T-LIGHT HOLDER</v>
      </c>
      <c r="AD121" s="59" t="n">
        <f aca="false">IF($A121="","",H121*SQRT(D121))</f>
        <v>323.715376212469</v>
      </c>
      <c r="AE121" s="53" t="n">
        <f aca="false">IF($A121="","",AD121*C121)</f>
        <v>242.786532159351</v>
      </c>
      <c r="AF121" s="53" t="n">
        <f aca="false">IF($A121="","",ROUND(J121,2))</f>
        <v>9242.25</v>
      </c>
    </row>
    <row r="122" customFormat="false" ht="15" hidden="false" customHeight="false" outlineLevel="0" collapsed="false">
      <c r="A122" s="44" t="str">
        <f aca="false">IF(Weekly_Demand!A122="","",Weekly_Demand!A122)</f>
        <v>22993</v>
      </c>
      <c r="B122" s="44" t="str">
        <f aca="false">IF($A122="","",Weekly_Demand!C122)</f>
        <v>Other</v>
      </c>
      <c r="C122" s="45" t="n">
        <f aca="false">IF($A122="","",Weekly_Demand!D122)</f>
        <v>0.75</v>
      </c>
      <c r="D122" s="46" t="n">
        <f aca="false">IF($A122="","",Weekly_Demand!E122+Assumptions!$B$19)</f>
        <v>4</v>
      </c>
      <c r="E122" s="46" t="n">
        <f aca="false">IF($A122="","",Weekly_Demand!F122)</f>
        <v>9670</v>
      </c>
      <c r="F122" s="46" t="n">
        <f aca="false">IF($A122="","",SUM(Weekly_Demand!G122:BF122))</f>
        <v>12265</v>
      </c>
      <c r="G122" s="51" t="n">
        <f aca="false">IF($A122="","",IFERROR(F122/Assumptions!$B$6,0))</f>
        <v>235.865384615385</v>
      </c>
      <c r="H122" s="51" t="n">
        <f aca="false">IF($A122="","",STDEV(Weekly_Demand!G122:BF122))</f>
        <v>167.721644848927</v>
      </c>
      <c r="I122" s="52" t="n">
        <f aca="false">IF($A122="","",IFERROR(H122/G122,0))</f>
        <v>0.71109054481404</v>
      </c>
      <c r="J122" s="53" t="n">
        <f aca="false">IF($A122="","",F122*C122)</f>
        <v>9198.75</v>
      </c>
      <c r="K122" s="54" t="n">
        <f aca="false">IF($A122="","",IFERROR(J122/$J$505,0))</f>
        <v>0.00238019832850329</v>
      </c>
      <c r="L122" s="54" t="n">
        <f aca="false">IF($A122="","",IFERROR(SUMIFS($J$5:$J$504,$AB$5:$AB$504,"&lt;="&amp;AB122)/$J$505,0))</f>
        <v>0.519099791161535</v>
      </c>
      <c r="M122" s="55" t="str">
        <f aca="false">IF($A122="","",IF(L122&lt;=Assumptions!$B$7,"A",IF(L122&lt;=Assumptions!$B$8,"B","C")))</f>
        <v>A</v>
      </c>
      <c r="N122" s="55" t="str">
        <f aca="false">IF($A122="","",IF(I122&lt;=Assumptions!$B$9,"X",IF(I122&lt;=Assumptions!$B$10,"Y","Z")))</f>
        <v>Y</v>
      </c>
      <c r="O122" s="56" t="str">
        <f aca="false">IF($A122="","",M122&amp;N122)</f>
        <v>AY</v>
      </c>
      <c r="P122" s="57" t="n">
        <f aca="false">IF($A122="","",INDEX(Assumptions!$B$35:$B$37,MATCH(M122,Assumptions!$A$35:$A$37,0)))</f>
        <v>0.98</v>
      </c>
      <c r="Q122" s="58" t="n">
        <f aca="false">IF($A122="","",NORMSINV(P122))</f>
        <v>2.05374891063182</v>
      </c>
      <c r="R122" s="48" t="n">
        <f aca="false">IF($A122="","",ROUNDUP(Q122*H122*SQRT(D122),0))</f>
        <v>689</v>
      </c>
      <c r="S122" s="48" t="n">
        <f aca="false">IF($A122="","",ROUNDUP(G122*D122+R122,0))</f>
        <v>1633</v>
      </c>
      <c r="T122" s="46" t="n">
        <f aca="false">IF($A122="","",IFERROR(ROUND(SQRT(2*F122*Assumptions!$B$4/(Assumptions!$B$5*C122)),0),0))</f>
        <v>2558</v>
      </c>
      <c r="U122" s="53" t="n">
        <f aca="false">IF($A122="","",R122*C122)</f>
        <v>516.75</v>
      </c>
      <c r="V122" s="53" t="n">
        <f aca="false">IF($A122="","",E122*C122)</f>
        <v>7252.5</v>
      </c>
      <c r="W122" s="59" t="n">
        <f aca="false">IF($A122="","",IFERROR(E122/G122,0))</f>
        <v>40.997961679576</v>
      </c>
      <c r="X122" s="48" t="n">
        <f aca="false">IF($A122="","",S122+T122)</f>
        <v>4191</v>
      </c>
      <c r="Y122" s="48" t="n">
        <f aca="false">IF($A122="","",MAX(0,E122-X122))</f>
        <v>5479</v>
      </c>
      <c r="Z122" s="53" t="n">
        <f aca="false">IF($A122="","",Y122*C122)</f>
        <v>4109.25</v>
      </c>
      <c r="AA122" s="56" t="str">
        <f aca="false">IF($A122="","",IF(E122&lt;=R122,"Below Safety Stock",IF(E122&lt;=S122,"Reorder Now",IF(E122&gt;X122,"Excess","Healthy"))))</f>
        <v>Excess</v>
      </c>
      <c r="AB122" s="48" t="n">
        <f aca="false">IF($A122="","",RANK(AF122,$AF$5:$AF$504,0)+COUNTIF($AF$5:AF122,AF122)-1)</f>
        <v>121</v>
      </c>
      <c r="AC122" s="44" t="str">
        <f aca="false">IF($A122="","",Weekly_Demand!B122)</f>
        <v>SET OF 4 PANTRY JELLY MOULDS</v>
      </c>
      <c r="AD122" s="59" t="n">
        <f aca="false">IF($A122="","",H122*SQRT(D122))</f>
        <v>335.443289697854</v>
      </c>
      <c r="AE122" s="53" t="n">
        <f aca="false">IF($A122="","",AD122*C122)</f>
        <v>251.58246727339</v>
      </c>
      <c r="AF122" s="53" t="n">
        <f aca="false">IF($A122="","",ROUND(J122,2))</f>
        <v>9198.75</v>
      </c>
    </row>
    <row r="123" customFormat="false" ht="15" hidden="false" customHeight="false" outlineLevel="0" collapsed="false">
      <c r="A123" s="44" t="str">
        <f aca="false">IF(Weekly_Demand!A123="","",Weekly_Demand!A123)</f>
        <v>15056BL</v>
      </c>
      <c r="B123" s="44" t="str">
        <f aca="false">IF($A123="","",Weekly_Demand!C123)</f>
        <v>Other</v>
      </c>
      <c r="C123" s="45" t="n">
        <f aca="false">IF($A123="","",Weekly_Demand!D123)</f>
        <v>3.57</v>
      </c>
      <c r="D123" s="46" t="n">
        <f aca="false">IF($A123="","",Weekly_Demand!E123+Assumptions!$B$19)</f>
        <v>2</v>
      </c>
      <c r="E123" s="46" t="n">
        <f aca="false">IF($A123="","",Weekly_Demand!F123)</f>
        <v>588</v>
      </c>
      <c r="F123" s="46" t="n">
        <f aca="false">IF($A123="","",SUM(Weekly_Demand!G123:BF123))</f>
        <v>2778</v>
      </c>
      <c r="G123" s="51" t="n">
        <f aca="false">IF($A123="","",IFERROR(F123/Assumptions!$B$6,0))</f>
        <v>53.4230769230769</v>
      </c>
      <c r="H123" s="51" t="n">
        <f aca="false">IF($A123="","",STDEV(Weekly_Demand!G123:BF123))</f>
        <v>50.2348781866279</v>
      </c>
      <c r="I123" s="52" t="n">
        <f aca="false">IF($A123="","",IFERROR(H123/G123,0))</f>
        <v>0.94032169391816</v>
      </c>
      <c r="J123" s="53" t="n">
        <f aca="false">IF($A123="","",F123*C123)</f>
        <v>9917.46</v>
      </c>
      <c r="K123" s="54" t="n">
        <f aca="false">IF($A123="","",IFERROR(J123/$J$505,0))</f>
        <v>0.00256616624160872</v>
      </c>
      <c r="L123" s="54" t="n">
        <f aca="false">IF($A123="","",IFERROR(SUMIFS($J$5:$J$504,$AB$5:$AB$504,"&lt;="&amp;AB123)/$J$505,0))</f>
        <v>0.487124814237601</v>
      </c>
      <c r="M123" s="55" t="str">
        <f aca="false">IF($A123="","",IF(L123&lt;=Assumptions!$B$7,"A",IF(L123&lt;=Assumptions!$B$8,"B","C")))</f>
        <v>A</v>
      </c>
      <c r="N123" s="55" t="str">
        <f aca="false">IF($A123="","",IF(I123&lt;=Assumptions!$B$9,"X",IF(I123&lt;=Assumptions!$B$10,"Y","Z")))</f>
        <v>Y</v>
      </c>
      <c r="O123" s="56" t="str">
        <f aca="false">IF($A123="","",M123&amp;N123)</f>
        <v>AY</v>
      </c>
      <c r="P123" s="57" t="n">
        <f aca="false">IF($A123="","",INDEX(Assumptions!$B$35:$B$37,MATCH(M123,Assumptions!$A$35:$A$37,0)))</f>
        <v>0.98</v>
      </c>
      <c r="Q123" s="58" t="n">
        <f aca="false">IF($A123="","",NORMSINV(P123))</f>
        <v>2.05374891063182</v>
      </c>
      <c r="R123" s="48" t="n">
        <f aca="false">IF($A123="","",ROUNDUP(Q123*H123*SQRT(D123),0))</f>
        <v>146</v>
      </c>
      <c r="S123" s="48" t="n">
        <f aca="false">IF($A123="","",ROUNDUP(G123*D123+R123,0))</f>
        <v>253</v>
      </c>
      <c r="T123" s="46" t="n">
        <f aca="false">IF($A123="","",IFERROR(ROUND(SQRT(2*F123*Assumptions!$B$4/(Assumptions!$B$5*C123)),0),0))</f>
        <v>558</v>
      </c>
      <c r="U123" s="53" t="n">
        <f aca="false">IF($A123="","",R123*C123)</f>
        <v>521.22</v>
      </c>
      <c r="V123" s="53" t="n">
        <f aca="false">IF($A123="","",E123*C123)</f>
        <v>2099.16</v>
      </c>
      <c r="W123" s="59" t="n">
        <f aca="false">IF($A123="","",IFERROR(E123/G123,0))</f>
        <v>11.0064794816415</v>
      </c>
      <c r="X123" s="48" t="n">
        <f aca="false">IF($A123="","",S123+T123)</f>
        <v>811</v>
      </c>
      <c r="Y123" s="48" t="n">
        <f aca="false">IF($A123="","",MAX(0,E123-X123))</f>
        <v>0</v>
      </c>
      <c r="Z123" s="53" t="n">
        <f aca="false">IF($A123="","",Y123*C123)</f>
        <v>0</v>
      </c>
      <c r="AA123" s="56" t="str">
        <f aca="false">IF($A123="","",IF(E123&lt;=R123,"Below Safety Stock",IF(E123&lt;=S123,"Reorder Now",IF(E123&gt;X123,"Excess","Healthy"))))</f>
        <v>Healthy</v>
      </c>
      <c r="AB123" s="48" t="n">
        <f aca="false">IF($A123="","",RANK(AF123,$AF$5:$AF$504,0)+COUNTIF($AF$5:AF123,AF123)-1)</f>
        <v>108</v>
      </c>
      <c r="AC123" s="44" t="str">
        <f aca="false">IF($A123="","",Weekly_Demand!B123)</f>
        <v>EDWARDIAN PARASOL BLACK</v>
      </c>
      <c r="AD123" s="59" t="n">
        <f aca="false">IF($A123="","",H123*SQRT(D123))</f>
        <v>71.0428460356895</v>
      </c>
      <c r="AE123" s="53" t="n">
        <f aca="false">IF($A123="","",AD123*C123)</f>
        <v>253.622960347411</v>
      </c>
      <c r="AF123" s="53" t="n">
        <f aca="false">IF($A123="","",ROUND(J123,2))</f>
        <v>9917.46</v>
      </c>
    </row>
    <row r="124" customFormat="false" ht="15" hidden="false" customHeight="false" outlineLevel="0" collapsed="false">
      <c r="A124" s="44" t="str">
        <f aca="false">IF(Weekly_Demand!A124="","",Weekly_Demand!A124)</f>
        <v>20719</v>
      </c>
      <c r="B124" s="44" t="str">
        <f aca="false">IF($A124="","",Weekly_Demand!C124)</f>
        <v>Bags</v>
      </c>
      <c r="C124" s="45" t="n">
        <f aca="false">IF($A124="","",Weekly_Demand!D124)</f>
        <v>0.51</v>
      </c>
      <c r="D124" s="46" t="n">
        <f aca="false">IF($A124="","",Weekly_Demand!E124+Assumptions!$B$19)</f>
        <v>8</v>
      </c>
      <c r="E124" s="46" t="n">
        <f aca="false">IF($A124="","",Weekly_Demand!F124)</f>
        <v>2197</v>
      </c>
      <c r="F124" s="46" t="n">
        <f aca="false">IF($A124="","",SUM(Weekly_Demand!G124:BF124))</f>
        <v>12695</v>
      </c>
      <c r="G124" s="51" t="n">
        <f aca="false">IF($A124="","",IFERROR(F124/Assumptions!$B$6,0))</f>
        <v>244.134615384615</v>
      </c>
      <c r="H124" s="51" t="n">
        <f aca="false">IF($A124="","",STDEV(Weekly_Demand!G124:BF124))</f>
        <v>123.236108288617</v>
      </c>
      <c r="I124" s="52" t="n">
        <f aca="false">IF($A124="","",IFERROR(H124/G124,0))</f>
        <v>0.504787525089253</v>
      </c>
      <c r="J124" s="53" t="n">
        <f aca="false">IF($A124="","",F124*C124)</f>
        <v>6474.45</v>
      </c>
      <c r="K124" s="54" t="n">
        <f aca="false">IF($A124="","",IFERROR(J124/$J$505,0))</f>
        <v>0.00167527925728801</v>
      </c>
      <c r="L124" s="54" t="n">
        <f aca="false">IF($A124="","",IFERROR(SUMIFS($J$5:$J$504,$AB$5:$AB$504,"&lt;="&amp;AB124)/$J$505,0))</f>
        <v>0.665841969055123</v>
      </c>
      <c r="M124" s="55" t="str">
        <f aca="false">IF($A124="","",IF(L124&lt;=Assumptions!$B$7,"A",IF(L124&lt;=Assumptions!$B$8,"B","C")))</f>
        <v>A</v>
      </c>
      <c r="N124" s="55" t="str">
        <f aca="false">IF($A124="","",IF(I124&lt;=Assumptions!$B$9,"X",IF(I124&lt;=Assumptions!$B$10,"Y","Z")))</f>
        <v>Y</v>
      </c>
      <c r="O124" s="56" t="str">
        <f aca="false">IF($A124="","",M124&amp;N124)</f>
        <v>AY</v>
      </c>
      <c r="P124" s="57" t="n">
        <f aca="false">IF($A124="","",INDEX(Assumptions!$B$35:$B$37,MATCH(M124,Assumptions!$A$35:$A$37,0)))</f>
        <v>0.98</v>
      </c>
      <c r="Q124" s="58" t="n">
        <f aca="false">IF($A124="","",NORMSINV(P124))</f>
        <v>2.05374891063182</v>
      </c>
      <c r="R124" s="48" t="n">
        <f aca="false">IF($A124="","",ROUNDUP(Q124*H124*SQRT(D124),0))</f>
        <v>716</v>
      </c>
      <c r="S124" s="48" t="n">
        <f aca="false">IF($A124="","",ROUNDUP(G124*D124+R124,0))</f>
        <v>2670</v>
      </c>
      <c r="T124" s="46" t="n">
        <f aca="false">IF($A124="","",IFERROR(ROUND(SQRT(2*F124*Assumptions!$B$4/(Assumptions!$B$5*C124)),0),0))</f>
        <v>3155</v>
      </c>
      <c r="U124" s="53" t="n">
        <f aca="false">IF($A124="","",R124*C124)</f>
        <v>365.16</v>
      </c>
      <c r="V124" s="53" t="n">
        <f aca="false">IF($A124="","",E124*C124)</f>
        <v>1120.47</v>
      </c>
      <c r="W124" s="59" t="n">
        <f aca="false">IF($A124="","",IFERROR(E124/G124,0))</f>
        <v>8.99913351713273</v>
      </c>
      <c r="X124" s="48" t="n">
        <f aca="false">IF($A124="","",S124+T124)</f>
        <v>5825</v>
      </c>
      <c r="Y124" s="48" t="n">
        <f aca="false">IF($A124="","",MAX(0,E124-X124))</f>
        <v>0</v>
      </c>
      <c r="Z124" s="53" t="n">
        <f aca="false">IF($A124="","",Y124*C124)</f>
        <v>0</v>
      </c>
      <c r="AA124" s="56" t="str">
        <f aca="false">IF($A124="","",IF(E124&lt;=R124,"Below Safety Stock",IF(E124&lt;=S124,"Reorder Now",IF(E124&gt;X124,"Excess","Healthy"))))</f>
        <v>Reorder Now</v>
      </c>
      <c r="AB124" s="48" t="n">
        <f aca="false">IF($A124="","",RANK(AF124,$AF$5:$AF$504,0)+COUNTIF($AF$5:AF124,AF124)-1)</f>
        <v>195</v>
      </c>
      <c r="AC124" s="44" t="str">
        <f aca="false">IF($A124="","",Weekly_Demand!B124)</f>
        <v>WOODLAND CHARLOTTE BAG</v>
      </c>
      <c r="AD124" s="59" t="n">
        <f aca="false">IF($A124="","",H124*SQRT(D124))</f>
        <v>348.564351431683</v>
      </c>
      <c r="AE124" s="53" t="n">
        <f aca="false">IF($A124="","",AD124*C124)</f>
        <v>177.767819230158</v>
      </c>
      <c r="AF124" s="53" t="n">
        <f aca="false">IF($A124="","",ROUND(J124,2))</f>
        <v>6474.45</v>
      </c>
    </row>
    <row r="125" customFormat="false" ht="15" hidden="false" customHeight="false" outlineLevel="0" collapsed="false">
      <c r="A125" s="44" t="str">
        <f aca="false">IF(Weekly_Demand!A125="","",Weekly_Demand!A125)</f>
        <v>22624</v>
      </c>
      <c r="B125" s="44" t="str">
        <f aca="false">IF($A125="","",Weekly_Demand!C125)</f>
        <v>Other</v>
      </c>
      <c r="C125" s="45" t="n">
        <f aca="false">IF($A125="","",Weekly_Demand!D125)</f>
        <v>5.1</v>
      </c>
      <c r="D125" s="46" t="n">
        <f aca="false">IF($A125="","",Weekly_Demand!E125+Assumptions!$B$19)</f>
        <v>2</v>
      </c>
      <c r="E125" s="46" t="n">
        <f aca="false">IF($A125="","",Weekly_Demand!F125)</f>
        <v>551</v>
      </c>
      <c r="F125" s="46" t="n">
        <f aca="false">IF($A125="","",SUM(Weekly_Demand!G125:BF125))</f>
        <v>1791</v>
      </c>
      <c r="G125" s="51" t="n">
        <f aca="false">IF($A125="","",IFERROR(F125/Assumptions!$B$6,0))</f>
        <v>34.4423076923077</v>
      </c>
      <c r="H125" s="51" t="n">
        <f aca="false">IF($A125="","",STDEV(Weekly_Demand!G125:BF125))</f>
        <v>23.8100435732968</v>
      </c>
      <c r="I125" s="52" t="n">
        <f aca="false">IF($A125="","",IFERROR(H125/G125,0))</f>
        <v>0.691302214300075</v>
      </c>
      <c r="J125" s="53" t="n">
        <f aca="false">IF($A125="","",F125*C125)</f>
        <v>9134.1</v>
      </c>
      <c r="K125" s="54" t="n">
        <f aca="false">IF($A125="","",IFERROR(J125/$J$505,0))</f>
        <v>0.00236346998802901</v>
      </c>
      <c r="L125" s="54" t="n">
        <f aca="false">IF($A125="","",IFERROR(SUMIFS($J$5:$J$504,$AB$5:$AB$504,"&lt;="&amp;AB125)/$J$505,0))</f>
        <v>0.523840276823963</v>
      </c>
      <c r="M125" s="55" t="str">
        <f aca="false">IF($A125="","",IF(L125&lt;=Assumptions!$B$7,"A",IF(L125&lt;=Assumptions!$B$8,"B","C")))</f>
        <v>A</v>
      </c>
      <c r="N125" s="55" t="str">
        <f aca="false">IF($A125="","",IF(I125&lt;=Assumptions!$B$9,"X",IF(I125&lt;=Assumptions!$B$10,"Y","Z")))</f>
        <v>Y</v>
      </c>
      <c r="O125" s="56" t="str">
        <f aca="false">IF($A125="","",M125&amp;N125)</f>
        <v>AY</v>
      </c>
      <c r="P125" s="57" t="n">
        <f aca="false">IF($A125="","",INDEX(Assumptions!$B$35:$B$37,MATCH(M125,Assumptions!$A$35:$A$37,0)))</f>
        <v>0.98</v>
      </c>
      <c r="Q125" s="58" t="n">
        <f aca="false">IF($A125="","",NORMSINV(P125))</f>
        <v>2.05374891063182</v>
      </c>
      <c r="R125" s="48" t="n">
        <f aca="false">IF($A125="","",ROUNDUP(Q125*H125*SQRT(D125),0))</f>
        <v>70</v>
      </c>
      <c r="S125" s="48" t="n">
        <f aca="false">IF($A125="","",ROUNDUP(G125*D125+R125,0))</f>
        <v>139</v>
      </c>
      <c r="T125" s="46" t="n">
        <f aca="false">IF($A125="","",IFERROR(ROUND(SQRT(2*F125*Assumptions!$B$4/(Assumptions!$B$5*C125)),0),0))</f>
        <v>375</v>
      </c>
      <c r="U125" s="53" t="n">
        <f aca="false">IF($A125="","",R125*C125)</f>
        <v>357</v>
      </c>
      <c r="V125" s="53" t="n">
        <f aca="false">IF($A125="","",E125*C125)</f>
        <v>2810.1</v>
      </c>
      <c r="W125" s="59" t="n">
        <f aca="false">IF($A125="","",IFERROR(E125/G125,0))</f>
        <v>15.9977666108319</v>
      </c>
      <c r="X125" s="48" t="n">
        <f aca="false">IF($A125="","",S125+T125)</f>
        <v>514</v>
      </c>
      <c r="Y125" s="48" t="n">
        <f aca="false">IF($A125="","",MAX(0,E125-X125))</f>
        <v>37</v>
      </c>
      <c r="Z125" s="53" t="n">
        <f aca="false">IF($A125="","",Y125*C125)</f>
        <v>188.7</v>
      </c>
      <c r="AA125" s="56" t="str">
        <f aca="false">IF($A125="","",IF(E125&lt;=R125,"Below Safety Stock",IF(E125&lt;=S125,"Reorder Now",IF(E125&gt;X125,"Excess","Healthy"))))</f>
        <v>Excess</v>
      </c>
      <c r="AB125" s="48" t="n">
        <f aca="false">IF($A125="","",RANK(AF125,$AF$5:$AF$504,0)+COUNTIF($AF$5:AF125,AF125)-1)</f>
        <v>123</v>
      </c>
      <c r="AC125" s="44" t="str">
        <f aca="false">IF($A125="","",Weekly_Demand!B125)</f>
        <v>IVORY KITCHEN SCALES</v>
      </c>
      <c r="AD125" s="59" t="n">
        <f aca="false">IF($A125="","",H125*SQRT(D125))</f>
        <v>33.6724865420507</v>
      </c>
      <c r="AE125" s="53" t="n">
        <f aca="false">IF($A125="","",AD125*C125)</f>
        <v>171.729681364459</v>
      </c>
      <c r="AF125" s="53" t="n">
        <f aca="false">IF($A125="","",ROUND(J125,2))</f>
        <v>9134.1</v>
      </c>
    </row>
    <row r="126" customFormat="false" ht="15" hidden="false" customHeight="false" outlineLevel="0" collapsed="false">
      <c r="A126" s="44" t="str">
        <f aca="false">IF(Weekly_Demand!A126="","",Weekly_Demand!A126)</f>
        <v>22379</v>
      </c>
      <c r="B126" s="44" t="str">
        <f aca="false">IF($A126="","",Weekly_Demand!C126)</f>
        <v>Bags</v>
      </c>
      <c r="C126" s="45" t="n">
        <f aca="false">IF($A126="","",Weekly_Demand!D126)</f>
        <v>1.26</v>
      </c>
      <c r="D126" s="46" t="n">
        <f aca="false">IF($A126="","",Weekly_Demand!E126+Assumptions!$B$19)</f>
        <v>8</v>
      </c>
      <c r="E126" s="46" t="n">
        <f aca="false">IF($A126="","",Weekly_Demand!F126)</f>
        <v>6511</v>
      </c>
      <c r="F126" s="46" t="n">
        <f aca="false">IF($A126="","",SUM(Weekly_Demand!G126:BF126))</f>
        <v>6771</v>
      </c>
      <c r="G126" s="51" t="n">
        <f aca="false">IF($A126="","",IFERROR(F126/Assumptions!$B$6,0))</f>
        <v>130.211538461538</v>
      </c>
      <c r="H126" s="51" t="n">
        <f aca="false">IF($A126="","",STDEV(Weekly_Demand!G126:BF126))</f>
        <v>142.493252201909</v>
      </c>
      <c r="I126" s="52" t="n">
        <f aca="false">IF($A126="","",IFERROR(H126/G126,0))</f>
        <v>1.09432123977245</v>
      </c>
      <c r="J126" s="53" t="n">
        <f aca="false">IF($A126="","",F126*C126)</f>
        <v>8531.46</v>
      </c>
      <c r="K126" s="54" t="n">
        <f aca="false">IF($A126="","",IFERROR(J126/$J$505,0))</f>
        <v>0.00220753546206742</v>
      </c>
      <c r="L126" s="54" t="n">
        <f aca="false">IF($A126="","",IFERROR(SUMIFS($J$5:$J$504,$AB$5:$AB$504,"&lt;="&amp;AB126)/$J$505,0))</f>
        <v>0.553579943806842</v>
      </c>
      <c r="M126" s="55" t="str">
        <f aca="false">IF($A126="","",IF(L126&lt;=Assumptions!$B$7,"A",IF(L126&lt;=Assumptions!$B$8,"B","C")))</f>
        <v>A</v>
      </c>
      <c r="N126" s="55" t="str">
        <f aca="false">IF($A126="","",IF(I126&lt;=Assumptions!$B$9,"X",IF(I126&lt;=Assumptions!$B$10,"Y","Z")))</f>
        <v>Z</v>
      </c>
      <c r="O126" s="56" t="str">
        <f aca="false">IF($A126="","",M126&amp;N126)</f>
        <v>AZ</v>
      </c>
      <c r="P126" s="57" t="n">
        <f aca="false">IF($A126="","",INDEX(Assumptions!$B$35:$B$37,MATCH(M126,Assumptions!$A$35:$A$37,0)))</f>
        <v>0.98</v>
      </c>
      <c r="Q126" s="58" t="n">
        <f aca="false">IF($A126="","",NORMSINV(P126))</f>
        <v>2.05374891063182</v>
      </c>
      <c r="R126" s="48" t="n">
        <f aca="false">IF($A126="","",ROUNDUP(Q126*H126*SQRT(D126),0))</f>
        <v>828</v>
      </c>
      <c r="S126" s="48" t="n">
        <f aca="false">IF($A126="","",ROUNDUP(G126*D126+R126,0))</f>
        <v>1870</v>
      </c>
      <c r="T126" s="46" t="n">
        <f aca="false">IF($A126="","",IFERROR(ROUND(SQRT(2*F126*Assumptions!$B$4/(Assumptions!$B$5*C126)),0),0))</f>
        <v>1466</v>
      </c>
      <c r="U126" s="53" t="n">
        <f aca="false">IF($A126="","",R126*C126)</f>
        <v>1043.28</v>
      </c>
      <c r="V126" s="53" t="n">
        <f aca="false">IF($A126="","",E126*C126)</f>
        <v>8203.86</v>
      </c>
      <c r="W126" s="59" t="n">
        <f aca="false">IF($A126="","",IFERROR(E126/G126,0))</f>
        <v>50.0032491507901</v>
      </c>
      <c r="X126" s="48" t="n">
        <f aca="false">IF($A126="","",S126+T126)</f>
        <v>3336</v>
      </c>
      <c r="Y126" s="48" t="n">
        <f aca="false">IF($A126="","",MAX(0,E126-X126))</f>
        <v>3175</v>
      </c>
      <c r="Z126" s="53" t="n">
        <f aca="false">IF($A126="","",Y126*C126)</f>
        <v>4000.5</v>
      </c>
      <c r="AA126" s="56" t="str">
        <f aca="false">IF($A126="","",IF(E126&lt;=R126,"Below Safety Stock",IF(E126&lt;=S126,"Reorder Now",IF(E126&gt;X126,"Excess","Healthy"))))</f>
        <v>Excess</v>
      </c>
      <c r="AB126" s="48" t="n">
        <f aca="false">IF($A126="","",RANK(AF126,$AF$5:$AF$504,0)+COUNTIF($AF$5:AF126,AF126)-1)</f>
        <v>136</v>
      </c>
      <c r="AC126" s="44" t="str">
        <f aca="false">IF($A126="","",Weekly_Demand!B126)</f>
        <v>RECYCLING BAG RETROSPOT</v>
      </c>
      <c r="AD126" s="59" t="n">
        <f aca="false">IF($A126="","",H126*SQRT(D126))</f>
        <v>403.03177962118</v>
      </c>
      <c r="AE126" s="53" t="n">
        <f aca="false">IF($A126="","",AD126*C126)</f>
        <v>507.820042322687</v>
      </c>
      <c r="AF126" s="53" t="n">
        <f aca="false">IF($A126="","",ROUND(J126,2))</f>
        <v>8531.46</v>
      </c>
    </row>
    <row r="127" customFormat="false" ht="15" hidden="false" customHeight="false" outlineLevel="0" collapsed="false">
      <c r="A127" s="44" t="str">
        <f aca="false">IF(Weekly_Demand!A127="","",Weekly_Demand!A127)</f>
        <v>22865</v>
      </c>
      <c r="B127" s="44" t="str">
        <f aca="false">IF($A127="","",Weekly_Demand!C127)</f>
        <v>Other</v>
      </c>
      <c r="C127" s="45" t="n">
        <f aca="false">IF($A127="","",Weekly_Demand!D127)</f>
        <v>1.26</v>
      </c>
      <c r="D127" s="46" t="n">
        <f aca="false">IF($A127="","",Weekly_Demand!E127+Assumptions!$B$19)</f>
        <v>4</v>
      </c>
      <c r="E127" s="46" t="n">
        <f aca="false">IF($A127="","",Weekly_Demand!F127)</f>
        <v>1526</v>
      </c>
      <c r="F127" s="46" t="n">
        <f aca="false">IF($A127="","",SUM(Weekly_Demand!G127:BF127))</f>
        <v>7216</v>
      </c>
      <c r="G127" s="51" t="n">
        <f aca="false">IF($A127="","",IFERROR(F127/Assumptions!$B$6,0))</f>
        <v>138.769230769231</v>
      </c>
      <c r="H127" s="51" t="n">
        <f aca="false">IF($A127="","",STDEV(Weekly_Demand!G127:BF127))</f>
        <v>237.154505390152</v>
      </c>
      <c r="I127" s="52" t="n">
        <f aca="false">IF($A127="","",IFERROR(H127/G127,0))</f>
        <v>1.70898479494012</v>
      </c>
      <c r="J127" s="53" t="n">
        <f aca="false">IF($A127="","",F127*C127)</f>
        <v>9092.16</v>
      </c>
      <c r="K127" s="54" t="n">
        <f aca="false">IF($A127="","",IFERROR(J127/$J$505,0))</f>
        <v>0.00235261791379095</v>
      </c>
      <c r="L127" s="54" t="n">
        <f aca="false">IF($A127="","",IFERROR(SUMIFS($J$5:$J$504,$AB$5:$AB$504,"&lt;="&amp;AB127)/$J$505,0))</f>
        <v>0.52855200992346</v>
      </c>
      <c r="M127" s="55" t="str">
        <f aca="false">IF($A127="","",IF(L127&lt;=Assumptions!$B$7,"A",IF(L127&lt;=Assumptions!$B$8,"B","C")))</f>
        <v>A</v>
      </c>
      <c r="N127" s="55" t="str">
        <f aca="false">IF($A127="","",IF(I127&lt;=Assumptions!$B$9,"X",IF(I127&lt;=Assumptions!$B$10,"Y","Z")))</f>
        <v>Z</v>
      </c>
      <c r="O127" s="56" t="str">
        <f aca="false">IF($A127="","",M127&amp;N127)</f>
        <v>AZ</v>
      </c>
      <c r="P127" s="57" t="n">
        <f aca="false">IF($A127="","",INDEX(Assumptions!$B$35:$B$37,MATCH(M127,Assumptions!$A$35:$A$37,0)))</f>
        <v>0.98</v>
      </c>
      <c r="Q127" s="58" t="n">
        <f aca="false">IF($A127="","",NORMSINV(P127))</f>
        <v>2.05374891063182</v>
      </c>
      <c r="R127" s="48" t="n">
        <f aca="false">IF($A127="","",ROUNDUP(Q127*H127*SQRT(D127),0))</f>
        <v>975</v>
      </c>
      <c r="S127" s="48" t="n">
        <f aca="false">IF($A127="","",ROUNDUP(G127*D127+R127,0))</f>
        <v>1531</v>
      </c>
      <c r="T127" s="46" t="n">
        <f aca="false">IF($A127="","",IFERROR(ROUND(SQRT(2*F127*Assumptions!$B$4/(Assumptions!$B$5*C127)),0),0))</f>
        <v>1514</v>
      </c>
      <c r="U127" s="53" t="n">
        <f aca="false">IF($A127="","",R127*C127)</f>
        <v>1228.5</v>
      </c>
      <c r="V127" s="53" t="n">
        <f aca="false">IF($A127="","",E127*C127)</f>
        <v>1922.76</v>
      </c>
      <c r="W127" s="59" t="n">
        <f aca="false">IF($A127="","",IFERROR(E127/G127,0))</f>
        <v>10.9966740576497</v>
      </c>
      <c r="X127" s="48" t="n">
        <f aca="false">IF($A127="","",S127+T127)</f>
        <v>3045</v>
      </c>
      <c r="Y127" s="48" t="n">
        <f aca="false">IF($A127="","",MAX(0,E127-X127))</f>
        <v>0</v>
      </c>
      <c r="Z127" s="53" t="n">
        <f aca="false">IF($A127="","",Y127*C127)</f>
        <v>0</v>
      </c>
      <c r="AA127" s="56" t="str">
        <f aca="false">IF($A127="","",IF(E127&lt;=R127,"Below Safety Stock",IF(E127&lt;=S127,"Reorder Now",IF(E127&gt;X127,"Excess","Healthy"))))</f>
        <v>Reorder Now</v>
      </c>
      <c r="AB127" s="48" t="n">
        <f aca="false">IF($A127="","",RANK(AF127,$AF$5:$AF$504,0)+COUNTIF($AF$5:AF127,AF127)-1)</f>
        <v>125</v>
      </c>
      <c r="AC127" s="44" t="str">
        <f aca="false">IF($A127="","",Weekly_Demand!B127)</f>
        <v>HAND WARMER OWL DESIGN</v>
      </c>
      <c r="AD127" s="59" t="n">
        <f aca="false">IF($A127="","",H127*SQRT(D127))</f>
        <v>474.309010780304</v>
      </c>
      <c r="AE127" s="53" t="n">
        <f aca="false">IF($A127="","",AD127*C127)</f>
        <v>597.629353583183</v>
      </c>
      <c r="AF127" s="53" t="n">
        <f aca="false">IF($A127="","",ROUND(J127,2))</f>
        <v>9092.16</v>
      </c>
    </row>
    <row r="128" customFormat="false" ht="15" hidden="false" customHeight="false" outlineLevel="0" collapsed="false">
      <c r="A128" s="44" t="str">
        <f aca="false">IF(Weekly_Demand!A128="","",Weekly_Demand!A128)</f>
        <v>23301</v>
      </c>
      <c r="B128" s="44" t="str">
        <f aca="false">IF($A128="","",Weekly_Demand!C128)</f>
        <v>Other</v>
      </c>
      <c r="C128" s="45" t="n">
        <f aca="false">IF($A128="","",Weekly_Demand!D128)</f>
        <v>0.99</v>
      </c>
      <c r="D128" s="46" t="n">
        <f aca="false">IF($A128="","",Weekly_Demand!E128+Assumptions!$B$19)</f>
        <v>4</v>
      </c>
      <c r="E128" s="46" t="n">
        <f aca="false">IF($A128="","",Weekly_Demand!F128)</f>
        <v>5889</v>
      </c>
      <c r="F128" s="46" t="n">
        <f aca="false">IF($A128="","",SUM(Weekly_Demand!G128:BF128))</f>
        <v>8276</v>
      </c>
      <c r="G128" s="51" t="n">
        <f aca="false">IF($A128="","",IFERROR(F128/Assumptions!$B$6,0))</f>
        <v>159.153846153846</v>
      </c>
      <c r="H128" s="51" t="n">
        <f aca="false">IF($A128="","",STDEV(Weekly_Demand!G128:BF128))</f>
        <v>200.090507424484</v>
      </c>
      <c r="I128" s="52" t="n">
        <f aca="false">IF($A128="","",IFERROR(H128/G128,0))</f>
        <v>1.25721440141049</v>
      </c>
      <c r="J128" s="53" t="n">
        <f aca="false">IF($A128="","",F128*C128)</f>
        <v>8193.24</v>
      </c>
      <c r="K128" s="54" t="n">
        <f aca="false">IF($A128="","",IFERROR(J128/$J$505,0))</f>
        <v>0.00212002023677416</v>
      </c>
      <c r="L128" s="54" t="n">
        <f aca="false">IF($A128="","",IFERROR(SUMIFS($J$5:$J$504,$AB$5:$AB$504,"&lt;="&amp;AB128)/$J$505,0))</f>
        <v>0.557854054204447</v>
      </c>
      <c r="M128" s="55" t="str">
        <f aca="false">IF($A128="","",IF(L128&lt;=Assumptions!$B$7,"A",IF(L128&lt;=Assumptions!$B$8,"B","C")))</f>
        <v>A</v>
      </c>
      <c r="N128" s="55" t="str">
        <f aca="false">IF($A128="","",IF(I128&lt;=Assumptions!$B$9,"X",IF(I128&lt;=Assumptions!$B$10,"Y","Z")))</f>
        <v>Z</v>
      </c>
      <c r="O128" s="56" t="str">
        <f aca="false">IF($A128="","",M128&amp;N128)</f>
        <v>AZ</v>
      </c>
      <c r="P128" s="57" t="n">
        <f aca="false">IF($A128="","",INDEX(Assumptions!$B$35:$B$37,MATCH(M128,Assumptions!$A$35:$A$37,0)))</f>
        <v>0.98</v>
      </c>
      <c r="Q128" s="58" t="n">
        <f aca="false">IF($A128="","",NORMSINV(P128))</f>
        <v>2.05374891063182</v>
      </c>
      <c r="R128" s="48" t="n">
        <f aca="false">IF($A128="","",ROUNDUP(Q128*H128*SQRT(D128),0))</f>
        <v>822</v>
      </c>
      <c r="S128" s="48" t="n">
        <f aca="false">IF($A128="","",ROUNDUP(G128*D128+R128,0))</f>
        <v>1459</v>
      </c>
      <c r="T128" s="46" t="n">
        <f aca="false">IF($A128="","",IFERROR(ROUND(SQRT(2*F128*Assumptions!$B$4/(Assumptions!$B$5*C128)),0),0))</f>
        <v>1829</v>
      </c>
      <c r="U128" s="53" t="n">
        <f aca="false">IF($A128="","",R128*C128)</f>
        <v>813.78</v>
      </c>
      <c r="V128" s="53" t="n">
        <f aca="false">IF($A128="","",E128*C128)</f>
        <v>5830.11</v>
      </c>
      <c r="W128" s="59" t="n">
        <f aca="false">IF($A128="","",IFERROR(E128/G128,0))</f>
        <v>37.0019333011117</v>
      </c>
      <c r="X128" s="48" t="n">
        <f aca="false">IF($A128="","",S128+T128)</f>
        <v>3288</v>
      </c>
      <c r="Y128" s="48" t="n">
        <f aca="false">IF($A128="","",MAX(0,E128-X128))</f>
        <v>2601</v>
      </c>
      <c r="Z128" s="53" t="n">
        <f aca="false">IF($A128="","",Y128*C128)</f>
        <v>2574.99</v>
      </c>
      <c r="AA128" s="56" t="str">
        <f aca="false">IF($A128="","",IF(E128&lt;=R128,"Below Safety Stock",IF(E128&lt;=S128,"Reorder Now",IF(E128&gt;X128,"Excess","Healthy"))))</f>
        <v>Excess</v>
      </c>
      <c r="AB128" s="48" t="n">
        <f aca="false">IF($A128="","",RANK(AF128,$AF$5:$AF$504,0)+COUNTIF($AF$5:AF128,AF128)-1)</f>
        <v>138</v>
      </c>
      <c r="AC128" s="44" t="str">
        <f aca="false">IF($A128="","",Weekly_Demand!B128)</f>
        <v>GARDENERS KNEELING PAD KEEP CALM</v>
      </c>
      <c r="AD128" s="59" t="n">
        <f aca="false">IF($A128="","",H128*SQRT(D128))</f>
        <v>400.181014848969</v>
      </c>
      <c r="AE128" s="53" t="n">
        <f aca="false">IF($A128="","",AD128*C128)</f>
        <v>396.179204700479</v>
      </c>
      <c r="AF128" s="53" t="n">
        <f aca="false">IF($A128="","",ROUND(J128,2))</f>
        <v>8193.24</v>
      </c>
    </row>
    <row r="129" customFormat="false" ht="15" hidden="false" customHeight="false" outlineLevel="0" collapsed="false">
      <c r="A129" s="44" t="str">
        <f aca="false">IF(Weekly_Demand!A129="","",Weekly_Demand!A129)</f>
        <v>22084</v>
      </c>
      <c r="B129" s="44" t="str">
        <f aca="false">IF($A129="","",Weekly_Demand!C129)</f>
        <v>Other</v>
      </c>
      <c r="C129" s="45" t="n">
        <f aca="false">IF($A129="","",Weekly_Demand!D129)</f>
        <v>1.77</v>
      </c>
      <c r="D129" s="46" t="n">
        <f aca="false">IF($A129="","",Weekly_Demand!E129+Assumptions!$B$19)</f>
        <v>2</v>
      </c>
      <c r="E129" s="46" t="n">
        <f aca="false">IF($A129="","",Weekly_Demand!F129)</f>
        <v>1387</v>
      </c>
      <c r="F129" s="46" t="n">
        <f aca="false">IF($A129="","",SUM(Weekly_Demand!G129:BF129))</f>
        <v>5151</v>
      </c>
      <c r="G129" s="51" t="n">
        <f aca="false">IF($A129="","",IFERROR(F129/Assumptions!$B$6,0))</f>
        <v>99.0576923076923</v>
      </c>
      <c r="H129" s="51" t="n">
        <f aca="false">IF($A129="","",STDEV(Weekly_Demand!G129:BF129))</f>
        <v>189.544801829152</v>
      </c>
      <c r="I129" s="52" t="n">
        <f aca="false">IF($A129="","",IFERROR(H129/G129,0))</f>
        <v>1.91347887693961</v>
      </c>
      <c r="J129" s="53" t="n">
        <f aca="false">IF($A129="","",F129*C129)</f>
        <v>9117.27</v>
      </c>
      <c r="K129" s="54" t="n">
        <f aca="false">IF($A129="","",IFERROR(J129/$J$505,0))</f>
        <v>0.00235911518570601</v>
      </c>
      <c r="L129" s="54" t="n">
        <f aca="false">IF($A129="","",IFERROR(SUMIFS($J$5:$J$504,$AB$5:$AB$504,"&lt;="&amp;AB129)/$J$505,0))</f>
        <v>0.526199392009669</v>
      </c>
      <c r="M129" s="55" t="str">
        <f aca="false">IF($A129="","",IF(L129&lt;=Assumptions!$B$7,"A",IF(L129&lt;=Assumptions!$B$8,"B","C")))</f>
        <v>A</v>
      </c>
      <c r="N129" s="55" t="str">
        <f aca="false">IF($A129="","",IF(I129&lt;=Assumptions!$B$9,"X",IF(I129&lt;=Assumptions!$B$10,"Y","Z")))</f>
        <v>Z</v>
      </c>
      <c r="O129" s="56" t="str">
        <f aca="false">IF($A129="","",M129&amp;N129)</f>
        <v>AZ</v>
      </c>
      <c r="P129" s="57" t="n">
        <f aca="false">IF($A129="","",INDEX(Assumptions!$B$35:$B$37,MATCH(M129,Assumptions!$A$35:$A$37,0)))</f>
        <v>0.98</v>
      </c>
      <c r="Q129" s="58" t="n">
        <f aca="false">IF($A129="","",NORMSINV(P129))</f>
        <v>2.05374891063182</v>
      </c>
      <c r="R129" s="48" t="n">
        <f aca="false">IF($A129="","",ROUNDUP(Q129*H129*SQRT(D129),0))</f>
        <v>551</v>
      </c>
      <c r="S129" s="48" t="n">
        <f aca="false">IF($A129="","",ROUNDUP(G129*D129+R129,0))</f>
        <v>750</v>
      </c>
      <c r="T129" s="46" t="n">
        <f aca="false">IF($A129="","",IFERROR(ROUND(SQRT(2*F129*Assumptions!$B$4/(Assumptions!$B$5*C129)),0),0))</f>
        <v>1079</v>
      </c>
      <c r="U129" s="53" t="n">
        <f aca="false">IF($A129="","",R129*C129)</f>
        <v>975.27</v>
      </c>
      <c r="V129" s="53" t="n">
        <f aca="false">IF($A129="","",E129*C129)</f>
        <v>2454.99</v>
      </c>
      <c r="W129" s="59" t="n">
        <f aca="false">IF($A129="","",IFERROR(E129/G129,0))</f>
        <v>14.0019413706077</v>
      </c>
      <c r="X129" s="48" t="n">
        <f aca="false">IF($A129="","",S129+T129)</f>
        <v>1829</v>
      </c>
      <c r="Y129" s="48" t="n">
        <f aca="false">IF($A129="","",MAX(0,E129-X129))</f>
        <v>0</v>
      </c>
      <c r="Z129" s="53" t="n">
        <f aca="false">IF($A129="","",Y129*C129)</f>
        <v>0</v>
      </c>
      <c r="AA129" s="56" t="str">
        <f aca="false">IF($A129="","",IF(E129&lt;=R129,"Below Safety Stock",IF(E129&lt;=S129,"Reorder Now",IF(E129&gt;X129,"Excess","Healthy"))))</f>
        <v>Healthy</v>
      </c>
      <c r="AB129" s="48" t="n">
        <f aca="false">IF($A129="","",RANK(AF129,$AF$5:$AF$504,0)+COUNTIF($AF$5:AF129,AF129)-1)</f>
        <v>124</v>
      </c>
      <c r="AC129" s="44" t="str">
        <f aca="false">IF($A129="","",Weekly_Demand!B129)</f>
        <v>PAPER CHAIN KIT EMPIRE</v>
      </c>
      <c r="AD129" s="59" t="n">
        <f aca="false">IF($A129="","",H129*SQRT(D129))</f>
        <v>268.056829424108</v>
      </c>
      <c r="AE129" s="53" t="n">
        <f aca="false">IF($A129="","",AD129*C129)</f>
        <v>474.46058808067</v>
      </c>
      <c r="AF129" s="53" t="n">
        <f aca="false">IF($A129="","",ROUND(J129,2))</f>
        <v>9117.27</v>
      </c>
    </row>
    <row r="130" customFormat="false" ht="15" hidden="false" customHeight="false" outlineLevel="0" collapsed="false">
      <c r="A130" s="44" t="str">
        <f aca="false">IF(Weekly_Demand!A130="","",Weekly_Demand!A130)</f>
        <v>21232</v>
      </c>
      <c r="B130" s="44" t="str">
        <f aca="false">IF($A130="","",Weekly_Demand!C130)</f>
        <v>Other</v>
      </c>
      <c r="C130" s="45" t="n">
        <f aca="false">IF($A130="","",Weekly_Demand!D130)</f>
        <v>0.75</v>
      </c>
      <c r="D130" s="46" t="n">
        <f aca="false">IF($A130="","",Weekly_Demand!E130+Assumptions!$B$19)</f>
        <v>2</v>
      </c>
      <c r="E130" s="46" t="n">
        <f aca="false">IF($A130="","",Weekly_Demand!F130)</f>
        <v>2510</v>
      </c>
      <c r="F130" s="46" t="n">
        <f aca="false">IF($A130="","",SUM(Weekly_Demand!G130:BF130))</f>
        <v>10876</v>
      </c>
      <c r="G130" s="51" t="n">
        <f aca="false">IF($A130="","",IFERROR(F130/Assumptions!$B$6,0))</f>
        <v>209.153846153846</v>
      </c>
      <c r="H130" s="51" t="n">
        <f aca="false">IF($A130="","",STDEV(Weekly_Demand!G130:BF130))</f>
        <v>134.365376115436</v>
      </c>
      <c r="I130" s="52" t="n">
        <f aca="false">IF($A130="","",IFERROR(H130/G130,0))</f>
        <v>0.642423644538678</v>
      </c>
      <c r="J130" s="53" t="n">
        <f aca="false">IF($A130="","",F130*C130)</f>
        <v>8157</v>
      </c>
      <c r="K130" s="54" t="n">
        <f aca="false">IF($A130="","",IFERROR(J130/$J$505,0))</f>
        <v>0.00211064305102338</v>
      </c>
      <c r="L130" s="54" t="n">
        <f aca="false">IF($A130="","",IFERROR(SUMIFS($J$5:$J$504,$AB$5:$AB$504,"&lt;="&amp;AB130)/$J$505,0))</f>
        <v>0.562078057206338</v>
      </c>
      <c r="M130" s="55" t="str">
        <f aca="false">IF($A130="","",IF(L130&lt;=Assumptions!$B$7,"A",IF(L130&lt;=Assumptions!$B$8,"B","C")))</f>
        <v>A</v>
      </c>
      <c r="N130" s="55" t="str">
        <f aca="false">IF($A130="","",IF(I130&lt;=Assumptions!$B$9,"X",IF(I130&lt;=Assumptions!$B$10,"Y","Z")))</f>
        <v>Y</v>
      </c>
      <c r="O130" s="56" t="str">
        <f aca="false">IF($A130="","",M130&amp;N130)</f>
        <v>AY</v>
      </c>
      <c r="P130" s="57" t="n">
        <f aca="false">IF($A130="","",INDEX(Assumptions!$B$35:$B$37,MATCH(M130,Assumptions!$A$35:$A$37,0)))</f>
        <v>0.98</v>
      </c>
      <c r="Q130" s="58" t="n">
        <f aca="false">IF($A130="","",NORMSINV(P130))</f>
        <v>2.05374891063182</v>
      </c>
      <c r="R130" s="48" t="n">
        <f aca="false">IF($A130="","",ROUNDUP(Q130*H130*SQRT(D130),0))</f>
        <v>391</v>
      </c>
      <c r="S130" s="48" t="n">
        <f aca="false">IF($A130="","",ROUNDUP(G130*D130+R130,0))</f>
        <v>810</v>
      </c>
      <c r="T130" s="46" t="n">
        <f aca="false">IF($A130="","",IFERROR(ROUND(SQRT(2*F130*Assumptions!$B$4/(Assumptions!$B$5*C130)),0),0))</f>
        <v>2408</v>
      </c>
      <c r="U130" s="53" t="n">
        <f aca="false">IF($A130="","",R130*C130)</f>
        <v>293.25</v>
      </c>
      <c r="V130" s="53" t="n">
        <f aca="false">IF($A130="","",E130*C130)</f>
        <v>1882.5</v>
      </c>
      <c r="W130" s="59" t="n">
        <f aca="false">IF($A130="","",IFERROR(E130/G130,0))</f>
        <v>12.0007355645458</v>
      </c>
      <c r="X130" s="48" t="n">
        <f aca="false">IF($A130="","",S130+T130)</f>
        <v>3218</v>
      </c>
      <c r="Y130" s="48" t="n">
        <f aca="false">IF($A130="","",MAX(0,E130-X130))</f>
        <v>0</v>
      </c>
      <c r="Z130" s="53" t="n">
        <f aca="false">IF($A130="","",Y130*C130)</f>
        <v>0</v>
      </c>
      <c r="AA130" s="56" t="str">
        <f aca="false">IF($A130="","",IF(E130&lt;=R130,"Below Safety Stock",IF(E130&lt;=S130,"Reorder Now",IF(E130&gt;X130,"Excess","Healthy"))))</f>
        <v>Healthy</v>
      </c>
      <c r="AB130" s="48" t="n">
        <f aca="false">IF($A130="","",RANK(AF130,$AF$5:$AF$504,0)+COUNTIF($AF$5:AF130,AF130)-1)</f>
        <v>140</v>
      </c>
      <c r="AC130" s="44" t="str">
        <f aca="false">IF($A130="","",Weekly_Demand!B130)</f>
        <v>STRAWBERRY CERAMIC TRINKET BOX</v>
      </c>
      <c r="AD130" s="59" t="n">
        <f aca="false">IF($A130="","",H130*SQRT(D130))</f>
        <v>190.021337215811</v>
      </c>
      <c r="AE130" s="53" t="n">
        <f aca="false">IF($A130="","",AD130*C130)</f>
        <v>142.516002911858</v>
      </c>
      <c r="AF130" s="53" t="n">
        <f aca="false">IF($A130="","",ROUND(J130,2))</f>
        <v>8157</v>
      </c>
    </row>
    <row r="131" customFormat="false" ht="15" hidden="false" customHeight="false" outlineLevel="0" collapsed="false">
      <c r="A131" s="44" t="str">
        <f aca="false">IF(Weekly_Demand!A131="","",Weekly_Demand!A131)</f>
        <v>23313</v>
      </c>
      <c r="B131" s="44" t="str">
        <f aca="false">IF($A131="","",Weekly_Demand!C131)</f>
        <v>Other</v>
      </c>
      <c r="C131" s="45" t="n">
        <f aca="false">IF($A131="","",Weekly_Demand!D131)</f>
        <v>2.97</v>
      </c>
      <c r="D131" s="46" t="n">
        <f aca="false">IF($A131="","",Weekly_Demand!E131+Assumptions!$B$19)</f>
        <v>4</v>
      </c>
      <c r="E131" s="46" t="n">
        <f aca="false">IF($A131="","",Weekly_Demand!F131)</f>
        <v>485</v>
      </c>
      <c r="F131" s="46" t="n">
        <f aca="false">IF($A131="","",SUM(Weekly_Demand!G131:BF131))</f>
        <v>2803</v>
      </c>
      <c r="G131" s="51" t="n">
        <f aca="false">IF($A131="","",IFERROR(F131/Assumptions!$B$6,0))</f>
        <v>53.9038461538462</v>
      </c>
      <c r="H131" s="51" t="n">
        <f aca="false">IF($A131="","",STDEV(Weekly_Demand!G131:BF131))</f>
        <v>95.3773228309919</v>
      </c>
      <c r="I131" s="52" t="n">
        <f aca="false">IF($A131="","",IFERROR(H131/G131,0))</f>
        <v>1.76939735540905</v>
      </c>
      <c r="J131" s="53" t="n">
        <f aca="false">IF($A131="","",F131*C131)</f>
        <v>8324.91</v>
      </c>
      <c r="K131" s="54" t="n">
        <f aca="false">IF($A131="","",IFERROR(J131/$J$505,0))</f>
        <v>0.00215409016083058</v>
      </c>
      <c r="L131" s="54" t="n">
        <f aca="false">IF($A131="","",IFERROR(SUMIFS($J$5:$J$504,$AB$5:$AB$504,"&lt;="&amp;AB131)/$J$505,0))</f>
        <v>0.555734033967672</v>
      </c>
      <c r="M131" s="55" t="str">
        <f aca="false">IF($A131="","",IF(L131&lt;=Assumptions!$B$7,"A",IF(L131&lt;=Assumptions!$B$8,"B","C")))</f>
        <v>A</v>
      </c>
      <c r="N131" s="55" t="str">
        <f aca="false">IF($A131="","",IF(I131&lt;=Assumptions!$B$9,"X",IF(I131&lt;=Assumptions!$B$10,"Y","Z")))</f>
        <v>Z</v>
      </c>
      <c r="O131" s="56" t="str">
        <f aca="false">IF($A131="","",M131&amp;N131)</f>
        <v>AZ</v>
      </c>
      <c r="P131" s="57" t="n">
        <f aca="false">IF($A131="","",INDEX(Assumptions!$B$35:$B$37,MATCH(M131,Assumptions!$A$35:$A$37,0)))</f>
        <v>0.98</v>
      </c>
      <c r="Q131" s="58" t="n">
        <f aca="false">IF($A131="","",NORMSINV(P131))</f>
        <v>2.05374891063182</v>
      </c>
      <c r="R131" s="48" t="n">
        <f aca="false">IF($A131="","",ROUNDUP(Q131*H131*SQRT(D131),0))</f>
        <v>392</v>
      </c>
      <c r="S131" s="48" t="n">
        <f aca="false">IF($A131="","",ROUNDUP(G131*D131+R131,0))</f>
        <v>608</v>
      </c>
      <c r="T131" s="46" t="n">
        <f aca="false">IF($A131="","",IFERROR(ROUND(SQRT(2*F131*Assumptions!$B$4/(Assumptions!$B$5*C131)),0),0))</f>
        <v>614</v>
      </c>
      <c r="U131" s="53" t="n">
        <f aca="false">IF($A131="","",R131*C131)</f>
        <v>1164.24</v>
      </c>
      <c r="V131" s="53" t="n">
        <f aca="false">IF($A131="","",E131*C131)</f>
        <v>1440.45</v>
      </c>
      <c r="W131" s="59" t="n">
        <f aca="false">IF($A131="","",IFERROR(E131/G131,0))</f>
        <v>8.9975026757046</v>
      </c>
      <c r="X131" s="48" t="n">
        <f aca="false">IF($A131="","",S131+T131)</f>
        <v>1222</v>
      </c>
      <c r="Y131" s="48" t="n">
        <f aca="false">IF($A131="","",MAX(0,E131-X131))</f>
        <v>0</v>
      </c>
      <c r="Z131" s="53" t="n">
        <f aca="false">IF($A131="","",Y131*C131)</f>
        <v>0</v>
      </c>
      <c r="AA131" s="56" t="str">
        <f aca="false">IF($A131="","",IF(E131&lt;=R131,"Below Safety Stock",IF(E131&lt;=S131,"Reorder Now",IF(E131&gt;X131,"Excess","Healthy"))))</f>
        <v>Reorder Now</v>
      </c>
      <c r="AB131" s="48" t="n">
        <f aca="false">IF($A131="","",RANK(AF131,$AF$5:$AF$504,0)+COUNTIF($AF$5:AF131,AF131)-1)</f>
        <v>137</v>
      </c>
      <c r="AC131" s="44" t="str">
        <f aca="false">IF($A131="","",Weekly_Demand!B131)</f>
        <v>VINTAGE CHRISTMAS BUNTING</v>
      </c>
      <c r="AD131" s="59" t="n">
        <f aca="false">IF($A131="","",H131*SQRT(D131))</f>
        <v>190.754645661984</v>
      </c>
      <c r="AE131" s="53" t="n">
        <f aca="false">IF($A131="","",AD131*C131)</f>
        <v>566.541297616092</v>
      </c>
      <c r="AF131" s="53" t="n">
        <f aca="false">IF($A131="","",ROUND(J131,2))</f>
        <v>8324.91</v>
      </c>
    </row>
    <row r="132" customFormat="false" ht="15" hidden="false" customHeight="false" outlineLevel="0" collapsed="false">
      <c r="A132" s="44" t="str">
        <f aca="false">IF(Weekly_Demand!A132="","",Weekly_Demand!A132)</f>
        <v>82483</v>
      </c>
      <c r="B132" s="44" t="str">
        <f aca="false">IF($A132="","",Weekly_Demand!C132)</f>
        <v>Other</v>
      </c>
      <c r="C132" s="45" t="n">
        <f aca="false">IF($A132="","",Weekly_Demand!D132)</f>
        <v>4.17</v>
      </c>
      <c r="D132" s="46" t="n">
        <f aca="false">IF($A132="","",Weekly_Demand!E132+Assumptions!$B$19)</f>
        <v>8</v>
      </c>
      <c r="E132" s="46" t="n">
        <f aca="false">IF($A132="","",Weekly_Demand!F132)</f>
        <v>441</v>
      </c>
      <c r="F132" s="46" t="n">
        <f aca="false">IF($A132="","",SUM(Weekly_Demand!G132:BF132))</f>
        <v>2292</v>
      </c>
      <c r="G132" s="51" t="n">
        <f aca="false">IF($A132="","",IFERROR(F132/Assumptions!$B$6,0))</f>
        <v>44.0769230769231</v>
      </c>
      <c r="H132" s="51" t="n">
        <f aca="false">IF($A132="","",STDEV(Weekly_Demand!G132:BF132))</f>
        <v>34.1673196420699</v>
      </c>
      <c r="I132" s="52" t="n">
        <f aca="false">IF($A132="","",IFERROR(H132/G132,0))</f>
        <v>0.775174791181342</v>
      </c>
      <c r="J132" s="53" t="n">
        <f aca="false">IF($A132="","",F132*C132)</f>
        <v>9557.64</v>
      </c>
      <c r="K132" s="54" t="n">
        <f aca="false">IF($A132="","",IFERROR(J132/$J$505,0))</f>
        <v>0.00247306196520573</v>
      </c>
      <c r="L132" s="54" t="n">
        <f aca="false">IF($A132="","",IFERROR(SUMIFS($J$5:$J$504,$AB$5:$AB$504,"&lt;="&amp;AB132)/$J$505,0))</f>
        <v>0.502155495962436</v>
      </c>
      <c r="M132" s="55" t="str">
        <f aca="false">IF($A132="","",IF(L132&lt;=Assumptions!$B$7,"A",IF(L132&lt;=Assumptions!$B$8,"B","C")))</f>
        <v>A</v>
      </c>
      <c r="N132" s="55" t="str">
        <f aca="false">IF($A132="","",IF(I132&lt;=Assumptions!$B$9,"X",IF(I132&lt;=Assumptions!$B$10,"Y","Z")))</f>
        <v>Y</v>
      </c>
      <c r="O132" s="56" t="str">
        <f aca="false">IF($A132="","",M132&amp;N132)</f>
        <v>AY</v>
      </c>
      <c r="P132" s="57" t="n">
        <f aca="false">IF($A132="","",INDEX(Assumptions!$B$35:$B$37,MATCH(M132,Assumptions!$A$35:$A$37,0)))</f>
        <v>0.98</v>
      </c>
      <c r="Q132" s="58" t="n">
        <f aca="false">IF($A132="","",NORMSINV(P132))</f>
        <v>2.05374891063182</v>
      </c>
      <c r="R132" s="48" t="n">
        <f aca="false">IF($A132="","",ROUNDUP(Q132*H132*SQRT(D132),0))</f>
        <v>199</v>
      </c>
      <c r="S132" s="48" t="n">
        <f aca="false">IF($A132="","",ROUNDUP(G132*D132+R132,0))</f>
        <v>552</v>
      </c>
      <c r="T132" s="46" t="n">
        <f aca="false">IF($A132="","",IFERROR(ROUND(SQRT(2*F132*Assumptions!$B$4/(Assumptions!$B$5*C132)),0),0))</f>
        <v>469</v>
      </c>
      <c r="U132" s="53" t="n">
        <f aca="false">IF($A132="","",R132*C132)</f>
        <v>829.83</v>
      </c>
      <c r="V132" s="53" t="n">
        <f aca="false">IF($A132="","",E132*C132)</f>
        <v>1838.97</v>
      </c>
      <c r="W132" s="59" t="n">
        <f aca="false">IF($A132="","",IFERROR(E132/G132,0))</f>
        <v>10.0052356020942</v>
      </c>
      <c r="X132" s="48" t="n">
        <f aca="false">IF($A132="","",S132+T132)</f>
        <v>1021</v>
      </c>
      <c r="Y132" s="48" t="n">
        <f aca="false">IF($A132="","",MAX(0,E132-X132))</f>
        <v>0</v>
      </c>
      <c r="Z132" s="53" t="n">
        <f aca="false">IF($A132="","",Y132*C132)</f>
        <v>0</v>
      </c>
      <c r="AA132" s="56" t="str">
        <f aca="false">IF($A132="","",IF(E132&lt;=R132,"Below Safety Stock",IF(E132&lt;=S132,"Reorder Now",IF(E132&gt;X132,"Excess","Healthy"))))</f>
        <v>Reorder Now</v>
      </c>
      <c r="AB132" s="48" t="n">
        <f aca="false">IF($A132="","",RANK(AF132,$AF$5:$AF$504,0)+COUNTIF($AF$5:AF132,AF132)-1)</f>
        <v>114</v>
      </c>
      <c r="AC132" s="44" t="str">
        <f aca="false">IF($A132="","",Weekly_Demand!B132)</f>
        <v>WOOD 2 DRAWER CABINET WHITE FINISH</v>
      </c>
      <c r="AD132" s="59" t="n">
        <f aca="false">IF($A132="","",H132*SQRT(D132))</f>
        <v>96.6397736555039</v>
      </c>
      <c r="AE132" s="53" t="n">
        <f aca="false">IF($A132="","",AD132*C132)</f>
        <v>402.987856143451</v>
      </c>
      <c r="AF132" s="53" t="n">
        <f aca="false">IF($A132="","",ROUND(J132,2))</f>
        <v>9557.64</v>
      </c>
    </row>
    <row r="133" customFormat="false" ht="15" hidden="false" customHeight="false" outlineLevel="0" collapsed="false">
      <c r="A133" s="44" t="str">
        <f aca="false">IF(Weekly_Demand!A133="","",Weekly_Demand!A133)</f>
        <v>85152</v>
      </c>
      <c r="B133" s="44" t="str">
        <f aca="false">IF($A133="","",Weekly_Demand!C133)</f>
        <v>Other</v>
      </c>
      <c r="C133" s="45" t="n">
        <f aca="false">IF($A133="","",Weekly_Demand!D133)</f>
        <v>1.26</v>
      </c>
      <c r="D133" s="46" t="n">
        <f aca="false">IF($A133="","",Weekly_Demand!E133+Assumptions!$B$19)</f>
        <v>2</v>
      </c>
      <c r="E133" s="46" t="n">
        <f aca="false">IF($A133="","",Weekly_Demand!F133)</f>
        <v>7296</v>
      </c>
      <c r="F133" s="46" t="n">
        <f aca="false">IF($A133="","",SUM(Weekly_Demand!G133:BF133))</f>
        <v>7439</v>
      </c>
      <c r="G133" s="51" t="n">
        <f aca="false">IF($A133="","",IFERROR(F133/Assumptions!$B$6,0))</f>
        <v>143.057692307692</v>
      </c>
      <c r="H133" s="51" t="n">
        <f aca="false">IF($A133="","",STDEV(Weekly_Demand!G133:BF133))</f>
        <v>132.64894158784</v>
      </c>
      <c r="I133" s="52" t="n">
        <f aca="false">IF($A133="","",IFERROR(H133/G133,0))</f>
        <v>0.927240887561185</v>
      </c>
      <c r="J133" s="53" t="n">
        <f aca="false">IF($A133="","",F133*C133)</f>
        <v>9373.14</v>
      </c>
      <c r="K133" s="54" t="n">
        <f aca="false">IF($A133="","",IFERROR(J133/$J$505,0))</f>
        <v>0.00242532215364341</v>
      </c>
      <c r="L133" s="54" t="n">
        <f aca="false">IF($A133="","",IFERROR(SUMIFS($J$5:$J$504,$AB$5:$AB$504,"&lt;="&amp;AB133)/$J$505,0))</f>
        <v>0.509513869876951</v>
      </c>
      <c r="M133" s="55" t="str">
        <f aca="false">IF($A133="","",IF(L133&lt;=Assumptions!$B$7,"A",IF(L133&lt;=Assumptions!$B$8,"B","C")))</f>
        <v>A</v>
      </c>
      <c r="N133" s="55" t="str">
        <f aca="false">IF($A133="","",IF(I133&lt;=Assumptions!$B$9,"X",IF(I133&lt;=Assumptions!$B$10,"Y","Z")))</f>
        <v>Y</v>
      </c>
      <c r="O133" s="56" t="str">
        <f aca="false">IF($A133="","",M133&amp;N133)</f>
        <v>AY</v>
      </c>
      <c r="P133" s="57" t="n">
        <f aca="false">IF($A133="","",INDEX(Assumptions!$B$35:$B$37,MATCH(M133,Assumptions!$A$35:$A$37,0)))</f>
        <v>0.98</v>
      </c>
      <c r="Q133" s="58" t="n">
        <f aca="false">IF($A133="","",NORMSINV(P133))</f>
        <v>2.05374891063182</v>
      </c>
      <c r="R133" s="48" t="n">
        <f aca="false">IF($A133="","",ROUNDUP(Q133*H133*SQRT(D133),0))</f>
        <v>386</v>
      </c>
      <c r="S133" s="48" t="n">
        <f aca="false">IF($A133="","",ROUNDUP(G133*D133+R133,0))</f>
        <v>673</v>
      </c>
      <c r="T133" s="46" t="n">
        <f aca="false">IF($A133="","",IFERROR(ROUND(SQRT(2*F133*Assumptions!$B$4/(Assumptions!$B$5*C133)),0),0))</f>
        <v>1537</v>
      </c>
      <c r="U133" s="53" t="n">
        <f aca="false">IF($A133="","",R133*C133)</f>
        <v>486.36</v>
      </c>
      <c r="V133" s="53" t="n">
        <f aca="false">IF($A133="","",E133*C133)</f>
        <v>9192.96</v>
      </c>
      <c r="W133" s="59" t="n">
        <f aca="false">IF($A133="","",IFERROR(E133/G133,0))</f>
        <v>51.0004032800108</v>
      </c>
      <c r="X133" s="48" t="n">
        <f aca="false">IF($A133="","",S133+T133)</f>
        <v>2210</v>
      </c>
      <c r="Y133" s="48" t="n">
        <f aca="false">IF($A133="","",MAX(0,E133-X133))</f>
        <v>5086</v>
      </c>
      <c r="Z133" s="53" t="n">
        <f aca="false">IF($A133="","",Y133*C133)</f>
        <v>6408.36</v>
      </c>
      <c r="AA133" s="56" t="str">
        <f aca="false">IF($A133="","",IF(E133&lt;=R133,"Below Safety Stock",IF(E133&lt;=S133,"Reorder Now",IF(E133&gt;X133,"Excess","Healthy"))))</f>
        <v>Excess</v>
      </c>
      <c r="AB133" s="48" t="n">
        <f aca="false">IF($A133="","",RANK(AF133,$AF$5:$AF$504,0)+COUNTIF($AF$5:AF133,AF133)-1)</f>
        <v>117</v>
      </c>
      <c r="AC133" s="44" t="str">
        <f aca="false">IF($A133="","",Weekly_Demand!B133)</f>
        <v>HAND OVER THE CHOCOLATE   SIGN</v>
      </c>
      <c r="AD133" s="59" t="n">
        <f aca="false">IF($A133="","",H133*SQRT(D133))</f>
        <v>187.593932227959</v>
      </c>
      <c r="AE133" s="53" t="n">
        <f aca="false">IF($A133="","",AD133*C133)</f>
        <v>236.368354607228</v>
      </c>
      <c r="AF133" s="53" t="n">
        <f aca="false">IF($A133="","",ROUND(J133,2))</f>
        <v>9373.14</v>
      </c>
    </row>
    <row r="134" customFormat="false" ht="15" hidden="false" customHeight="false" outlineLevel="0" collapsed="false">
      <c r="A134" s="44" t="str">
        <f aca="false">IF(Weekly_Demand!A134="","",Weekly_Demand!A134)</f>
        <v>22900</v>
      </c>
      <c r="B134" s="44" t="str">
        <f aca="false">IF($A134="","",Weekly_Demand!C134)</f>
        <v>Other</v>
      </c>
      <c r="C134" s="45" t="n">
        <f aca="false">IF($A134="","",Weekly_Demand!D134)</f>
        <v>1.95</v>
      </c>
      <c r="D134" s="46" t="n">
        <f aca="false">IF($A134="","",Weekly_Demand!E134+Assumptions!$B$19)</f>
        <v>2</v>
      </c>
      <c r="E134" s="46" t="n">
        <f aca="false">IF($A134="","",Weekly_Demand!F134)</f>
        <v>544</v>
      </c>
      <c r="F134" s="46" t="n">
        <f aca="false">IF($A134="","",SUM(Weekly_Demand!G134:BF134))</f>
        <v>4711</v>
      </c>
      <c r="G134" s="51" t="n">
        <f aca="false">IF($A134="","",IFERROR(F134/Assumptions!$B$6,0))</f>
        <v>90.5961538461538</v>
      </c>
      <c r="H134" s="51" t="n">
        <f aca="false">IF($A134="","",STDEV(Weekly_Demand!G134:BF134))</f>
        <v>105.507226704515</v>
      </c>
      <c r="I134" s="52" t="n">
        <f aca="false">IF($A134="","",IFERROR(H134/G134,0))</f>
        <v>1.16458836523769</v>
      </c>
      <c r="J134" s="53" t="n">
        <f aca="false">IF($A134="","",F134*C134)</f>
        <v>9186.45</v>
      </c>
      <c r="K134" s="54" t="n">
        <f aca="false">IF($A134="","",IFERROR(J134/$J$505,0))</f>
        <v>0.00237701567439913</v>
      </c>
      <c r="L134" s="54" t="n">
        <f aca="false">IF($A134="","",IFERROR(SUMIFS($J$5:$J$504,$AB$5:$AB$504,"&lt;="&amp;AB134)/$J$505,0))</f>
        <v>0.521476806835934</v>
      </c>
      <c r="M134" s="55" t="str">
        <f aca="false">IF($A134="","",IF(L134&lt;=Assumptions!$B$7,"A",IF(L134&lt;=Assumptions!$B$8,"B","C")))</f>
        <v>A</v>
      </c>
      <c r="N134" s="55" t="str">
        <f aca="false">IF($A134="","",IF(I134&lt;=Assumptions!$B$9,"X",IF(I134&lt;=Assumptions!$B$10,"Y","Z")))</f>
        <v>Z</v>
      </c>
      <c r="O134" s="56" t="str">
        <f aca="false">IF($A134="","",M134&amp;N134)</f>
        <v>AZ</v>
      </c>
      <c r="P134" s="57" t="n">
        <f aca="false">IF($A134="","",INDEX(Assumptions!$B$35:$B$37,MATCH(M134,Assumptions!$A$35:$A$37,0)))</f>
        <v>0.98</v>
      </c>
      <c r="Q134" s="58" t="n">
        <f aca="false">IF($A134="","",NORMSINV(P134))</f>
        <v>2.05374891063182</v>
      </c>
      <c r="R134" s="48" t="n">
        <f aca="false">IF($A134="","",ROUNDUP(Q134*H134*SQRT(D134),0))</f>
        <v>307</v>
      </c>
      <c r="S134" s="48" t="n">
        <f aca="false">IF($A134="","",ROUNDUP(G134*D134+R134,0))</f>
        <v>489</v>
      </c>
      <c r="T134" s="46" t="n">
        <f aca="false">IF($A134="","",IFERROR(ROUND(SQRT(2*F134*Assumptions!$B$4/(Assumptions!$B$5*C134)),0),0))</f>
        <v>983</v>
      </c>
      <c r="U134" s="53" t="n">
        <f aca="false">IF($A134="","",R134*C134)</f>
        <v>598.65</v>
      </c>
      <c r="V134" s="53" t="n">
        <f aca="false">IF($A134="","",E134*C134)</f>
        <v>1060.8</v>
      </c>
      <c r="W134" s="59" t="n">
        <f aca="false">IF($A134="","",IFERROR(E134/G134,0))</f>
        <v>6.00466992146041</v>
      </c>
      <c r="X134" s="48" t="n">
        <f aca="false">IF($A134="","",S134+T134)</f>
        <v>1472</v>
      </c>
      <c r="Y134" s="48" t="n">
        <f aca="false">IF($A134="","",MAX(0,E134-X134))</f>
        <v>0</v>
      </c>
      <c r="Z134" s="53" t="n">
        <f aca="false">IF($A134="","",Y134*C134)</f>
        <v>0</v>
      </c>
      <c r="AA134" s="56" t="str">
        <f aca="false">IF($A134="","",IF(E134&lt;=R134,"Below Safety Stock",IF(E134&lt;=S134,"Reorder Now",IF(E134&gt;X134,"Excess","Healthy"))))</f>
        <v>Healthy</v>
      </c>
      <c r="AB134" s="48" t="n">
        <f aca="false">IF($A134="","",RANK(AF134,$AF$5:$AF$504,0)+COUNTIF($AF$5:AF134,AF134)-1)</f>
        <v>122</v>
      </c>
      <c r="AC134" s="44" t="str">
        <f aca="false">IF($A134="","",Weekly_Demand!B134)</f>
        <v>SET 2 TEA TOWELS I LOVE LONDON</v>
      </c>
      <c r="AD134" s="59" t="n">
        <f aca="false">IF($A134="","",H134*SQRT(D134))</f>
        <v>149.209750933897</v>
      </c>
      <c r="AE134" s="53" t="n">
        <f aca="false">IF($A134="","",AD134*C134)</f>
        <v>290.9590143211</v>
      </c>
      <c r="AF134" s="53" t="n">
        <f aca="false">IF($A134="","",ROUND(J134,2))</f>
        <v>9186.45</v>
      </c>
    </row>
    <row r="135" customFormat="false" ht="15" hidden="false" customHeight="false" outlineLevel="0" collapsed="false">
      <c r="A135" s="44" t="str">
        <f aca="false">IF(Weekly_Demand!A135="","",Weekly_Demand!A135)</f>
        <v>23200</v>
      </c>
      <c r="B135" s="44" t="str">
        <f aca="false">IF($A135="","",Weekly_Demand!C135)</f>
        <v>Bags</v>
      </c>
      <c r="C135" s="45" t="n">
        <f aca="false">IF($A135="","",Weekly_Demand!D135)</f>
        <v>1.248</v>
      </c>
      <c r="D135" s="46" t="n">
        <f aca="false">IF($A135="","",Weekly_Demand!E135+Assumptions!$B$19)</f>
        <v>2</v>
      </c>
      <c r="E135" s="46" t="n">
        <f aca="false">IF($A135="","",Weekly_Demand!F135)</f>
        <v>811</v>
      </c>
      <c r="F135" s="46" t="n">
        <f aca="false">IF($A135="","",SUM(Weekly_Demand!G135:BF135))</f>
        <v>7025</v>
      </c>
      <c r="G135" s="51" t="n">
        <f aca="false">IF($A135="","",IFERROR(F135/Assumptions!$B$6,0))</f>
        <v>135.096153846154</v>
      </c>
      <c r="H135" s="51" t="n">
        <f aca="false">IF($A135="","",STDEV(Weekly_Demand!G135:BF135))</f>
        <v>140.579230275731</v>
      </c>
      <c r="I135" s="52" t="n">
        <f aca="false">IF($A135="","",IFERROR(H135/G135,0))</f>
        <v>1.04058647321538</v>
      </c>
      <c r="J135" s="53" t="n">
        <f aca="false">IF($A135="","",F135*C135)</f>
        <v>8767.2</v>
      </c>
      <c r="K135" s="54" t="n">
        <f aca="false">IF($A135="","",IFERROR(J135/$J$505,0))</f>
        <v>0.00226853374487338</v>
      </c>
      <c r="L135" s="54" t="n">
        <f aca="false">IF($A135="","",IFERROR(SUMIFS($J$5:$J$504,$AB$5:$AB$504,"&lt;="&amp;AB135)/$J$505,0))</f>
        <v>0.54012134572061</v>
      </c>
      <c r="M135" s="55" t="str">
        <f aca="false">IF($A135="","",IF(L135&lt;=Assumptions!$B$7,"A",IF(L135&lt;=Assumptions!$B$8,"B","C")))</f>
        <v>A</v>
      </c>
      <c r="N135" s="55" t="str">
        <f aca="false">IF($A135="","",IF(I135&lt;=Assumptions!$B$9,"X",IF(I135&lt;=Assumptions!$B$10,"Y","Z")))</f>
        <v>Z</v>
      </c>
      <c r="O135" s="56" t="str">
        <f aca="false">IF($A135="","",M135&amp;N135)</f>
        <v>AZ</v>
      </c>
      <c r="P135" s="57" t="n">
        <f aca="false">IF($A135="","",INDEX(Assumptions!$B$35:$B$37,MATCH(M135,Assumptions!$A$35:$A$37,0)))</f>
        <v>0.98</v>
      </c>
      <c r="Q135" s="58" t="n">
        <f aca="false">IF($A135="","",NORMSINV(P135))</f>
        <v>2.05374891063182</v>
      </c>
      <c r="R135" s="48" t="n">
        <f aca="false">IF($A135="","",ROUNDUP(Q135*H135*SQRT(D135),0))</f>
        <v>409</v>
      </c>
      <c r="S135" s="48" t="n">
        <f aca="false">IF($A135="","",ROUNDUP(G135*D135+R135,0))</f>
        <v>680</v>
      </c>
      <c r="T135" s="46" t="n">
        <f aca="false">IF($A135="","",IFERROR(ROUND(SQRT(2*F135*Assumptions!$B$4/(Assumptions!$B$5*C135)),0),0))</f>
        <v>1501</v>
      </c>
      <c r="U135" s="53" t="n">
        <f aca="false">IF($A135="","",R135*C135)</f>
        <v>510.432</v>
      </c>
      <c r="V135" s="53" t="n">
        <f aca="false">IF($A135="","",E135*C135)</f>
        <v>1012.128</v>
      </c>
      <c r="W135" s="59" t="n">
        <f aca="false">IF($A135="","",IFERROR(E135/G135,0))</f>
        <v>6.00313167259787</v>
      </c>
      <c r="X135" s="48" t="n">
        <f aca="false">IF($A135="","",S135+T135)</f>
        <v>2181</v>
      </c>
      <c r="Y135" s="48" t="n">
        <f aca="false">IF($A135="","",MAX(0,E135-X135))</f>
        <v>0</v>
      </c>
      <c r="Z135" s="53" t="n">
        <f aca="false">IF($A135="","",Y135*C135)</f>
        <v>0</v>
      </c>
      <c r="AA135" s="56" t="str">
        <f aca="false">IF($A135="","",IF(E135&lt;=R135,"Below Safety Stock",IF(E135&lt;=S135,"Reorder Now",IF(E135&gt;X135,"Excess","Healthy"))))</f>
        <v>Healthy</v>
      </c>
      <c r="AB135" s="48" t="n">
        <f aca="false">IF($A135="","",RANK(AF135,$AF$5:$AF$504,0)+COUNTIF($AF$5:AF135,AF135)-1)</f>
        <v>130</v>
      </c>
      <c r="AC135" s="44" t="str">
        <f aca="false">IF($A135="","",Weekly_Demand!B135)</f>
        <v>JUMBO BAG PEARS</v>
      </c>
      <c r="AD135" s="59" t="n">
        <f aca="false">IF($A135="","",H135*SQRT(D135))</f>
        <v>198.809054043909</v>
      </c>
      <c r="AE135" s="53" t="n">
        <f aca="false">IF($A135="","",AD135*C135)</f>
        <v>248.113699446799</v>
      </c>
      <c r="AF135" s="53" t="n">
        <f aca="false">IF($A135="","",ROUND(J135,2))</f>
        <v>8767.2</v>
      </c>
    </row>
    <row r="136" customFormat="false" ht="15" hidden="false" customHeight="false" outlineLevel="0" collapsed="false">
      <c r="A136" s="44" t="str">
        <f aca="false">IF(Weekly_Demand!A136="","",Weekly_Demand!A136)</f>
        <v>22847</v>
      </c>
      <c r="B136" s="44" t="str">
        <f aca="false">IF($A136="","",Weekly_Demand!C136)</f>
        <v>Other</v>
      </c>
      <c r="C136" s="45" t="n">
        <f aca="false">IF($A136="","",Weekly_Demand!D136)</f>
        <v>10.17</v>
      </c>
      <c r="D136" s="46" t="n">
        <f aca="false">IF($A136="","",Weekly_Demand!E136+Assumptions!$B$19)</f>
        <v>8</v>
      </c>
      <c r="E136" s="46" t="n">
        <f aca="false">IF($A136="","",Weekly_Demand!F136)</f>
        <v>665</v>
      </c>
      <c r="F136" s="46" t="n">
        <f aca="false">IF($A136="","",SUM(Weekly_Demand!G136:BF136))</f>
        <v>887</v>
      </c>
      <c r="G136" s="51" t="n">
        <f aca="false">IF($A136="","",IFERROR(F136/Assumptions!$B$6,0))</f>
        <v>17.0576923076923</v>
      </c>
      <c r="H136" s="51" t="n">
        <f aca="false">IF($A136="","",STDEV(Weekly_Demand!G136:BF136))</f>
        <v>15.5581306674116</v>
      </c>
      <c r="I136" s="52" t="n">
        <f aca="false">IF($A136="","",IFERROR(H136/G136,0))</f>
        <v>0.912088832813307</v>
      </c>
      <c r="J136" s="53" t="n">
        <f aca="false">IF($A136="","",F136*C136)</f>
        <v>9020.79</v>
      </c>
      <c r="K136" s="54" t="n">
        <f aca="false">IF($A136="","",IFERROR(J136/$J$505,0))</f>
        <v>0.00233415075741586</v>
      </c>
      <c r="L136" s="54" t="n">
        <f aca="false">IF($A136="","",IFERROR(SUMIFS($J$5:$J$504,$AB$5:$AB$504,"&lt;="&amp;AB136)/$J$505,0))</f>
        <v>0.535576228444751</v>
      </c>
      <c r="M136" s="55" t="str">
        <f aca="false">IF($A136="","",IF(L136&lt;=Assumptions!$B$7,"A",IF(L136&lt;=Assumptions!$B$8,"B","C")))</f>
        <v>A</v>
      </c>
      <c r="N136" s="55" t="str">
        <f aca="false">IF($A136="","",IF(I136&lt;=Assumptions!$B$9,"X",IF(I136&lt;=Assumptions!$B$10,"Y","Z")))</f>
        <v>Y</v>
      </c>
      <c r="O136" s="56" t="str">
        <f aca="false">IF($A136="","",M136&amp;N136)</f>
        <v>AY</v>
      </c>
      <c r="P136" s="57" t="n">
        <f aca="false">IF($A136="","",INDEX(Assumptions!$B$35:$B$37,MATCH(M136,Assumptions!$A$35:$A$37,0)))</f>
        <v>0.98</v>
      </c>
      <c r="Q136" s="58" t="n">
        <f aca="false">IF($A136="","",NORMSINV(P136))</f>
        <v>2.05374891063182</v>
      </c>
      <c r="R136" s="48" t="n">
        <f aca="false">IF($A136="","",ROUNDUP(Q136*H136*SQRT(D136),0))</f>
        <v>91</v>
      </c>
      <c r="S136" s="48" t="n">
        <f aca="false">IF($A136="","",ROUNDUP(G136*D136+R136,0))</f>
        <v>228</v>
      </c>
      <c r="T136" s="46" t="n">
        <f aca="false">IF($A136="","",IFERROR(ROUND(SQRT(2*F136*Assumptions!$B$4/(Assumptions!$B$5*C136)),0),0))</f>
        <v>187</v>
      </c>
      <c r="U136" s="53" t="n">
        <f aca="false">IF($A136="","",R136*C136)</f>
        <v>925.47</v>
      </c>
      <c r="V136" s="53" t="n">
        <f aca="false">IF($A136="","",E136*C136)</f>
        <v>6763.05</v>
      </c>
      <c r="W136" s="59" t="n">
        <f aca="false">IF($A136="","",IFERROR(E136/G136,0))</f>
        <v>38.9853438556934</v>
      </c>
      <c r="X136" s="48" t="n">
        <f aca="false">IF($A136="","",S136+T136)</f>
        <v>415</v>
      </c>
      <c r="Y136" s="48" t="n">
        <f aca="false">IF($A136="","",MAX(0,E136-X136))</f>
        <v>250</v>
      </c>
      <c r="Z136" s="53" t="n">
        <f aca="false">IF($A136="","",Y136*C136)</f>
        <v>2542.5</v>
      </c>
      <c r="AA136" s="56" t="str">
        <f aca="false">IF($A136="","",IF(E136&lt;=R136,"Below Safety Stock",IF(E136&lt;=S136,"Reorder Now",IF(E136&gt;X136,"Excess","Healthy"))))</f>
        <v>Excess</v>
      </c>
      <c r="AB136" s="48" t="n">
        <f aca="false">IF($A136="","",RANK(AF136,$AF$5:$AF$504,0)+COUNTIF($AF$5:AF136,AF136)-1)</f>
        <v>128</v>
      </c>
      <c r="AC136" s="44" t="str">
        <f aca="false">IF($A136="","",Weekly_Demand!B136)</f>
        <v>BREAD BIN DINER STYLE IVORY</v>
      </c>
      <c r="AD136" s="59" t="n">
        <f aca="false">IF($A136="","",H136*SQRT(D136))</f>
        <v>44.0050387900525</v>
      </c>
      <c r="AE136" s="53" t="n">
        <f aca="false">IF($A136="","",AD136*C136)</f>
        <v>447.531244494834</v>
      </c>
      <c r="AF136" s="53" t="n">
        <f aca="false">IF($A136="","",ROUND(J136,2))</f>
        <v>9020.79</v>
      </c>
    </row>
    <row r="137" customFormat="false" ht="15" hidden="false" customHeight="false" outlineLevel="0" collapsed="false">
      <c r="A137" s="44" t="str">
        <f aca="false">IF(Weekly_Demand!A137="","",Weekly_Demand!A137)</f>
        <v>84029G</v>
      </c>
      <c r="B137" s="44" t="str">
        <f aca="false">IF($A137="","",Weekly_Demand!C137)</f>
        <v>Other</v>
      </c>
      <c r="C137" s="45" t="n">
        <f aca="false">IF($A137="","",Weekly_Demand!D137)</f>
        <v>2.55</v>
      </c>
      <c r="D137" s="46" t="n">
        <f aca="false">IF($A137="","",Weekly_Demand!E137+Assumptions!$B$19)</f>
        <v>4</v>
      </c>
      <c r="E137" s="46" t="n">
        <f aca="false">IF($A137="","",Weekly_Demand!F137)</f>
        <v>655</v>
      </c>
      <c r="F137" s="46" t="n">
        <f aca="false">IF($A137="","",SUM(Weekly_Demand!G137:BF137))</f>
        <v>2837</v>
      </c>
      <c r="G137" s="51" t="n">
        <f aca="false">IF($A137="","",IFERROR(F137/Assumptions!$B$6,0))</f>
        <v>54.5576923076923</v>
      </c>
      <c r="H137" s="51" t="n">
        <f aca="false">IF($A137="","",STDEV(Weekly_Demand!G137:BF137))</f>
        <v>87.0279228261417</v>
      </c>
      <c r="I137" s="52" t="n">
        <f aca="false">IF($A137="","",IFERROR(H137/G137,0))</f>
        <v>1.59515403135685</v>
      </c>
      <c r="J137" s="53" t="n">
        <f aca="false">IF($A137="","",F137*C137)</f>
        <v>7234.35</v>
      </c>
      <c r="K137" s="54" t="n">
        <f aca="false">IF($A137="","",IFERROR(J137/$J$505,0))</f>
        <v>0.00187190518035687</v>
      </c>
      <c r="L137" s="54" t="n">
        <f aca="false">IF($A137="","",IFERROR(SUMIFS($J$5:$J$504,$AB$5:$AB$504,"&lt;="&amp;AB137)/$J$505,0))</f>
        <v>0.623440449614446</v>
      </c>
      <c r="M137" s="55" t="str">
        <f aca="false">IF($A137="","",IF(L137&lt;=Assumptions!$B$7,"A",IF(L137&lt;=Assumptions!$B$8,"B","C")))</f>
        <v>A</v>
      </c>
      <c r="N137" s="55" t="str">
        <f aca="false">IF($A137="","",IF(I137&lt;=Assumptions!$B$9,"X",IF(I137&lt;=Assumptions!$B$10,"Y","Z")))</f>
        <v>Z</v>
      </c>
      <c r="O137" s="56" t="str">
        <f aca="false">IF($A137="","",M137&amp;N137)</f>
        <v>AZ</v>
      </c>
      <c r="P137" s="57" t="n">
        <f aca="false">IF($A137="","",INDEX(Assumptions!$B$35:$B$37,MATCH(M137,Assumptions!$A$35:$A$37,0)))</f>
        <v>0.98</v>
      </c>
      <c r="Q137" s="58" t="n">
        <f aca="false">IF($A137="","",NORMSINV(P137))</f>
        <v>2.05374891063182</v>
      </c>
      <c r="R137" s="48" t="n">
        <f aca="false">IF($A137="","",ROUNDUP(Q137*H137*SQRT(D137),0))</f>
        <v>358</v>
      </c>
      <c r="S137" s="48" t="n">
        <f aca="false">IF($A137="","",ROUNDUP(G137*D137+R137,0))</f>
        <v>577</v>
      </c>
      <c r="T137" s="46" t="n">
        <f aca="false">IF($A137="","",IFERROR(ROUND(SQRT(2*F137*Assumptions!$B$4/(Assumptions!$B$5*C137)),0),0))</f>
        <v>667</v>
      </c>
      <c r="U137" s="53" t="n">
        <f aca="false">IF($A137="","",R137*C137)</f>
        <v>912.9</v>
      </c>
      <c r="V137" s="53" t="n">
        <f aca="false">IF($A137="","",E137*C137)</f>
        <v>1670.25</v>
      </c>
      <c r="W137" s="59" t="n">
        <f aca="false">IF($A137="","",IFERROR(E137/G137,0))</f>
        <v>12.0056397603102</v>
      </c>
      <c r="X137" s="48" t="n">
        <f aca="false">IF($A137="","",S137+T137)</f>
        <v>1244</v>
      </c>
      <c r="Y137" s="48" t="n">
        <f aca="false">IF($A137="","",MAX(0,E137-X137))</f>
        <v>0</v>
      </c>
      <c r="Z137" s="53" t="n">
        <f aca="false">IF($A137="","",Y137*C137)</f>
        <v>0</v>
      </c>
      <c r="AA137" s="56" t="str">
        <f aca="false">IF($A137="","",IF(E137&lt;=R137,"Below Safety Stock",IF(E137&lt;=S137,"Reorder Now",IF(E137&gt;X137,"Excess","Healthy"))))</f>
        <v>Healthy</v>
      </c>
      <c r="AB137" s="48" t="n">
        <f aca="false">IF($A137="","",RANK(AF137,$AF$5:$AF$504,0)+COUNTIF($AF$5:AF137,AF137)-1)</f>
        <v>171</v>
      </c>
      <c r="AC137" s="44" t="str">
        <f aca="false">IF($A137="","",Weekly_Demand!B137)</f>
        <v>KNITTED UNION FLAG HOT WATER BOTTLE</v>
      </c>
      <c r="AD137" s="59" t="n">
        <f aca="false">IF($A137="","",H137*SQRT(D137))</f>
        <v>174.055845652283</v>
      </c>
      <c r="AE137" s="53" t="n">
        <f aca="false">IF($A137="","",AD137*C137)</f>
        <v>443.842406413323</v>
      </c>
      <c r="AF137" s="53" t="n">
        <f aca="false">IF($A137="","",ROUND(J137,2))</f>
        <v>7234.35</v>
      </c>
    </row>
    <row r="138" customFormat="false" ht="15" hidden="false" customHeight="false" outlineLevel="0" collapsed="false">
      <c r="A138" s="44" t="str">
        <f aca="false">IF(Weekly_Demand!A138="","",Weekly_Demand!A138)</f>
        <v>22507</v>
      </c>
      <c r="B138" s="44" t="str">
        <f aca="false">IF($A138="","",Weekly_Demand!C138)</f>
        <v>Other</v>
      </c>
      <c r="C138" s="45" t="n">
        <f aca="false">IF($A138="","",Weekly_Demand!D138)</f>
        <v>2.97</v>
      </c>
      <c r="D138" s="46" t="n">
        <f aca="false">IF($A138="","",Weekly_Demand!E138+Assumptions!$B$19)</f>
        <v>8</v>
      </c>
      <c r="E138" s="46" t="n">
        <f aca="false">IF($A138="","",Weekly_Demand!F138)</f>
        <v>168</v>
      </c>
      <c r="F138" s="46" t="n">
        <f aca="false">IF($A138="","",SUM(Weekly_Demand!G138:BF138))</f>
        <v>2913</v>
      </c>
      <c r="G138" s="51" t="n">
        <f aca="false">IF($A138="","",IFERROR(F138/Assumptions!$B$6,0))</f>
        <v>56.0192307692308</v>
      </c>
      <c r="H138" s="51" t="n">
        <f aca="false">IF($A138="","",STDEV(Weekly_Demand!G138:BF138))</f>
        <v>90.0329983916824</v>
      </c>
      <c r="I138" s="52" t="n">
        <f aca="false">IF($A138="","",IFERROR(H138/G138,0))</f>
        <v>1.60718019786045</v>
      </c>
      <c r="J138" s="53" t="n">
        <f aca="false">IF($A138="","",F138*C138)</f>
        <v>8651.61</v>
      </c>
      <c r="K138" s="54" t="n">
        <f aca="false">IF($A138="","",IFERROR(J138/$J$505,0))</f>
        <v>0.00223862455886532</v>
      </c>
      <c r="L138" s="54" t="n">
        <f aca="false">IF($A138="","",IFERROR(SUMIFS($J$5:$J$504,$AB$5:$AB$504,"&lt;="&amp;AB138)/$J$505,0))</f>
        <v>0.549138418040788</v>
      </c>
      <c r="M138" s="55" t="str">
        <f aca="false">IF($A138="","",IF(L138&lt;=Assumptions!$B$7,"A",IF(L138&lt;=Assumptions!$B$8,"B","C")))</f>
        <v>A</v>
      </c>
      <c r="N138" s="55" t="str">
        <f aca="false">IF($A138="","",IF(I138&lt;=Assumptions!$B$9,"X",IF(I138&lt;=Assumptions!$B$10,"Y","Z")))</f>
        <v>Z</v>
      </c>
      <c r="O138" s="56" t="str">
        <f aca="false">IF($A138="","",M138&amp;N138)</f>
        <v>AZ</v>
      </c>
      <c r="P138" s="57" t="n">
        <f aca="false">IF($A138="","",INDEX(Assumptions!$B$35:$B$37,MATCH(M138,Assumptions!$A$35:$A$37,0)))</f>
        <v>0.98</v>
      </c>
      <c r="Q138" s="58" t="n">
        <f aca="false">IF($A138="","",NORMSINV(P138))</f>
        <v>2.05374891063182</v>
      </c>
      <c r="R138" s="48" t="n">
        <f aca="false">IF($A138="","",ROUNDUP(Q138*H138*SQRT(D138),0))</f>
        <v>523</v>
      </c>
      <c r="S138" s="48" t="n">
        <f aca="false">IF($A138="","",ROUNDUP(G138*D138+R138,0))</f>
        <v>972</v>
      </c>
      <c r="T138" s="46" t="n">
        <f aca="false">IF($A138="","",IFERROR(ROUND(SQRT(2*F138*Assumptions!$B$4/(Assumptions!$B$5*C138)),0),0))</f>
        <v>626</v>
      </c>
      <c r="U138" s="53" t="n">
        <f aca="false">IF($A138="","",R138*C138)</f>
        <v>1553.31</v>
      </c>
      <c r="V138" s="53" t="n">
        <f aca="false">IF($A138="","",E138*C138)</f>
        <v>498.96</v>
      </c>
      <c r="W138" s="59" t="n">
        <f aca="false">IF($A138="","",IFERROR(E138/G138,0))</f>
        <v>2.9989701338826</v>
      </c>
      <c r="X138" s="48" t="n">
        <f aca="false">IF($A138="","",S138+T138)</f>
        <v>1598</v>
      </c>
      <c r="Y138" s="48" t="n">
        <f aca="false">IF($A138="","",MAX(0,E138-X138))</f>
        <v>0</v>
      </c>
      <c r="Z138" s="53" t="n">
        <f aca="false">IF($A138="","",Y138*C138)</f>
        <v>0</v>
      </c>
      <c r="AA138" s="56" t="str">
        <f aca="false">IF($A138="","",IF(E138&lt;=R138,"Below Safety Stock",IF(E138&lt;=S138,"Reorder Now",IF(E138&gt;X138,"Excess","Healthy"))))</f>
        <v>Below Safety Stock</v>
      </c>
      <c r="AB138" s="48" t="n">
        <f aca="false">IF($A138="","",RANK(AF138,$AF$5:$AF$504,0)+COUNTIF($AF$5:AF138,AF138)-1)</f>
        <v>134</v>
      </c>
      <c r="AC138" s="44" t="str">
        <f aca="false">IF($A138="","",Weekly_Demand!B138)</f>
        <v>MEMO BOARD RETROSPOT  DESIGN</v>
      </c>
      <c r="AD138" s="59" t="n">
        <f aca="false">IF($A138="","",H138*SQRT(D138))</f>
        <v>254.651774773265</v>
      </c>
      <c r="AE138" s="53" t="n">
        <f aca="false">IF($A138="","",AD138*C138)</f>
        <v>756.315771076596</v>
      </c>
      <c r="AF138" s="53" t="n">
        <f aca="false">IF($A138="","",ROUND(J138,2))</f>
        <v>8651.61</v>
      </c>
    </row>
    <row r="139" customFormat="false" ht="15" hidden="false" customHeight="false" outlineLevel="0" collapsed="false">
      <c r="A139" s="44" t="str">
        <f aca="false">IF(Weekly_Demand!A139="","",Weekly_Demand!A139)</f>
        <v>48184</v>
      </c>
      <c r="B139" s="44" t="str">
        <f aca="false">IF($A139="","",Weekly_Demand!C139)</f>
        <v>Other</v>
      </c>
      <c r="C139" s="45" t="n">
        <f aca="false">IF($A139="","",Weekly_Demand!D139)</f>
        <v>4.77</v>
      </c>
      <c r="D139" s="46" t="n">
        <f aca="false">IF($A139="","",Weekly_Demand!E139+Assumptions!$B$19)</f>
        <v>2</v>
      </c>
      <c r="E139" s="46" t="n">
        <f aca="false">IF($A139="","",Weekly_Demand!F139)</f>
        <v>527</v>
      </c>
      <c r="F139" s="46" t="n">
        <f aca="false">IF($A139="","",SUM(Weekly_Demand!G139:BF139))</f>
        <v>1957</v>
      </c>
      <c r="G139" s="51" t="n">
        <f aca="false">IF($A139="","",IFERROR(F139/Assumptions!$B$6,0))</f>
        <v>37.6346153846154</v>
      </c>
      <c r="H139" s="51" t="n">
        <f aca="false">IF($A139="","",STDEV(Weekly_Demand!G139:BF139))</f>
        <v>54.6080611897913</v>
      </c>
      <c r="I139" s="52" t="n">
        <f aca="false">IF($A139="","",IFERROR(H139/G139,0))</f>
        <v>1.45100622476707</v>
      </c>
      <c r="J139" s="53" t="n">
        <f aca="false">IF($A139="","",F139*C139)</f>
        <v>9334.89</v>
      </c>
      <c r="K139" s="54" t="n">
        <f aca="false">IF($A139="","",IFERROR(J139/$J$505,0))</f>
        <v>0.00241542487563659</v>
      </c>
      <c r="L139" s="54" t="n">
        <f aca="false">IF($A139="","",IFERROR(SUMIFS($J$5:$J$504,$AB$5:$AB$504,"&lt;="&amp;AB139)/$J$505,0))</f>
        <v>0.511929294752588</v>
      </c>
      <c r="M139" s="55" t="str">
        <f aca="false">IF($A139="","",IF(L139&lt;=Assumptions!$B$7,"A",IF(L139&lt;=Assumptions!$B$8,"B","C")))</f>
        <v>A</v>
      </c>
      <c r="N139" s="55" t="str">
        <f aca="false">IF($A139="","",IF(I139&lt;=Assumptions!$B$9,"X",IF(I139&lt;=Assumptions!$B$10,"Y","Z")))</f>
        <v>Z</v>
      </c>
      <c r="O139" s="56" t="str">
        <f aca="false">IF($A139="","",M139&amp;N139)</f>
        <v>AZ</v>
      </c>
      <c r="P139" s="57" t="n">
        <f aca="false">IF($A139="","",INDEX(Assumptions!$B$35:$B$37,MATCH(M139,Assumptions!$A$35:$A$37,0)))</f>
        <v>0.98</v>
      </c>
      <c r="Q139" s="58" t="n">
        <f aca="false">IF($A139="","",NORMSINV(P139))</f>
        <v>2.05374891063182</v>
      </c>
      <c r="R139" s="48" t="n">
        <f aca="false">IF($A139="","",ROUNDUP(Q139*H139*SQRT(D139),0))</f>
        <v>159</v>
      </c>
      <c r="S139" s="48" t="n">
        <f aca="false">IF($A139="","",ROUNDUP(G139*D139+R139,0))</f>
        <v>235</v>
      </c>
      <c r="T139" s="46" t="n">
        <f aca="false">IF($A139="","",IFERROR(ROUND(SQRT(2*F139*Assumptions!$B$4/(Assumptions!$B$5*C139)),0),0))</f>
        <v>405</v>
      </c>
      <c r="U139" s="53" t="n">
        <f aca="false">IF($A139="","",R139*C139)</f>
        <v>758.43</v>
      </c>
      <c r="V139" s="53" t="n">
        <f aca="false">IF($A139="","",E139*C139)</f>
        <v>2513.79</v>
      </c>
      <c r="W139" s="59" t="n">
        <f aca="false">IF($A139="","",IFERROR(E139/G139,0))</f>
        <v>14.0030659172202</v>
      </c>
      <c r="X139" s="48" t="n">
        <f aca="false">IF($A139="","",S139+T139)</f>
        <v>640</v>
      </c>
      <c r="Y139" s="48" t="n">
        <f aca="false">IF($A139="","",MAX(0,E139-X139))</f>
        <v>0</v>
      </c>
      <c r="Z139" s="53" t="n">
        <f aca="false">IF($A139="","",Y139*C139)</f>
        <v>0</v>
      </c>
      <c r="AA139" s="56" t="str">
        <f aca="false">IF($A139="","",IF(E139&lt;=R139,"Below Safety Stock",IF(E139&lt;=S139,"Reorder Now",IF(E139&gt;X139,"Excess","Healthy"))))</f>
        <v>Healthy</v>
      </c>
      <c r="AB139" s="48" t="n">
        <f aca="false">IF($A139="","",RANK(AF139,$AF$5:$AF$504,0)+COUNTIF($AF$5:AF139,AF139)-1)</f>
        <v>118</v>
      </c>
      <c r="AC139" s="44" t="str">
        <f aca="false">IF($A139="","",Weekly_Demand!B139)</f>
        <v>DOORMAT ENGLISH ROSE</v>
      </c>
      <c r="AD139" s="59" t="n">
        <f aca="false">IF($A139="","",H139*SQRT(D139))</f>
        <v>77.2274607495028</v>
      </c>
      <c r="AE139" s="53" t="n">
        <f aca="false">IF($A139="","",AD139*C139)</f>
        <v>368.374987775128</v>
      </c>
      <c r="AF139" s="53" t="n">
        <f aca="false">IF($A139="","",ROUND(J139,2))</f>
        <v>9334.89</v>
      </c>
    </row>
    <row r="140" customFormat="false" ht="15" hidden="false" customHeight="false" outlineLevel="0" collapsed="false">
      <c r="A140" s="44" t="str">
        <f aca="false">IF(Weekly_Demand!A140="","",Weekly_Demand!A140)</f>
        <v>22083</v>
      </c>
      <c r="B140" s="44" t="str">
        <f aca="false">IF($A140="","",Weekly_Demand!C140)</f>
        <v>Other</v>
      </c>
      <c r="C140" s="45" t="n">
        <f aca="false">IF($A140="","",Weekly_Demand!D140)</f>
        <v>1.77</v>
      </c>
      <c r="D140" s="46" t="n">
        <f aca="false">IF($A140="","",Weekly_Demand!E140+Assumptions!$B$19)</f>
        <v>8</v>
      </c>
      <c r="E140" s="46" t="n">
        <f aca="false">IF($A140="","",Weekly_Demand!F140)</f>
        <v>855</v>
      </c>
      <c r="F140" s="46" t="n">
        <f aca="false">IF($A140="","",SUM(Weekly_Demand!G140:BF140))</f>
        <v>4448</v>
      </c>
      <c r="G140" s="51" t="n">
        <f aca="false">IF($A140="","",IFERROR(F140/Assumptions!$B$6,0))</f>
        <v>85.5384615384615</v>
      </c>
      <c r="H140" s="51" t="n">
        <f aca="false">IF($A140="","",STDEV(Weekly_Demand!G140:BF140))</f>
        <v>46.783800421732</v>
      </c>
      <c r="I140" s="52" t="n">
        <f aca="false">IF($A140="","",IFERROR(H140/G140,0))</f>
        <v>0.546932918599385</v>
      </c>
      <c r="J140" s="53" t="n">
        <f aca="false">IF($A140="","",F140*C140)</f>
        <v>7872.96</v>
      </c>
      <c r="K140" s="54" t="n">
        <f aca="false">IF($A140="","",IFERROR(J140/$J$505,0))</f>
        <v>0.00203714702893037</v>
      </c>
      <c r="L140" s="54" t="n">
        <f aca="false">IF($A140="","",IFERROR(SUMIFS($J$5:$J$504,$AB$5:$AB$504,"&lt;="&amp;AB140)/$J$505,0))</f>
        <v>0.580692981882704</v>
      </c>
      <c r="M140" s="55" t="str">
        <f aca="false">IF($A140="","",IF(L140&lt;=Assumptions!$B$7,"A",IF(L140&lt;=Assumptions!$B$8,"B","C")))</f>
        <v>A</v>
      </c>
      <c r="N140" s="55" t="str">
        <f aca="false">IF($A140="","",IF(I140&lt;=Assumptions!$B$9,"X",IF(I140&lt;=Assumptions!$B$10,"Y","Z")))</f>
        <v>Y</v>
      </c>
      <c r="O140" s="56" t="str">
        <f aca="false">IF($A140="","",M140&amp;N140)</f>
        <v>AY</v>
      </c>
      <c r="P140" s="57" t="n">
        <f aca="false">IF($A140="","",INDEX(Assumptions!$B$35:$B$37,MATCH(M140,Assumptions!$A$35:$A$37,0)))</f>
        <v>0.98</v>
      </c>
      <c r="Q140" s="58" t="n">
        <f aca="false">IF($A140="","",NORMSINV(P140))</f>
        <v>2.05374891063182</v>
      </c>
      <c r="R140" s="48" t="n">
        <f aca="false">IF($A140="","",ROUNDUP(Q140*H140*SQRT(D140),0))</f>
        <v>272</v>
      </c>
      <c r="S140" s="48" t="n">
        <f aca="false">IF($A140="","",ROUNDUP(G140*D140+R140,0))</f>
        <v>957</v>
      </c>
      <c r="T140" s="46" t="n">
        <f aca="false">IF($A140="","",IFERROR(ROUND(SQRT(2*F140*Assumptions!$B$4/(Assumptions!$B$5*C140)),0),0))</f>
        <v>1003</v>
      </c>
      <c r="U140" s="53" t="n">
        <f aca="false">IF($A140="","",R140*C140)</f>
        <v>481.44</v>
      </c>
      <c r="V140" s="53" t="n">
        <f aca="false">IF($A140="","",E140*C140)</f>
        <v>1513.35</v>
      </c>
      <c r="W140" s="59" t="n">
        <f aca="false">IF($A140="","",IFERROR(E140/G140,0))</f>
        <v>9.9955035971223</v>
      </c>
      <c r="X140" s="48" t="n">
        <f aca="false">IF($A140="","",S140+T140)</f>
        <v>1960</v>
      </c>
      <c r="Y140" s="48" t="n">
        <f aca="false">IF($A140="","",MAX(0,E140-X140))</f>
        <v>0</v>
      </c>
      <c r="Z140" s="53" t="n">
        <f aca="false">IF($A140="","",Y140*C140)</f>
        <v>0</v>
      </c>
      <c r="AA140" s="56" t="str">
        <f aca="false">IF($A140="","",IF(E140&lt;=R140,"Below Safety Stock",IF(E140&lt;=S140,"Reorder Now",IF(E140&gt;X140,"Excess","Healthy"))))</f>
        <v>Reorder Now</v>
      </c>
      <c r="AB140" s="48" t="n">
        <f aca="false">IF($A140="","",RANK(AF140,$AF$5:$AF$504,0)+COUNTIF($AF$5:AF140,AF140)-1)</f>
        <v>149</v>
      </c>
      <c r="AC140" s="44" t="str">
        <f aca="false">IF($A140="","",Weekly_Demand!B140)</f>
        <v>PAPER CHAIN KIT RETROSPOT</v>
      </c>
      <c r="AD140" s="59" t="n">
        <f aca="false">IF($A140="","",H140*SQRT(D140))</f>
        <v>132.324570111539</v>
      </c>
      <c r="AE140" s="53" t="n">
        <f aca="false">IF($A140="","",AD140*C140)</f>
        <v>234.214489097424</v>
      </c>
      <c r="AF140" s="53" t="n">
        <f aca="false">IF($A140="","",ROUND(J140,2))</f>
        <v>7872.96</v>
      </c>
    </row>
    <row r="141" customFormat="false" ht="15" hidden="false" customHeight="false" outlineLevel="0" collapsed="false">
      <c r="A141" s="44" t="str">
        <f aca="false">IF(Weekly_Demand!A141="","",Weekly_Demand!A141)</f>
        <v>22171</v>
      </c>
      <c r="B141" s="44" t="str">
        <f aca="false">IF($A141="","",Weekly_Demand!C141)</f>
        <v>Other</v>
      </c>
      <c r="C141" s="45" t="n">
        <f aca="false">IF($A141="","",Weekly_Demand!D141)</f>
        <v>5.1</v>
      </c>
      <c r="D141" s="46" t="n">
        <f aca="false">IF($A141="","",Weekly_Demand!E141+Assumptions!$B$19)</f>
        <v>8</v>
      </c>
      <c r="E141" s="46" t="n">
        <f aca="false">IF($A141="","",Weekly_Demand!F141)</f>
        <v>921</v>
      </c>
      <c r="F141" s="46" t="n">
        <f aca="false">IF($A141="","",SUM(Weekly_Demand!G141:BF141))</f>
        <v>1774</v>
      </c>
      <c r="G141" s="51" t="n">
        <f aca="false">IF($A141="","",IFERROR(F141/Assumptions!$B$6,0))</f>
        <v>34.1153846153846</v>
      </c>
      <c r="H141" s="51" t="n">
        <f aca="false">IF($A141="","",STDEV(Weekly_Demand!G141:BF141))</f>
        <v>54.9047852645578</v>
      </c>
      <c r="I141" s="52" t="n">
        <f aca="false">IF($A141="","",IFERROR(H141/G141,0))</f>
        <v>1.60938491192616</v>
      </c>
      <c r="J141" s="53" t="n">
        <f aca="false">IF($A141="","",F141*C141)</f>
        <v>9047.4</v>
      </c>
      <c r="K141" s="54" t="n">
        <f aca="false">IF($A141="","",IFERROR(J141/$J$505,0))</f>
        <v>0.00234103615788022</v>
      </c>
      <c r="L141" s="54" t="n">
        <f aca="false">IF($A141="","",IFERROR(SUMIFS($J$5:$J$504,$AB$5:$AB$504,"&lt;="&amp;AB141)/$J$505,0))</f>
        <v>0.533242077687335</v>
      </c>
      <c r="M141" s="55" t="str">
        <f aca="false">IF($A141="","",IF(L141&lt;=Assumptions!$B$7,"A",IF(L141&lt;=Assumptions!$B$8,"B","C")))</f>
        <v>A</v>
      </c>
      <c r="N141" s="55" t="str">
        <f aca="false">IF($A141="","",IF(I141&lt;=Assumptions!$B$9,"X",IF(I141&lt;=Assumptions!$B$10,"Y","Z")))</f>
        <v>Z</v>
      </c>
      <c r="O141" s="56" t="str">
        <f aca="false">IF($A141="","",M141&amp;N141)</f>
        <v>AZ</v>
      </c>
      <c r="P141" s="57" t="n">
        <f aca="false">IF($A141="","",INDEX(Assumptions!$B$35:$B$37,MATCH(M141,Assumptions!$A$35:$A$37,0)))</f>
        <v>0.98</v>
      </c>
      <c r="Q141" s="58" t="n">
        <f aca="false">IF($A141="","",NORMSINV(P141))</f>
        <v>2.05374891063182</v>
      </c>
      <c r="R141" s="48" t="n">
        <f aca="false">IF($A141="","",ROUNDUP(Q141*H141*SQRT(D141),0))</f>
        <v>319</v>
      </c>
      <c r="S141" s="48" t="n">
        <f aca="false">IF($A141="","",ROUNDUP(G141*D141+R141,0))</f>
        <v>592</v>
      </c>
      <c r="T141" s="46" t="n">
        <f aca="false">IF($A141="","",IFERROR(ROUND(SQRT(2*F141*Assumptions!$B$4/(Assumptions!$B$5*C141)),0),0))</f>
        <v>373</v>
      </c>
      <c r="U141" s="53" t="n">
        <f aca="false">IF($A141="","",R141*C141)</f>
        <v>1626.9</v>
      </c>
      <c r="V141" s="53" t="n">
        <f aca="false">IF($A141="","",E141*C141)</f>
        <v>4697.1</v>
      </c>
      <c r="W141" s="59" t="n">
        <f aca="false">IF($A141="","",IFERROR(E141/G141,0))</f>
        <v>26.9966178128523</v>
      </c>
      <c r="X141" s="48" t="n">
        <f aca="false">IF($A141="","",S141+T141)</f>
        <v>965</v>
      </c>
      <c r="Y141" s="48" t="n">
        <f aca="false">IF($A141="","",MAX(0,E141-X141))</f>
        <v>0</v>
      </c>
      <c r="Z141" s="53" t="n">
        <f aca="false">IF($A141="","",Y141*C141)</f>
        <v>0</v>
      </c>
      <c r="AA141" s="56" t="str">
        <f aca="false">IF($A141="","",IF(E141&lt;=R141,"Below Safety Stock",IF(E141&lt;=S141,"Reorder Now",IF(E141&gt;X141,"Excess","Healthy"))))</f>
        <v>Healthy</v>
      </c>
      <c r="AB141" s="48" t="n">
        <f aca="false">IF($A141="","",RANK(AF141,$AF$5:$AF$504,0)+COUNTIF($AF$5:AF141,AF141)-1)</f>
        <v>127</v>
      </c>
      <c r="AC141" s="44" t="str">
        <f aca="false">IF($A141="","",Weekly_Demand!B141)</f>
        <v>3 HOOK PHOTO SHELF ANTIQUE WHITE</v>
      </c>
      <c r="AD141" s="59" t="n">
        <f aca="false">IF($A141="","",H141*SQRT(D141))</f>
        <v>155.29418392064</v>
      </c>
      <c r="AE141" s="53" t="n">
        <f aca="false">IF($A141="","",AD141*C141)</f>
        <v>792.000337995266</v>
      </c>
      <c r="AF141" s="53" t="n">
        <f aca="false">IF($A141="","",ROUND(J141,2))</f>
        <v>9047.4</v>
      </c>
    </row>
    <row r="142" customFormat="false" ht="15" hidden="false" customHeight="false" outlineLevel="0" collapsed="false">
      <c r="A142" s="44" t="str">
        <f aca="false">IF(Weekly_Demand!A142="","",Weekly_Demand!A142)</f>
        <v>22625</v>
      </c>
      <c r="B142" s="44" t="str">
        <f aca="false">IF($A142="","",Weekly_Demand!C142)</f>
        <v>Other</v>
      </c>
      <c r="C142" s="45" t="n">
        <f aca="false">IF($A142="","",Weekly_Demand!D142)</f>
        <v>5.1</v>
      </c>
      <c r="D142" s="46" t="n">
        <f aca="false">IF($A142="","",Weekly_Demand!E142+Assumptions!$B$19)</f>
        <v>4</v>
      </c>
      <c r="E142" s="46" t="n">
        <f aca="false">IF($A142="","",Weekly_Demand!F142)</f>
        <v>1549</v>
      </c>
      <c r="F142" s="46" t="n">
        <f aca="false">IF($A142="","",SUM(Weekly_Demand!G142:BF142))</f>
        <v>1549</v>
      </c>
      <c r="G142" s="51" t="n">
        <f aca="false">IF($A142="","",IFERROR(F142/Assumptions!$B$6,0))</f>
        <v>29.7884615384615</v>
      </c>
      <c r="H142" s="51" t="n">
        <f aca="false">IF($A142="","",STDEV(Weekly_Demand!G142:BF142))</f>
        <v>23.2660120182593</v>
      </c>
      <c r="I142" s="52" t="n">
        <f aca="false">IF($A142="","",IFERROR(H142/G142,0))</f>
        <v>0.781041074854411</v>
      </c>
      <c r="J142" s="53" t="n">
        <f aca="false">IF($A142="","",F142*C142)</f>
        <v>7899.9</v>
      </c>
      <c r="K142" s="54" t="n">
        <f aca="false">IF($A142="","",IFERROR(J142/$J$505,0))</f>
        <v>0.00204411781767557</v>
      </c>
      <c r="L142" s="54" t="n">
        <f aca="false">IF($A142="","",IFERROR(SUMIFS($J$5:$J$504,$AB$5:$AB$504,"&lt;="&amp;AB142)/$J$505,0))</f>
        <v>0.576614107907962</v>
      </c>
      <c r="M142" s="55" t="str">
        <f aca="false">IF($A142="","",IF(L142&lt;=Assumptions!$B$7,"A",IF(L142&lt;=Assumptions!$B$8,"B","C")))</f>
        <v>A</v>
      </c>
      <c r="N142" s="55" t="str">
        <f aca="false">IF($A142="","",IF(I142&lt;=Assumptions!$B$9,"X",IF(I142&lt;=Assumptions!$B$10,"Y","Z")))</f>
        <v>Y</v>
      </c>
      <c r="O142" s="56" t="str">
        <f aca="false">IF($A142="","",M142&amp;N142)</f>
        <v>AY</v>
      </c>
      <c r="P142" s="57" t="n">
        <f aca="false">IF($A142="","",INDEX(Assumptions!$B$35:$B$37,MATCH(M142,Assumptions!$A$35:$A$37,0)))</f>
        <v>0.98</v>
      </c>
      <c r="Q142" s="58" t="n">
        <f aca="false">IF($A142="","",NORMSINV(P142))</f>
        <v>2.05374891063182</v>
      </c>
      <c r="R142" s="48" t="n">
        <f aca="false">IF($A142="","",ROUNDUP(Q142*H142*SQRT(D142),0))</f>
        <v>96</v>
      </c>
      <c r="S142" s="48" t="n">
        <f aca="false">IF($A142="","",ROUNDUP(G142*D142+R142,0))</f>
        <v>216</v>
      </c>
      <c r="T142" s="46" t="n">
        <f aca="false">IF($A142="","",IFERROR(ROUND(SQRT(2*F142*Assumptions!$B$4/(Assumptions!$B$5*C142)),0),0))</f>
        <v>349</v>
      </c>
      <c r="U142" s="53" t="n">
        <f aca="false">IF($A142="","",R142*C142)</f>
        <v>489.6</v>
      </c>
      <c r="V142" s="53" t="n">
        <f aca="false">IF($A142="","",E142*C142)</f>
        <v>7899.9</v>
      </c>
      <c r="W142" s="59" t="n">
        <f aca="false">IF($A142="","",IFERROR(E142/G142,0))</f>
        <v>52</v>
      </c>
      <c r="X142" s="48" t="n">
        <f aca="false">IF($A142="","",S142+T142)</f>
        <v>565</v>
      </c>
      <c r="Y142" s="48" t="n">
        <f aca="false">IF($A142="","",MAX(0,E142-X142))</f>
        <v>984</v>
      </c>
      <c r="Z142" s="53" t="n">
        <f aca="false">IF($A142="","",Y142*C142)</f>
        <v>5018.4</v>
      </c>
      <c r="AA142" s="56" t="str">
        <f aca="false">IF($A142="","",IF(E142&lt;=R142,"Below Safety Stock",IF(E142&lt;=S142,"Reorder Now",IF(E142&gt;X142,"Excess","Healthy"))))</f>
        <v>Excess</v>
      </c>
      <c r="AB142" s="48" t="n">
        <f aca="false">IF($A142="","",RANK(AF142,$AF$5:$AF$504,0)+COUNTIF($AF$5:AF142,AF142)-1)</f>
        <v>147</v>
      </c>
      <c r="AC142" s="44" t="str">
        <f aca="false">IF($A142="","",Weekly_Demand!B142)</f>
        <v>RED KITCHEN SCALES</v>
      </c>
      <c r="AD142" s="59" t="n">
        <f aca="false">IF($A142="","",H142*SQRT(D142))</f>
        <v>46.5320240365186</v>
      </c>
      <c r="AE142" s="53" t="n">
        <f aca="false">IF($A142="","",AD142*C142)</f>
        <v>237.313322586245</v>
      </c>
      <c r="AF142" s="53" t="n">
        <f aca="false">IF($A142="","",ROUND(J142,2))</f>
        <v>7899.9</v>
      </c>
    </row>
    <row r="143" customFormat="false" ht="15" hidden="false" customHeight="false" outlineLevel="0" collapsed="false">
      <c r="A143" s="44" t="str">
        <f aca="false">IF(Weekly_Demand!A143="","",Weekly_Demand!A143)</f>
        <v>22622</v>
      </c>
      <c r="B143" s="44" t="str">
        <f aca="false">IF($A143="","",Weekly_Demand!C143)</f>
        <v>Other</v>
      </c>
      <c r="C143" s="45" t="n">
        <f aca="false">IF($A143="","",Weekly_Demand!D143)</f>
        <v>7.17</v>
      </c>
      <c r="D143" s="46" t="n">
        <f aca="false">IF($A143="","",Weekly_Demand!E143+Assumptions!$B$19)</f>
        <v>6</v>
      </c>
      <c r="E143" s="46" t="n">
        <f aca="false">IF($A143="","",Weekly_Demand!F143)</f>
        <v>224</v>
      </c>
      <c r="F143" s="46" t="n">
        <f aca="false">IF($A143="","",SUM(Weekly_Demand!G143:BF143))</f>
        <v>1293</v>
      </c>
      <c r="G143" s="51" t="n">
        <f aca="false">IF($A143="","",IFERROR(F143/Assumptions!$B$6,0))</f>
        <v>24.8653846153846</v>
      </c>
      <c r="H143" s="51" t="n">
        <f aca="false">IF($A143="","",STDEV(Weekly_Demand!G143:BF143))</f>
        <v>43.9072234202599</v>
      </c>
      <c r="I143" s="52" t="n">
        <f aca="false">IF($A143="","",IFERROR(H143/G143,0))</f>
        <v>1.76579707490604</v>
      </c>
      <c r="J143" s="53" t="n">
        <f aca="false">IF($A143="","",F143*C143)</f>
        <v>9270.81</v>
      </c>
      <c r="K143" s="54" t="n">
        <f aca="false">IF($A143="","",IFERROR(J143/$J$505,0))</f>
        <v>0.00239884402401104</v>
      </c>
      <c r="L143" s="54" t="n">
        <f aca="false">IF($A143="","",IFERROR(SUMIFS($J$5:$J$504,$AB$5:$AB$504,"&lt;="&amp;AB143)/$J$505,0))</f>
        <v>0.514328138776599</v>
      </c>
      <c r="M143" s="55" t="str">
        <f aca="false">IF($A143="","",IF(L143&lt;=Assumptions!$B$7,"A",IF(L143&lt;=Assumptions!$B$8,"B","C")))</f>
        <v>A</v>
      </c>
      <c r="N143" s="55" t="str">
        <f aca="false">IF($A143="","",IF(I143&lt;=Assumptions!$B$9,"X",IF(I143&lt;=Assumptions!$B$10,"Y","Z")))</f>
        <v>Z</v>
      </c>
      <c r="O143" s="56" t="str">
        <f aca="false">IF($A143="","",M143&amp;N143)</f>
        <v>AZ</v>
      </c>
      <c r="P143" s="57" t="n">
        <f aca="false">IF($A143="","",INDEX(Assumptions!$B$35:$B$37,MATCH(M143,Assumptions!$A$35:$A$37,0)))</f>
        <v>0.98</v>
      </c>
      <c r="Q143" s="58" t="n">
        <f aca="false">IF($A143="","",NORMSINV(P143))</f>
        <v>2.05374891063182</v>
      </c>
      <c r="R143" s="48" t="n">
        <f aca="false">IF($A143="","",ROUNDUP(Q143*H143*SQRT(D143),0))</f>
        <v>221</v>
      </c>
      <c r="S143" s="48" t="n">
        <f aca="false">IF($A143="","",ROUNDUP(G143*D143+R143,0))</f>
        <v>371</v>
      </c>
      <c r="T143" s="46" t="n">
        <f aca="false">IF($A143="","",IFERROR(ROUND(SQRT(2*F143*Assumptions!$B$4/(Assumptions!$B$5*C143)),0),0))</f>
        <v>269</v>
      </c>
      <c r="U143" s="53" t="n">
        <f aca="false">IF($A143="","",R143*C143)</f>
        <v>1584.57</v>
      </c>
      <c r="V143" s="53" t="n">
        <f aca="false">IF($A143="","",E143*C143)</f>
        <v>1606.08</v>
      </c>
      <c r="W143" s="59" t="n">
        <f aca="false">IF($A143="","",IFERROR(E143/G143,0))</f>
        <v>9.00850734725445</v>
      </c>
      <c r="X143" s="48" t="n">
        <f aca="false">IF($A143="","",S143+T143)</f>
        <v>640</v>
      </c>
      <c r="Y143" s="48" t="n">
        <f aca="false">IF($A143="","",MAX(0,E143-X143))</f>
        <v>0</v>
      </c>
      <c r="Z143" s="53" t="n">
        <f aca="false">IF($A143="","",Y143*C143)</f>
        <v>0</v>
      </c>
      <c r="AA143" s="56" t="str">
        <f aca="false">IF($A143="","",IF(E143&lt;=R143,"Below Safety Stock",IF(E143&lt;=S143,"Reorder Now",IF(E143&gt;X143,"Excess","Healthy"))))</f>
        <v>Reorder Now</v>
      </c>
      <c r="AB143" s="48" t="n">
        <f aca="false">IF($A143="","",RANK(AF143,$AF$5:$AF$504,0)+COUNTIF($AF$5:AF143,AF143)-1)</f>
        <v>119</v>
      </c>
      <c r="AC143" s="44" t="str">
        <f aca="false">IF($A143="","",Weekly_Demand!B143)</f>
        <v>BOX OF VINTAGE ALPHABET BLOCKS</v>
      </c>
      <c r="AD143" s="59" t="n">
        <f aca="false">IF($A143="","",H143*SQRT(D143))</f>
        <v>107.550293402016</v>
      </c>
      <c r="AE143" s="53" t="n">
        <f aca="false">IF($A143="","",AD143*C143)</f>
        <v>771.135603692455</v>
      </c>
      <c r="AF143" s="53" t="n">
        <f aca="false">IF($A143="","",ROUND(J143,2))</f>
        <v>9270.81</v>
      </c>
    </row>
    <row r="144" customFormat="false" ht="15" hidden="false" customHeight="false" outlineLevel="0" collapsed="false">
      <c r="A144" s="44" t="str">
        <f aca="false">IF(Weekly_Demand!A144="","",Weekly_Demand!A144)</f>
        <v>21930</v>
      </c>
      <c r="B144" s="44" t="str">
        <f aca="false">IF($A144="","",Weekly_Demand!C144)</f>
        <v>Bags</v>
      </c>
      <c r="C144" s="45" t="n">
        <f aca="false">IF($A144="","",Weekly_Demand!D144)</f>
        <v>1.248</v>
      </c>
      <c r="D144" s="46" t="n">
        <f aca="false">IF($A144="","",Weekly_Demand!E144+Assumptions!$B$19)</f>
        <v>6</v>
      </c>
      <c r="E144" s="46" t="n">
        <f aca="false">IF($A144="","",Weekly_Demand!F144)</f>
        <v>1881</v>
      </c>
      <c r="F144" s="46" t="n">
        <f aca="false">IF($A144="","",SUM(Weekly_Demand!G144:BF144))</f>
        <v>6113</v>
      </c>
      <c r="G144" s="51" t="n">
        <f aca="false">IF($A144="","",IFERROR(F144/Assumptions!$B$6,0))</f>
        <v>117.557692307692</v>
      </c>
      <c r="H144" s="51" t="n">
        <f aca="false">IF($A144="","",STDEV(Weekly_Demand!G144:BF144))</f>
        <v>81.0326522087356</v>
      </c>
      <c r="I144" s="52" t="n">
        <f aca="false">IF($A144="","",IFERROR(H144/G144,0))</f>
        <v>0.68930114753055</v>
      </c>
      <c r="J144" s="53" t="n">
        <f aca="false">IF($A144="","",F144*C144)</f>
        <v>7629.024</v>
      </c>
      <c r="K144" s="54" t="n">
        <f aca="false">IF($A144="","",IFERROR(J144/$J$505,0))</f>
        <v>0.0019740280117311</v>
      </c>
      <c r="L144" s="54" t="n">
        <f aca="false">IF($A144="","",IFERROR(SUMIFS($J$5:$J$504,$AB$5:$AB$504,"&lt;="&amp;AB144)/$J$505,0))</f>
        <v>0.590652335617185</v>
      </c>
      <c r="M144" s="55" t="str">
        <f aca="false">IF($A144="","",IF(L144&lt;=Assumptions!$B$7,"A",IF(L144&lt;=Assumptions!$B$8,"B","C")))</f>
        <v>A</v>
      </c>
      <c r="N144" s="55" t="str">
        <f aca="false">IF($A144="","",IF(I144&lt;=Assumptions!$B$9,"X",IF(I144&lt;=Assumptions!$B$10,"Y","Z")))</f>
        <v>Y</v>
      </c>
      <c r="O144" s="56" t="str">
        <f aca="false">IF($A144="","",M144&amp;N144)</f>
        <v>AY</v>
      </c>
      <c r="P144" s="57" t="n">
        <f aca="false">IF($A144="","",INDEX(Assumptions!$B$35:$B$37,MATCH(M144,Assumptions!$A$35:$A$37,0)))</f>
        <v>0.98</v>
      </c>
      <c r="Q144" s="58" t="n">
        <f aca="false">IF($A144="","",NORMSINV(P144))</f>
        <v>2.05374891063182</v>
      </c>
      <c r="R144" s="48" t="n">
        <f aca="false">IF($A144="","",ROUNDUP(Q144*H144*SQRT(D144),0))</f>
        <v>408</v>
      </c>
      <c r="S144" s="48" t="n">
        <f aca="false">IF($A144="","",ROUNDUP(G144*D144+R144,0))</f>
        <v>1114</v>
      </c>
      <c r="T144" s="46" t="n">
        <f aca="false">IF($A144="","",IFERROR(ROUND(SQRT(2*F144*Assumptions!$B$4/(Assumptions!$B$5*C144)),0),0))</f>
        <v>1400</v>
      </c>
      <c r="U144" s="53" t="n">
        <f aca="false">IF($A144="","",R144*C144)</f>
        <v>509.184</v>
      </c>
      <c r="V144" s="53" t="n">
        <f aca="false">IF($A144="","",E144*C144)</f>
        <v>2347.488</v>
      </c>
      <c r="W144" s="59" t="n">
        <f aca="false">IF($A144="","",IFERROR(E144/G144,0))</f>
        <v>16.000654343203</v>
      </c>
      <c r="X144" s="48" t="n">
        <f aca="false">IF($A144="","",S144+T144)</f>
        <v>2514</v>
      </c>
      <c r="Y144" s="48" t="n">
        <f aca="false">IF($A144="","",MAX(0,E144-X144))</f>
        <v>0</v>
      </c>
      <c r="Z144" s="53" t="n">
        <f aca="false">IF($A144="","",Y144*C144)</f>
        <v>0</v>
      </c>
      <c r="AA144" s="56" t="str">
        <f aca="false">IF($A144="","",IF(E144&lt;=R144,"Below Safety Stock",IF(E144&lt;=S144,"Reorder Now",IF(E144&gt;X144,"Excess","Healthy"))))</f>
        <v>Healthy</v>
      </c>
      <c r="AB144" s="48" t="n">
        <f aca="false">IF($A144="","",RANK(AF144,$AF$5:$AF$504,0)+COUNTIF($AF$5:AF144,AF144)-1)</f>
        <v>154</v>
      </c>
      <c r="AC144" s="44" t="str">
        <f aca="false">IF($A144="","",Weekly_Demand!B144)</f>
        <v>JUMBO STORAGE BAG SKULLS</v>
      </c>
      <c r="AD144" s="59" t="n">
        <f aca="false">IF($A144="","",H144*SQRT(D144))</f>
        <v>198.488650415814</v>
      </c>
      <c r="AE144" s="53" t="n">
        <f aca="false">IF($A144="","",AD144*C144)</f>
        <v>247.713835718936</v>
      </c>
      <c r="AF144" s="53" t="n">
        <f aca="false">IF($A144="","",ROUND(J144,2))</f>
        <v>7629.02</v>
      </c>
    </row>
    <row r="145" customFormat="false" ht="15" hidden="false" customHeight="false" outlineLevel="0" collapsed="false">
      <c r="A145" s="44" t="str">
        <f aca="false">IF(Weekly_Demand!A145="","",Weekly_Demand!A145)</f>
        <v>20971</v>
      </c>
      <c r="B145" s="44" t="str">
        <f aca="false">IF($A145="","",Weekly_Demand!C145)</f>
        <v>Other</v>
      </c>
      <c r="C145" s="45" t="n">
        <f aca="false">IF($A145="","",Weekly_Demand!D145)</f>
        <v>0.75</v>
      </c>
      <c r="D145" s="46" t="n">
        <f aca="false">IF($A145="","",Weekly_Demand!E145+Assumptions!$B$19)</f>
        <v>8</v>
      </c>
      <c r="E145" s="46" t="n">
        <f aca="false">IF($A145="","",Weekly_Demand!F145)</f>
        <v>5488</v>
      </c>
      <c r="F145" s="46" t="n">
        <f aca="false">IF($A145="","",SUM(Weekly_Demand!G145:BF145))</f>
        <v>10569</v>
      </c>
      <c r="G145" s="51" t="n">
        <f aca="false">IF($A145="","",IFERROR(F145/Assumptions!$B$6,0))</f>
        <v>203.25</v>
      </c>
      <c r="H145" s="51" t="n">
        <f aca="false">IF($A145="","",STDEV(Weekly_Demand!G145:BF145))</f>
        <v>463.354853852029</v>
      </c>
      <c r="I145" s="52" t="n">
        <f aca="false">IF($A145="","",IFERROR(H145/G145,0))</f>
        <v>2.27972867823877</v>
      </c>
      <c r="J145" s="53" t="n">
        <f aca="false">IF($A145="","",F145*C145)</f>
        <v>7926.75</v>
      </c>
      <c r="K145" s="54" t="n">
        <f aca="false">IF($A145="","",IFERROR(J145/$J$505,0))</f>
        <v>0.00205106531870781</v>
      </c>
      <c r="L145" s="54" t="n">
        <f aca="false">IF($A145="","",IFERROR(SUMIFS($J$5:$J$504,$AB$5:$AB$504,"&lt;="&amp;AB145)/$J$505,0))</f>
        <v>0.574569990090286</v>
      </c>
      <c r="M145" s="55" t="str">
        <f aca="false">IF($A145="","",IF(L145&lt;=Assumptions!$B$7,"A",IF(L145&lt;=Assumptions!$B$8,"B","C")))</f>
        <v>A</v>
      </c>
      <c r="N145" s="55" t="str">
        <f aca="false">IF($A145="","",IF(I145&lt;=Assumptions!$B$9,"X",IF(I145&lt;=Assumptions!$B$10,"Y","Z")))</f>
        <v>Z</v>
      </c>
      <c r="O145" s="56" t="str">
        <f aca="false">IF($A145="","",M145&amp;N145)</f>
        <v>AZ</v>
      </c>
      <c r="P145" s="57" t="n">
        <f aca="false">IF($A145="","",INDEX(Assumptions!$B$35:$B$37,MATCH(M145,Assumptions!$A$35:$A$37,0)))</f>
        <v>0.98</v>
      </c>
      <c r="Q145" s="58" t="n">
        <f aca="false">IF($A145="","",NORMSINV(P145))</f>
        <v>2.05374891063182</v>
      </c>
      <c r="R145" s="48" t="n">
        <f aca="false">IF($A145="","",ROUNDUP(Q145*H145*SQRT(D145),0))</f>
        <v>2692</v>
      </c>
      <c r="S145" s="48" t="n">
        <f aca="false">IF($A145="","",ROUNDUP(G145*D145+R145,0))</f>
        <v>4318</v>
      </c>
      <c r="T145" s="46" t="n">
        <f aca="false">IF($A145="","",IFERROR(ROUND(SQRT(2*F145*Assumptions!$B$4/(Assumptions!$B$5*C145)),0),0))</f>
        <v>2374</v>
      </c>
      <c r="U145" s="53" t="n">
        <f aca="false">IF($A145="","",R145*C145)</f>
        <v>2019</v>
      </c>
      <c r="V145" s="53" t="n">
        <f aca="false">IF($A145="","",E145*C145)</f>
        <v>4116</v>
      </c>
      <c r="W145" s="59" t="n">
        <f aca="false">IF($A145="","",IFERROR(E145/G145,0))</f>
        <v>27.0012300123001</v>
      </c>
      <c r="X145" s="48" t="n">
        <f aca="false">IF($A145="","",S145+T145)</f>
        <v>6692</v>
      </c>
      <c r="Y145" s="48" t="n">
        <f aca="false">IF($A145="","",MAX(0,E145-X145))</f>
        <v>0</v>
      </c>
      <c r="Z145" s="53" t="n">
        <f aca="false">IF($A145="","",Y145*C145)</f>
        <v>0</v>
      </c>
      <c r="AA145" s="56" t="str">
        <f aca="false">IF($A145="","",IF(E145&lt;=R145,"Below Safety Stock",IF(E145&lt;=S145,"Reorder Now",IF(E145&gt;X145,"Excess","Healthy"))))</f>
        <v>Healthy</v>
      </c>
      <c r="AB145" s="48" t="n">
        <f aca="false">IF($A145="","",RANK(AF145,$AF$5:$AF$504,0)+COUNTIF($AF$5:AF145,AF145)-1)</f>
        <v>146</v>
      </c>
      <c r="AC145" s="44" t="str">
        <f aca="false">IF($A145="","",Weekly_Demand!B145)</f>
        <v>PINK BLUE FELT CRAFT TRINKET BOX</v>
      </c>
      <c r="AD145" s="59" t="n">
        <f aca="false">IF($A145="","",H145*SQRT(D145))</f>
        <v>1310.56543701789</v>
      </c>
      <c r="AE145" s="53" t="n">
        <f aca="false">IF($A145="","",AD145*C145)</f>
        <v>982.924077763415</v>
      </c>
      <c r="AF145" s="53" t="n">
        <f aca="false">IF($A145="","",ROUND(J145,2))</f>
        <v>7926.75</v>
      </c>
    </row>
    <row r="146" customFormat="false" ht="15" hidden="false" customHeight="false" outlineLevel="0" collapsed="false">
      <c r="A146" s="44" t="str">
        <f aca="false">IF(Weekly_Demand!A146="","",Weekly_Demand!A146)</f>
        <v>23207</v>
      </c>
      <c r="B146" s="44" t="str">
        <f aca="false">IF($A146="","",Weekly_Demand!C146)</f>
        <v>Bags</v>
      </c>
      <c r="C146" s="45" t="n">
        <f aca="false">IF($A146="","",Weekly_Demand!D146)</f>
        <v>0.99</v>
      </c>
      <c r="D146" s="46" t="n">
        <f aca="false">IF($A146="","",Weekly_Demand!E146+Assumptions!$B$19)</f>
        <v>8</v>
      </c>
      <c r="E146" s="46" t="n">
        <f aca="false">IF($A146="","",Weekly_Demand!F146)</f>
        <v>448</v>
      </c>
      <c r="F146" s="46" t="n">
        <f aca="false">IF($A146="","",SUM(Weekly_Demand!G146:BF146))</f>
        <v>7769</v>
      </c>
      <c r="G146" s="51" t="n">
        <f aca="false">IF($A146="","",IFERROR(F146/Assumptions!$B$6,0))</f>
        <v>149.403846153846</v>
      </c>
      <c r="H146" s="51" t="n">
        <f aca="false">IF($A146="","",STDEV(Weekly_Demand!G146:BF146))</f>
        <v>154.042553277369</v>
      </c>
      <c r="I146" s="52" t="n">
        <f aca="false">IF($A146="","",IFERROR(H146/G146,0))</f>
        <v>1.0310481104934</v>
      </c>
      <c r="J146" s="53" t="n">
        <f aca="false">IF($A146="","",F146*C146)</f>
        <v>7691.31</v>
      </c>
      <c r="K146" s="54" t="n">
        <f aca="false">IF($A146="","",IFERROR(J146/$J$505,0))</f>
        <v>0.0019901446616117</v>
      </c>
      <c r="L146" s="54" t="n">
        <f aca="false">IF($A146="","",IFERROR(SUMIFS($J$5:$J$504,$AB$5:$AB$504,"&lt;="&amp;AB146)/$J$505,0))</f>
        <v>0.586695847889118</v>
      </c>
      <c r="M146" s="55" t="str">
        <f aca="false">IF($A146="","",IF(L146&lt;=Assumptions!$B$7,"A",IF(L146&lt;=Assumptions!$B$8,"B","C")))</f>
        <v>A</v>
      </c>
      <c r="N146" s="55" t="str">
        <f aca="false">IF($A146="","",IF(I146&lt;=Assumptions!$B$9,"X",IF(I146&lt;=Assumptions!$B$10,"Y","Z")))</f>
        <v>Z</v>
      </c>
      <c r="O146" s="56" t="str">
        <f aca="false">IF($A146="","",M146&amp;N146)</f>
        <v>AZ</v>
      </c>
      <c r="P146" s="57" t="n">
        <f aca="false">IF($A146="","",INDEX(Assumptions!$B$35:$B$37,MATCH(M146,Assumptions!$A$35:$A$37,0)))</f>
        <v>0.98</v>
      </c>
      <c r="Q146" s="58" t="n">
        <f aca="false">IF($A146="","",NORMSINV(P146))</f>
        <v>2.05374891063182</v>
      </c>
      <c r="R146" s="48" t="n">
        <f aca="false">IF($A146="","",ROUNDUP(Q146*H146*SQRT(D146),0))</f>
        <v>895</v>
      </c>
      <c r="S146" s="48" t="n">
        <f aca="false">IF($A146="","",ROUNDUP(G146*D146+R146,0))</f>
        <v>2091</v>
      </c>
      <c r="T146" s="46" t="n">
        <f aca="false">IF($A146="","",IFERROR(ROUND(SQRT(2*F146*Assumptions!$B$4/(Assumptions!$B$5*C146)),0),0))</f>
        <v>1772</v>
      </c>
      <c r="U146" s="53" t="n">
        <f aca="false">IF($A146="","",R146*C146)</f>
        <v>886.05</v>
      </c>
      <c r="V146" s="53" t="n">
        <f aca="false">IF($A146="","",E146*C146)</f>
        <v>443.52</v>
      </c>
      <c r="W146" s="59" t="n">
        <f aca="false">IF($A146="","",IFERROR(E146/G146,0))</f>
        <v>2.99858411635989</v>
      </c>
      <c r="X146" s="48" t="n">
        <f aca="false">IF($A146="","",S146+T146)</f>
        <v>3863</v>
      </c>
      <c r="Y146" s="48" t="n">
        <f aca="false">IF($A146="","",MAX(0,E146-X146))</f>
        <v>0</v>
      </c>
      <c r="Z146" s="53" t="n">
        <f aca="false">IF($A146="","",Y146*C146)</f>
        <v>0</v>
      </c>
      <c r="AA146" s="56" t="str">
        <f aca="false">IF($A146="","",IF(E146&lt;=R146,"Below Safety Stock",IF(E146&lt;=S146,"Reorder Now",IF(E146&gt;X146,"Excess","Healthy"))))</f>
        <v>Below Safety Stock</v>
      </c>
      <c r="AB146" s="48" t="n">
        <f aca="false">IF($A146="","",RANK(AF146,$AF$5:$AF$504,0)+COUNTIF($AF$5:AF146,AF146)-1)</f>
        <v>152</v>
      </c>
      <c r="AC146" s="44" t="str">
        <f aca="false">IF($A146="","",Weekly_Demand!B146)</f>
        <v>LUNCH BAG ALPHABET DESIGN</v>
      </c>
      <c r="AD146" s="59" t="n">
        <f aca="false">IF($A146="","",H146*SQRT(D146))</f>
        <v>435.698136054872</v>
      </c>
      <c r="AE146" s="53" t="n">
        <f aca="false">IF($A146="","",AD146*C146)</f>
        <v>431.341154694323</v>
      </c>
      <c r="AF146" s="53" t="n">
        <f aca="false">IF($A146="","",ROUND(J146,2))</f>
        <v>7691.31</v>
      </c>
    </row>
    <row r="147" customFormat="false" ht="15" hidden="false" customHeight="false" outlineLevel="0" collapsed="false">
      <c r="A147" s="44" t="str">
        <f aca="false">IF(Weekly_Demand!A147="","",Weekly_Demand!A147)</f>
        <v>23077</v>
      </c>
      <c r="B147" s="44" t="str">
        <f aca="false">IF($A147="","",Weekly_Demand!C147)</f>
        <v>Other</v>
      </c>
      <c r="C147" s="45" t="n">
        <f aca="false">IF($A147="","",Weekly_Demand!D147)</f>
        <v>0.75</v>
      </c>
      <c r="D147" s="46" t="n">
        <f aca="false">IF($A147="","",Weekly_Demand!E147+Assumptions!$B$19)</f>
        <v>4</v>
      </c>
      <c r="E147" s="46" t="n">
        <f aca="false">IF($A147="","",Weekly_Demand!F147)</f>
        <v>191</v>
      </c>
      <c r="F147" s="46" t="n">
        <f aca="false">IF($A147="","",SUM(Weekly_Demand!G147:BF147))</f>
        <v>9930</v>
      </c>
      <c r="G147" s="51" t="n">
        <f aca="false">IF($A147="","",IFERROR(F147/Assumptions!$B$6,0))</f>
        <v>190.961538461538</v>
      </c>
      <c r="H147" s="51" t="n">
        <f aca="false">IF($A147="","",STDEV(Weekly_Demand!G147:BF147))</f>
        <v>191.500367228283</v>
      </c>
      <c r="I147" s="52" t="n">
        <f aca="false">IF($A147="","",IFERROR(H147/G147,0))</f>
        <v>1.00282166121558</v>
      </c>
      <c r="J147" s="53" t="n">
        <f aca="false">IF($A147="","",F147*C147)</f>
        <v>7447.5</v>
      </c>
      <c r="K147" s="54" t="n">
        <f aca="false">IF($A147="","",IFERROR(J147/$J$505,0))</f>
        <v>0.00192705824721057</v>
      </c>
      <c r="L147" s="54" t="n">
        <f aca="false">IF($A147="","",IFERROR(SUMIFS($J$5:$J$504,$AB$5:$AB$504,"&lt;="&amp;AB147)/$J$505,0))</f>
        <v>0.610198877487834</v>
      </c>
      <c r="M147" s="55" t="str">
        <f aca="false">IF($A147="","",IF(L147&lt;=Assumptions!$B$7,"A",IF(L147&lt;=Assumptions!$B$8,"B","C")))</f>
        <v>A</v>
      </c>
      <c r="N147" s="55" t="str">
        <f aca="false">IF($A147="","",IF(I147&lt;=Assumptions!$B$9,"X",IF(I147&lt;=Assumptions!$B$10,"Y","Z")))</f>
        <v>Z</v>
      </c>
      <c r="O147" s="56" t="str">
        <f aca="false">IF($A147="","",M147&amp;N147)</f>
        <v>AZ</v>
      </c>
      <c r="P147" s="57" t="n">
        <f aca="false">IF($A147="","",INDEX(Assumptions!$B$35:$B$37,MATCH(M147,Assumptions!$A$35:$A$37,0)))</f>
        <v>0.98</v>
      </c>
      <c r="Q147" s="58" t="n">
        <f aca="false">IF($A147="","",NORMSINV(P147))</f>
        <v>2.05374891063182</v>
      </c>
      <c r="R147" s="48" t="n">
        <f aca="false">IF($A147="","",ROUNDUP(Q147*H147*SQRT(D147),0))</f>
        <v>787</v>
      </c>
      <c r="S147" s="48" t="n">
        <f aca="false">IF($A147="","",ROUNDUP(G147*D147+R147,0))</f>
        <v>1551</v>
      </c>
      <c r="T147" s="46" t="n">
        <f aca="false">IF($A147="","",IFERROR(ROUND(SQRT(2*F147*Assumptions!$B$4/(Assumptions!$B$5*C147)),0),0))</f>
        <v>2301</v>
      </c>
      <c r="U147" s="53" t="n">
        <f aca="false">IF($A147="","",R147*C147)</f>
        <v>590.25</v>
      </c>
      <c r="V147" s="53" t="n">
        <f aca="false">IF($A147="","",E147*C147)</f>
        <v>143.25</v>
      </c>
      <c r="W147" s="59" t="n">
        <f aca="false">IF($A147="","",IFERROR(E147/G147,0))</f>
        <v>1.00020140986908</v>
      </c>
      <c r="X147" s="48" t="n">
        <f aca="false">IF($A147="","",S147+T147)</f>
        <v>3852</v>
      </c>
      <c r="Y147" s="48" t="n">
        <f aca="false">IF($A147="","",MAX(0,E147-X147))</f>
        <v>0</v>
      </c>
      <c r="Z147" s="53" t="n">
        <f aca="false">IF($A147="","",Y147*C147)</f>
        <v>0</v>
      </c>
      <c r="AA147" s="56" t="str">
        <f aca="false">IF($A147="","",IF(E147&lt;=R147,"Below Safety Stock",IF(E147&lt;=S147,"Reorder Now",IF(E147&gt;X147,"Excess","Healthy"))))</f>
        <v>Below Safety Stock</v>
      </c>
      <c r="AB147" s="48" t="n">
        <f aca="false">IF($A147="","",RANK(AF147,$AF$5:$AF$504,0)+COUNTIF($AF$5:AF147,AF147)-1)</f>
        <v>164</v>
      </c>
      <c r="AC147" s="44" t="str">
        <f aca="false">IF($A147="","",Weekly_Demand!B147)</f>
        <v>DOUGHNUT LIP GLOSS</v>
      </c>
      <c r="AD147" s="59" t="n">
        <f aca="false">IF($A147="","",H147*SQRT(D147))</f>
        <v>383.000734456565</v>
      </c>
      <c r="AE147" s="53" t="n">
        <f aca="false">IF($A147="","",AD147*C147)</f>
        <v>287.250550842424</v>
      </c>
      <c r="AF147" s="53" t="n">
        <f aca="false">IF($A147="","",ROUND(J147,2))</f>
        <v>7447.5</v>
      </c>
    </row>
    <row r="148" customFormat="false" ht="15" hidden="false" customHeight="false" outlineLevel="0" collapsed="false">
      <c r="A148" s="44" t="str">
        <f aca="false">IF(Weekly_Demand!A148="","",Weekly_Demand!A148)</f>
        <v>21524</v>
      </c>
      <c r="B148" s="44" t="str">
        <f aca="false">IF($A148="","",Weekly_Demand!C148)</f>
        <v>Other</v>
      </c>
      <c r="C148" s="45" t="n">
        <f aca="false">IF($A148="","",Weekly_Demand!D148)</f>
        <v>4.77</v>
      </c>
      <c r="D148" s="46" t="n">
        <f aca="false">IF($A148="","",Weekly_Demand!E148+Assumptions!$B$19)</f>
        <v>2</v>
      </c>
      <c r="E148" s="46" t="n">
        <f aca="false">IF($A148="","",Weekly_Demand!F148)</f>
        <v>521</v>
      </c>
      <c r="F148" s="46" t="n">
        <f aca="false">IF($A148="","",SUM(Weekly_Demand!G148:BF148))</f>
        <v>1692</v>
      </c>
      <c r="G148" s="51" t="n">
        <f aca="false">IF($A148="","",IFERROR(F148/Assumptions!$B$6,0))</f>
        <v>32.5384615384615</v>
      </c>
      <c r="H148" s="51" t="n">
        <f aca="false">IF($A148="","",STDEV(Weekly_Demand!G148:BF148))</f>
        <v>25.9467490414892</v>
      </c>
      <c r="I148" s="52" t="n">
        <f aca="false">IF($A148="","",IFERROR(H148/G148,0))</f>
        <v>0.797417819241985</v>
      </c>
      <c r="J148" s="53" t="n">
        <f aca="false">IF($A148="","",F148*C148)</f>
        <v>8070.84</v>
      </c>
      <c r="K148" s="54" t="n">
        <f aca="false">IF($A148="","",IFERROR(J148/$J$505,0))</f>
        <v>0.00208834894715233</v>
      </c>
      <c r="L148" s="54" t="n">
        <f aca="false">IF($A148="","",IFERROR(SUMIFS($J$5:$J$504,$AB$5:$AB$504,"&lt;="&amp;AB148)/$J$505,0))</f>
        <v>0.568380682653937</v>
      </c>
      <c r="M148" s="55" t="str">
        <f aca="false">IF($A148="","",IF(L148&lt;=Assumptions!$B$7,"A",IF(L148&lt;=Assumptions!$B$8,"B","C")))</f>
        <v>A</v>
      </c>
      <c r="N148" s="55" t="str">
        <f aca="false">IF($A148="","",IF(I148&lt;=Assumptions!$B$9,"X",IF(I148&lt;=Assumptions!$B$10,"Y","Z")))</f>
        <v>Y</v>
      </c>
      <c r="O148" s="56" t="str">
        <f aca="false">IF($A148="","",M148&amp;N148)</f>
        <v>AY</v>
      </c>
      <c r="P148" s="57" t="n">
        <f aca="false">IF($A148="","",INDEX(Assumptions!$B$35:$B$37,MATCH(M148,Assumptions!$A$35:$A$37,0)))</f>
        <v>0.98</v>
      </c>
      <c r="Q148" s="58" t="n">
        <f aca="false">IF($A148="","",NORMSINV(P148))</f>
        <v>2.05374891063182</v>
      </c>
      <c r="R148" s="48" t="n">
        <f aca="false">IF($A148="","",ROUNDUP(Q148*H148*SQRT(D148),0))</f>
        <v>76</v>
      </c>
      <c r="S148" s="48" t="n">
        <f aca="false">IF($A148="","",ROUNDUP(G148*D148+R148,0))</f>
        <v>142</v>
      </c>
      <c r="T148" s="46" t="n">
        <f aca="false">IF($A148="","",IFERROR(ROUND(SQRT(2*F148*Assumptions!$B$4/(Assumptions!$B$5*C148)),0),0))</f>
        <v>377</v>
      </c>
      <c r="U148" s="53" t="n">
        <f aca="false">IF($A148="","",R148*C148)</f>
        <v>362.52</v>
      </c>
      <c r="V148" s="53" t="n">
        <f aca="false">IF($A148="","",E148*C148)</f>
        <v>2485.17</v>
      </c>
      <c r="W148" s="59" t="n">
        <f aca="false">IF($A148="","",IFERROR(E148/G148,0))</f>
        <v>16.0118203309693</v>
      </c>
      <c r="X148" s="48" t="n">
        <f aca="false">IF($A148="","",S148+T148)</f>
        <v>519</v>
      </c>
      <c r="Y148" s="48" t="n">
        <f aca="false">IF($A148="","",MAX(0,E148-X148))</f>
        <v>2</v>
      </c>
      <c r="Z148" s="53" t="n">
        <f aca="false">IF($A148="","",Y148*C148)</f>
        <v>9.54</v>
      </c>
      <c r="AA148" s="56" t="str">
        <f aca="false">IF($A148="","",IF(E148&lt;=R148,"Below Safety Stock",IF(E148&lt;=S148,"Reorder Now",IF(E148&gt;X148,"Excess","Healthy"))))</f>
        <v>Excess</v>
      </c>
      <c r="AB148" s="48" t="n">
        <f aca="false">IF($A148="","",RANK(AF148,$AF$5:$AF$504,0)+COUNTIF($AF$5:AF148,AF148)-1)</f>
        <v>143</v>
      </c>
      <c r="AC148" s="44" t="str">
        <f aca="false">IF($A148="","",Weekly_Demand!B148)</f>
        <v>DOORMAT SPOTTY HOME SWEET HOME</v>
      </c>
      <c r="AD148" s="59" t="n">
        <f aca="false">IF($A148="","",H148*SQRT(D148))</f>
        <v>36.6942443939651</v>
      </c>
      <c r="AE148" s="53" t="n">
        <f aca="false">IF($A148="","",AD148*C148)</f>
        <v>175.031545759214</v>
      </c>
      <c r="AF148" s="53" t="n">
        <f aca="false">IF($A148="","",ROUND(J148,2))</f>
        <v>8070.84</v>
      </c>
    </row>
    <row r="149" customFormat="false" ht="15" hidden="false" customHeight="false" outlineLevel="0" collapsed="false">
      <c r="A149" s="44" t="str">
        <f aca="false">IF(Weekly_Demand!A149="","",Weekly_Demand!A149)</f>
        <v>22551</v>
      </c>
      <c r="B149" s="44" t="str">
        <f aca="false">IF($A149="","",Weekly_Demand!C149)</f>
        <v>Kitchen</v>
      </c>
      <c r="C149" s="45" t="n">
        <f aca="false">IF($A149="","",Weekly_Demand!D149)</f>
        <v>0.99</v>
      </c>
      <c r="D149" s="46" t="n">
        <f aca="false">IF($A149="","",Weekly_Demand!E149+Assumptions!$B$19)</f>
        <v>8</v>
      </c>
      <c r="E149" s="46" t="n">
        <f aca="false">IF($A149="","",Weekly_Demand!F149)</f>
        <v>2232</v>
      </c>
      <c r="F149" s="46" t="n">
        <f aca="false">IF($A149="","",SUM(Weekly_Demand!G149:BF149))</f>
        <v>7739</v>
      </c>
      <c r="G149" s="51" t="n">
        <f aca="false">IF($A149="","",IFERROR(F149/Assumptions!$B$6,0))</f>
        <v>148.826923076923</v>
      </c>
      <c r="H149" s="51" t="n">
        <f aca="false">IF($A149="","",STDEV(Weekly_Demand!G149:BF149))</f>
        <v>112.672303111218</v>
      </c>
      <c r="I149" s="52" t="n">
        <f aca="false">IF($A149="","",IFERROR(H149/G149,0))</f>
        <v>0.757069358028598</v>
      </c>
      <c r="J149" s="53" t="n">
        <f aca="false">IF($A149="","",F149*C149)</f>
        <v>7661.61</v>
      </c>
      <c r="K149" s="54" t="n">
        <f aca="false">IF($A149="","",IFERROR(J149/$J$505,0))</f>
        <v>0.00198245971633582</v>
      </c>
      <c r="L149" s="54" t="n">
        <f aca="false">IF($A149="","",IFERROR(SUMIFS($J$5:$J$504,$AB$5:$AB$504,"&lt;="&amp;AB149)/$J$505,0))</f>
        <v>0.588678307605454</v>
      </c>
      <c r="M149" s="55" t="str">
        <f aca="false">IF($A149="","",IF(L149&lt;=Assumptions!$B$7,"A",IF(L149&lt;=Assumptions!$B$8,"B","C")))</f>
        <v>A</v>
      </c>
      <c r="N149" s="55" t="str">
        <f aca="false">IF($A149="","",IF(I149&lt;=Assumptions!$B$9,"X",IF(I149&lt;=Assumptions!$B$10,"Y","Z")))</f>
        <v>Y</v>
      </c>
      <c r="O149" s="56" t="str">
        <f aca="false">IF($A149="","",M149&amp;N149)</f>
        <v>AY</v>
      </c>
      <c r="P149" s="57" t="n">
        <f aca="false">IF($A149="","",INDEX(Assumptions!$B$35:$B$37,MATCH(M149,Assumptions!$A$35:$A$37,0)))</f>
        <v>0.98</v>
      </c>
      <c r="Q149" s="58" t="n">
        <f aca="false">IF($A149="","",NORMSINV(P149))</f>
        <v>2.05374891063182</v>
      </c>
      <c r="R149" s="48" t="n">
        <f aca="false">IF($A149="","",ROUNDUP(Q149*H149*SQRT(D149),0))</f>
        <v>655</v>
      </c>
      <c r="S149" s="48" t="n">
        <f aca="false">IF($A149="","",ROUNDUP(G149*D149+R149,0))</f>
        <v>1846</v>
      </c>
      <c r="T149" s="46" t="n">
        <f aca="false">IF($A149="","",IFERROR(ROUND(SQRT(2*F149*Assumptions!$B$4/(Assumptions!$B$5*C149)),0),0))</f>
        <v>1768</v>
      </c>
      <c r="U149" s="53" t="n">
        <f aca="false">IF($A149="","",R149*C149)</f>
        <v>648.45</v>
      </c>
      <c r="V149" s="53" t="n">
        <f aca="false">IF($A149="","",E149*C149)</f>
        <v>2209.68</v>
      </c>
      <c r="W149" s="59" t="n">
        <f aca="false">IF($A149="","",IFERROR(E149/G149,0))</f>
        <v>14.9972864711203</v>
      </c>
      <c r="X149" s="48" t="n">
        <f aca="false">IF($A149="","",S149+T149)</f>
        <v>3614</v>
      </c>
      <c r="Y149" s="48" t="n">
        <f aca="false">IF($A149="","",MAX(0,E149-X149))</f>
        <v>0</v>
      </c>
      <c r="Z149" s="53" t="n">
        <f aca="false">IF($A149="","",Y149*C149)</f>
        <v>0</v>
      </c>
      <c r="AA149" s="56" t="str">
        <f aca="false">IF($A149="","",IF(E149&lt;=R149,"Below Safety Stock",IF(E149&lt;=S149,"Reorder Now",IF(E149&gt;X149,"Excess","Healthy"))))</f>
        <v>Healthy</v>
      </c>
      <c r="AB149" s="48" t="n">
        <f aca="false">IF($A149="","",RANK(AF149,$AF$5:$AF$504,0)+COUNTIF($AF$5:AF149,AF149)-1)</f>
        <v>153</v>
      </c>
      <c r="AC149" s="44" t="str">
        <f aca="false">IF($A149="","",Weekly_Demand!B149)</f>
        <v>PLASTERS IN TIN SPACEBOY</v>
      </c>
      <c r="AD149" s="59" t="n">
        <f aca="false">IF($A149="","",H149*SQRT(D149))</f>
        <v>318.685398327393</v>
      </c>
      <c r="AE149" s="53" t="n">
        <f aca="false">IF($A149="","",AD149*C149)</f>
        <v>315.498544344119</v>
      </c>
      <c r="AF149" s="53" t="n">
        <f aca="false">IF($A149="","",ROUND(J149,2))</f>
        <v>7661.61</v>
      </c>
    </row>
    <row r="150" customFormat="false" ht="15" hidden="false" customHeight="false" outlineLevel="0" collapsed="false">
      <c r="A150" s="44" t="str">
        <f aca="false">IF(Weekly_Demand!A150="","",Weekly_Demand!A150)</f>
        <v>23108</v>
      </c>
      <c r="B150" s="44" t="str">
        <f aca="false">IF($A150="","",Weekly_Demand!C150)</f>
        <v>Lighting</v>
      </c>
      <c r="C150" s="45" t="n">
        <f aca="false">IF($A150="","",Weekly_Demand!D150)</f>
        <v>3.75</v>
      </c>
      <c r="D150" s="46" t="n">
        <f aca="false">IF($A150="","",Weekly_Demand!E150+Assumptions!$B$19)</f>
        <v>2</v>
      </c>
      <c r="E150" s="46" t="n">
        <f aca="false">IF($A150="","",Weekly_Demand!F150)</f>
        <v>545</v>
      </c>
      <c r="F150" s="46" t="n">
        <f aca="false">IF($A150="","",SUM(Weekly_Demand!G150:BF150))</f>
        <v>2178</v>
      </c>
      <c r="G150" s="51" t="n">
        <f aca="false">IF($A150="","",IFERROR(F150/Assumptions!$B$6,0))</f>
        <v>41.8846153846154</v>
      </c>
      <c r="H150" s="51" t="n">
        <f aca="false">IF($A150="","",STDEV(Weekly_Demand!G150:BF150))</f>
        <v>78.0177591261429</v>
      </c>
      <c r="I150" s="52" t="n">
        <f aca="false">IF($A150="","",IFERROR(H150/G150,0))</f>
        <v>1.86268295434317</v>
      </c>
      <c r="J150" s="53" t="n">
        <f aca="false">IF($A150="","",F150*C150)</f>
        <v>8167.5</v>
      </c>
      <c r="K150" s="54" t="n">
        <f aca="false">IF($A150="","",IFERROR(J150/$J$505,0))</f>
        <v>0.00211335995086839</v>
      </c>
      <c r="L150" s="54" t="n">
        <f aca="false">IF($A150="","",IFERROR(SUMIFS($J$5:$J$504,$AB$5:$AB$504,"&lt;="&amp;AB150)/$J$505,0))</f>
        <v>0.559967414155315</v>
      </c>
      <c r="M150" s="55" t="str">
        <f aca="false">IF($A150="","",IF(L150&lt;=Assumptions!$B$7,"A",IF(L150&lt;=Assumptions!$B$8,"B","C")))</f>
        <v>A</v>
      </c>
      <c r="N150" s="55" t="str">
        <f aca="false">IF($A150="","",IF(I150&lt;=Assumptions!$B$9,"X",IF(I150&lt;=Assumptions!$B$10,"Y","Z")))</f>
        <v>Z</v>
      </c>
      <c r="O150" s="56" t="str">
        <f aca="false">IF($A150="","",M150&amp;N150)</f>
        <v>AZ</v>
      </c>
      <c r="P150" s="57" t="n">
        <f aca="false">IF($A150="","",INDEX(Assumptions!$B$35:$B$37,MATCH(M150,Assumptions!$A$35:$A$37,0)))</f>
        <v>0.98</v>
      </c>
      <c r="Q150" s="58" t="n">
        <f aca="false">IF($A150="","",NORMSINV(P150))</f>
        <v>2.05374891063182</v>
      </c>
      <c r="R150" s="48" t="n">
        <f aca="false">IF($A150="","",ROUNDUP(Q150*H150*SQRT(D150),0))</f>
        <v>227</v>
      </c>
      <c r="S150" s="48" t="n">
        <f aca="false">IF($A150="","",ROUNDUP(G150*D150+R150,0))</f>
        <v>311</v>
      </c>
      <c r="T150" s="46" t="n">
        <f aca="false">IF($A150="","",IFERROR(ROUND(SQRT(2*F150*Assumptions!$B$4/(Assumptions!$B$5*C150)),0),0))</f>
        <v>482</v>
      </c>
      <c r="U150" s="53" t="n">
        <f aca="false">IF($A150="","",R150*C150)</f>
        <v>851.25</v>
      </c>
      <c r="V150" s="53" t="n">
        <f aca="false">IF($A150="","",E150*C150)</f>
        <v>2043.75</v>
      </c>
      <c r="W150" s="59" t="n">
        <f aca="false">IF($A150="","",IFERROR(E150/G150,0))</f>
        <v>13.0119375573921</v>
      </c>
      <c r="X150" s="48" t="n">
        <f aca="false">IF($A150="","",S150+T150)</f>
        <v>793</v>
      </c>
      <c r="Y150" s="48" t="n">
        <f aca="false">IF($A150="","",MAX(0,E150-X150))</f>
        <v>0</v>
      </c>
      <c r="Z150" s="53" t="n">
        <f aca="false">IF($A150="","",Y150*C150)</f>
        <v>0</v>
      </c>
      <c r="AA150" s="56" t="str">
        <f aca="false">IF($A150="","",IF(E150&lt;=R150,"Below Safety Stock",IF(E150&lt;=S150,"Reorder Now",IF(E150&gt;X150,"Excess","Healthy"))))</f>
        <v>Healthy</v>
      </c>
      <c r="AB150" s="48" t="n">
        <f aca="false">IF($A150="","",RANK(AF150,$AF$5:$AF$504,0)+COUNTIF($AF$5:AF150,AF150)-1)</f>
        <v>139</v>
      </c>
      <c r="AC150" s="44" t="str">
        <f aca="false">IF($A150="","",Weekly_Demand!B150)</f>
        <v>SET OF 10 LED DOLLY LIGHTS</v>
      </c>
      <c r="AD150" s="59" t="n">
        <f aca="false">IF($A150="","",H150*SQRT(D150))</f>
        <v>110.333773062149</v>
      </c>
      <c r="AE150" s="53" t="n">
        <f aca="false">IF($A150="","",AD150*C150)</f>
        <v>413.751648983057</v>
      </c>
      <c r="AF150" s="53" t="n">
        <f aca="false">IF($A150="","",ROUND(J150,2))</f>
        <v>8167.5</v>
      </c>
    </row>
    <row r="151" customFormat="false" ht="15" hidden="false" customHeight="false" outlineLevel="0" collapsed="false">
      <c r="A151" s="44" t="str">
        <f aca="false">IF(Weekly_Demand!A151="","",Weekly_Demand!A151)</f>
        <v>22554</v>
      </c>
      <c r="B151" s="44" t="str">
        <f aca="false">IF($A151="","",Weekly_Demand!C151)</f>
        <v>Kitchen</v>
      </c>
      <c r="C151" s="45" t="n">
        <f aca="false">IF($A151="","",Weekly_Demand!D151)</f>
        <v>0.99</v>
      </c>
      <c r="D151" s="46" t="n">
        <f aca="false">IF($A151="","",Weekly_Demand!E151+Assumptions!$B$19)</f>
        <v>6</v>
      </c>
      <c r="E151" s="46" t="n">
        <f aca="false">IF($A151="","",Weekly_Demand!F151)</f>
        <v>2183</v>
      </c>
      <c r="F151" s="46" t="n">
        <f aca="false">IF($A151="","",SUM(Weekly_Demand!G151:BF151))</f>
        <v>7569</v>
      </c>
      <c r="G151" s="51" t="n">
        <f aca="false">IF($A151="","",IFERROR(F151/Assumptions!$B$6,0))</f>
        <v>145.557692307692</v>
      </c>
      <c r="H151" s="51" t="n">
        <f aca="false">IF($A151="","",STDEV(Weekly_Demand!G151:BF151))</f>
        <v>103.992347656165</v>
      </c>
      <c r="I151" s="52" t="n">
        <f aca="false">IF($A151="","",IFERROR(H151/G151,0))</f>
        <v>0.714440755465793</v>
      </c>
      <c r="J151" s="53" t="n">
        <f aca="false">IF($A151="","",F151*C151)</f>
        <v>7493.31</v>
      </c>
      <c r="K151" s="54" t="n">
        <f aca="false">IF($A151="","",IFERROR(J151/$J$505,0))</f>
        <v>0.0019389116931058</v>
      </c>
      <c r="L151" s="54" t="n">
        <f aca="false">IF($A151="","",IFERROR(SUMIFS($J$5:$J$504,$AB$5:$AB$504,"&lt;="&amp;AB151)/$J$505,0))</f>
        <v>0.606334723989128</v>
      </c>
      <c r="M151" s="55" t="str">
        <f aca="false">IF($A151="","",IF(L151&lt;=Assumptions!$B$7,"A",IF(L151&lt;=Assumptions!$B$8,"B","C")))</f>
        <v>A</v>
      </c>
      <c r="N151" s="55" t="str">
        <f aca="false">IF($A151="","",IF(I151&lt;=Assumptions!$B$9,"X",IF(I151&lt;=Assumptions!$B$10,"Y","Z")))</f>
        <v>Y</v>
      </c>
      <c r="O151" s="56" t="str">
        <f aca="false">IF($A151="","",M151&amp;N151)</f>
        <v>AY</v>
      </c>
      <c r="P151" s="57" t="n">
        <f aca="false">IF($A151="","",INDEX(Assumptions!$B$35:$B$37,MATCH(M151,Assumptions!$A$35:$A$37,0)))</f>
        <v>0.98</v>
      </c>
      <c r="Q151" s="58" t="n">
        <f aca="false">IF($A151="","",NORMSINV(P151))</f>
        <v>2.05374891063182</v>
      </c>
      <c r="R151" s="48" t="n">
        <f aca="false">IF($A151="","",ROUNDUP(Q151*H151*SQRT(D151),0))</f>
        <v>524</v>
      </c>
      <c r="S151" s="48" t="n">
        <f aca="false">IF($A151="","",ROUNDUP(G151*D151+R151,0))</f>
        <v>1398</v>
      </c>
      <c r="T151" s="46" t="n">
        <f aca="false">IF($A151="","",IFERROR(ROUND(SQRT(2*F151*Assumptions!$B$4/(Assumptions!$B$5*C151)),0),0))</f>
        <v>1749</v>
      </c>
      <c r="U151" s="53" t="n">
        <f aca="false">IF($A151="","",R151*C151)</f>
        <v>518.76</v>
      </c>
      <c r="V151" s="53" t="n">
        <f aca="false">IF($A151="","",E151*C151)</f>
        <v>2161.17</v>
      </c>
      <c r="W151" s="59" t="n">
        <f aca="false">IF($A151="","",IFERROR(E151/G151,0))</f>
        <v>14.9974897608667</v>
      </c>
      <c r="X151" s="48" t="n">
        <f aca="false">IF($A151="","",S151+T151)</f>
        <v>3147</v>
      </c>
      <c r="Y151" s="48" t="n">
        <f aca="false">IF($A151="","",MAX(0,E151-X151))</f>
        <v>0</v>
      </c>
      <c r="Z151" s="53" t="n">
        <f aca="false">IF($A151="","",Y151*C151)</f>
        <v>0</v>
      </c>
      <c r="AA151" s="56" t="str">
        <f aca="false">IF($A151="","",IF(E151&lt;=R151,"Below Safety Stock",IF(E151&lt;=S151,"Reorder Now",IF(E151&gt;X151,"Excess","Healthy"))))</f>
        <v>Healthy</v>
      </c>
      <c r="AB151" s="48" t="n">
        <f aca="false">IF($A151="","",RANK(AF151,$AF$5:$AF$504,0)+COUNTIF($AF$5:AF151,AF151)-1)</f>
        <v>162</v>
      </c>
      <c r="AC151" s="44" t="str">
        <f aca="false">IF($A151="","",Weekly_Demand!B151)</f>
        <v>PLASTERS IN TIN WOODLAND ANIMALS</v>
      </c>
      <c r="AD151" s="59" t="n">
        <f aca="false">IF($A151="","",H151*SQRT(D151))</f>
        <v>254.728188911719</v>
      </c>
      <c r="AE151" s="53" t="n">
        <f aca="false">IF($A151="","",AD151*C151)</f>
        <v>252.180907022602</v>
      </c>
      <c r="AF151" s="53" t="n">
        <f aca="false">IF($A151="","",ROUND(J151,2))</f>
        <v>7493.31</v>
      </c>
    </row>
    <row r="152" customFormat="false" ht="15" hidden="false" customHeight="false" outlineLevel="0" collapsed="false">
      <c r="A152" s="44" t="str">
        <f aca="false">IF(Weekly_Demand!A152="","",Weekly_Demand!A152)</f>
        <v>84077</v>
      </c>
      <c r="B152" s="44" t="str">
        <f aca="false">IF($A152="","",Weekly_Demand!C152)</f>
        <v>Other</v>
      </c>
      <c r="C152" s="45" t="n">
        <f aca="false">IF($A152="","",Weekly_Demand!D152)</f>
        <v>0.174</v>
      </c>
      <c r="D152" s="46" t="n">
        <f aca="false">IF($A152="","",Weekly_Demand!E152+Assumptions!$B$19)</f>
        <v>4</v>
      </c>
      <c r="E152" s="46" t="n">
        <f aca="false">IF($A152="","",Weekly_Demand!F152)</f>
        <v>972</v>
      </c>
      <c r="F152" s="46" t="n">
        <f aca="false">IF($A152="","",SUM(Weekly_Demand!G152:BF152))</f>
        <v>50565</v>
      </c>
      <c r="G152" s="51" t="n">
        <f aca="false">IF($A152="","",IFERROR(F152/Assumptions!$B$6,0))</f>
        <v>972.403846153846</v>
      </c>
      <c r="H152" s="51" t="n">
        <f aca="false">IF($A152="","",STDEV(Weekly_Demand!G152:BF152))</f>
        <v>935.328153793649</v>
      </c>
      <c r="I152" s="52" t="n">
        <f aca="false">IF($A152="","",IFERROR(H152/G152,0))</f>
        <v>0.961872124933644</v>
      </c>
      <c r="J152" s="53" t="n">
        <f aca="false">IF($A152="","",F152*C152)</f>
        <v>8798.31</v>
      </c>
      <c r="K152" s="54" t="n">
        <f aca="false">IF($A152="","",IFERROR(J152/$J$505,0))</f>
        <v>0.0022765835309856</v>
      </c>
      <c r="L152" s="54" t="n">
        <f aca="false">IF($A152="","",IFERROR(SUMIFS($J$5:$J$504,$AB$5:$AB$504,"&lt;="&amp;AB152)/$J$505,0))</f>
        <v>0.537852811975737</v>
      </c>
      <c r="M152" s="55" t="str">
        <f aca="false">IF($A152="","",IF(L152&lt;=Assumptions!$B$7,"A",IF(L152&lt;=Assumptions!$B$8,"B","C")))</f>
        <v>A</v>
      </c>
      <c r="N152" s="55" t="str">
        <f aca="false">IF($A152="","",IF(I152&lt;=Assumptions!$B$9,"X",IF(I152&lt;=Assumptions!$B$10,"Y","Z")))</f>
        <v>Y</v>
      </c>
      <c r="O152" s="56" t="str">
        <f aca="false">IF($A152="","",M152&amp;N152)</f>
        <v>AY</v>
      </c>
      <c r="P152" s="57" t="n">
        <f aca="false">IF($A152="","",INDEX(Assumptions!$B$35:$B$37,MATCH(M152,Assumptions!$A$35:$A$37,0)))</f>
        <v>0.98</v>
      </c>
      <c r="Q152" s="58" t="n">
        <f aca="false">IF($A152="","",NORMSINV(P152))</f>
        <v>2.05374891063182</v>
      </c>
      <c r="R152" s="48" t="n">
        <f aca="false">IF($A152="","",ROUNDUP(Q152*H152*SQRT(D152),0))</f>
        <v>3842</v>
      </c>
      <c r="S152" s="48" t="n">
        <f aca="false">IF($A152="","",ROUNDUP(G152*D152+R152,0))</f>
        <v>7732</v>
      </c>
      <c r="T152" s="46" t="n">
        <f aca="false">IF($A152="","",IFERROR(ROUND(SQRT(2*F152*Assumptions!$B$4/(Assumptions!$B$5*C152)),0),0))</f>
        <v>10782</v>
      </c>
      <c r="U152" s="53" t="n">
        <f aca="false">IF($A152="","",R152*C152)</f>
        <v>668.508</v>
      </c>
      <c r="V152" s="53" t="n">
        <f aca="false">IF($A152="","",E152*C152)</f>
        <v>169.128</v>
      </c>
      <c r="W152" s="59" t="n">
        <f aca="false">IF($A152="","",IFERROR(E152/G152,0))</f>
        <v>0.999584692969445</v>
      </c>
      <c r="X152" s="48" t="n">
        <f aca="false">IF($A152="","",S152+T152)</f>
        <v>18514</v>
      </c>
      <c r="Y152" s="48" t="n">
        <f aca="false">IF($A152="","",MAX(0,E152-X152))</f>
        <v>0</v>
      </c>
      <c r="Z152" s="53" t="n">
        <f aca="false">IF($A152="","",Y152*C152)</f>
        <v>0</v>
      </c>
      <c r="AA152" s="56" t="str">
        <f aca="false">IF($A152="","",IF(E152&lt;=R152,"Below Safety Stock",IF(E152&lt;=S152,"Reorder Now",IF(E152&gt;X152,"Excess","Healthy"))))</f>
        <v>Below Safety Stock</v>
      </c>
      <c r="AB152" s="48" t="n">
        <f aca="false">IF($A152="","",RANK(AF152,$AF$5:$AF$504,0)+COUNTIF($AF$5:AF152,AF152)-1)</f>
        <v>129</v>
      </c>
      <c r="AC152" s="44" t="str">
        <f aca="false">IF($A152="","",Weekly_Demand!B152)</f>
        <v>WORLD WAR 2 GLIDERS ASSTD DESIGNS</v>
      </c>
      <c r="AD152" s="59" t="n">
        <f aca="false">IF($A152="","",H152*SQRT(D152))</f>
        <v>1870.6563075873</v>
      </c>
      <c r="AE152" s="53" t="n">
        <f aca="false">IF($A152="","",AD152*C152)</f>
        <v>325.49419752019</v>
      </c>
      <c r="AF152" s="53" t="n">
        <f aca="false">IF($A152="","",ROUND(J152,2))</f>
        <v>8798.31</v>
      </c>
    </row>
    <row r="153" customFormat="false" ht="15" hidden="false" customHeight="false" outlineLevel="0" collapsed="false">
      <c r="A153" s="44" t="str">
        <f aca="false">IF(Weekly_Demand!A153="","",Weekly_Demand!A153)</f>
        <v>23356</v>
      </c>
      <c r="B153" s="44" t="str">
        <f aca="false">IF($A153="","",Weekly_Demand!C153)</f>
        <v>Other</v>
      </c>
      <c r="C153" s="45" t="n">
        <f aca="false">IF($A153="","",Weekly_Demand!D153)</f>
        <v>3.57</v>
      </c>
      <c r="D153" s="46" t="n">
        <f aca="false">IF($A153="","",Weekly_Demand!E153+Assumptions!$B$19)</f>
        <v>2</v>
      </c>
      <c r="E153" s="46" t="n">
        <f aca="false">IF($A153="","",Weekly_Demand!F153)</f>
        <v>483</v>
      </c>
      <c r="F153" s="46" t="n">
        <f aca="false">IF($A153="","",SUM(Weekly_Demand!G153:BF153))</f>
        <v>2281</v>
      </c>
      <c r="G153" s="51" t="n">
        <f aca="false">IF($A153="","",IFERROR(F153/Assumptions!$B$6,0))</f>
        <v>43.8653846153846</v>
      </c>
      <c r="H153" s="51" t="n">
        <f aca="false">IF($A153="","",STDEV(Weekly_Demand!G153:BF153))</f>
        <v>86.6183942893248</v>
      </c>
      <c r="I153" s="52" t="n">
        <f aca="false">IF($A153="","",IFERROR(H153/G153,0))</f>
        <v>1.97464116749009</v>
      </c>
      <c r="J153" s="53" t="n">
        <f aca="false">IF($A153="","",F153*C153)</f>
        <v>8143.17</v>
      </c>
      <c r="K153" s="54" t="n">
        <f aca="false">IF($A153="","",IFERROR(J153/$J$505,0))</f>
        <v>0.00210706450579895</v>
      </c>
      <c r="L153" s="54" t="n">
        <f aca="false">IF($A153="","",IFERROR(SUMIFS($J$5:$J$504,$AB$5:$AB$504,"&lt;="&amp;AB153)/$J$505,0))</f>
        <v>0.566292333706785</v>
      </c>
      <c r="M153" s="55" t="str">
        <f aca="false">IF($A153="","",IF(L153&lt;=Assumptions!$B$7,"A",IF(L153&lt;=Assumptions!$B$8,"B","C")))</f>
        <v>A</v>
      </c>
      <c r="N153" s="55" t="str">
        <f aca="false">IF($A153="","",IF(I153&lt;=Assumptions!$B$9,"X",IF(I153&lt;=Assumptions!$B$10,"Y","Z")))</f>
        <v>Z</v>
      </c>
      <c r="O153" s="56" t="str">
        <f aca="false">IF($A153="","",M153&amp;N153)</f>
        <v>AZ</v>
      </c>
      <c r="P153" s="57" t="n">
        <f aca="false">IF($A153="","",INDEX(Assumptions!$B$35:$B$37,MATCH(M153,Assumptions!$A$35:$A$37,0)))</f>
        <v>0.98</v>
      </c>
      <c r="Q153" s="58" t="n">
        <f aca="false">IF($A153="","",NORMSINV(P153))</f>
        <v>2.05374891063182</v>
      </c>
      <c r="R153" s="48" t="n">
        <f aca="false">IF($A153="","",ROUNDUP(Q153*H153*SQRT(D153),0))</f>
        <v>252</v>
      </c>
      <c r="S153" s="48" t="n">
        <f aca="false">IF($A153="","",ROUNDUP(G153*D153+R153,0))</f>
        <v>340</v>
      </c>
      <c r="T153" s="46" t="n">
        <f aca="false">IF($A153="","",IFERROR(ROUND(SQRT(2*F153*Assumptions!$B$4/(Assumptions!$B$5*C153)),0),0))</f>
        <v>506</v>
      </c>
      <c r="U153" s="53" t="n">
        <f aca="false">IF($A153="","",R153*C153)</f>
        <v>899.64</v>
      </c>
      <c r="V153" s="53" t="n">
        <f aca="false">IF($A153="","",E153*C153)</f>
        <v>1724.31</v>
      </c>
      <c r="W153" s="59" t="n">
        <f aca="false">IF($A153="","",IFERROR(E153/G153,0))</f>
        <v>11.010960105217</v>
      </c>
      <c r="X153" s="48" t="n">
        <f aca="false">IF($A153="","",S153+T153)</f>
        <v>846</v>
      </c>
      <c r="Y153" s="48" t="n">
        <f aca="false">IF($A153="","",MAX(0,E153-X153))</f>
        <v>0</v>
      </c>
      <c r="Z153" s="53" t="n">
        <f aca="false">IF($A153="","",Y153*C153)</f>
        <v>0</v>
      </c>
      <c r="AA153" s="56" t="str">
        <f aca="false">IF($A153="","",IF(E153&lt;=R153,"Below Safety Stock",IF(E153&lt;=S153,"Reorder Now",IF(E153&gt;X153,"Excess","Healthy"))))</f>
        <v>Healthy</v>
      </c>
      <c r="AB153" s="48" t="n">
        <f aca="false">IF($A153="","",RANK(AF153,$AF$5:$AF$504,0)+COUNTIF($AF$5:AF153,AF153)-1)</f>
        <v>142</v>
      </c>
      <c r="AC153" s="44" t="str">
        <f aca="false">IF($A153="","",Weekly_Demand!B153)</f>
        <v>LOVE HOT WATER BOTTLE</v>
      </c>
      <c r="AD153" s="59" t="n">
        <f aca="false">IF($A153="","",H153*SQRT(D153))</f>
        <v>122.496907954943</v>
      </c>
      <c r="AE153" s="53" t="n">
        <f aca="false">IF($A153="","",AD153*C153)</f>
        <v>437.313961399148</v>
      </c>
      <c r="AF153" s="53" t="n">
        <f aca="false">IF($A153="","",ROUND(J153,2))</f>
        <v>8143.17</v>
      </c>
    </row>
    <row r="154" customFormat="false" ht="15" hidden="false" customHeight="false" outlineLevel="0" collapsed="false">
      <c r="A154" s="44" t="str">
        <f aca="false">IF(Weekly_Demand!A154="","",Weekly_Demand!A154)</f>
        <v>47566B</v>
      </c>
      <c r="B154" s="44" t="str">
        <f aca="false">IF($A154="","",Weekly_Demand!C154)</f>
        <v>Other</v>
      </c>
      <c r="C154" s="45" t="n">
        <f aca="false">IF($A154="","",Weekly_Demand!D154)</f>
        <v>2.97</v>
      </c>
      <c r="D154" s="46" t="n">
        <f aca="false">IF($A154="","",Weekly_Demand!E154+Assumptions!$B$19)</f>
        <v>6</v>
      </c>
      <c r="E154" s="46" t="n">
        <f aca="false">IF($A154="","",Weekly_Demand!F154)</f>
        <v>49</v>
      </c>
      <c r="F154" s="46" t="n">
        <f aca="false">IF($A154="","",SUM(Weekly_Demand!G154:BF154))</f>
        <v>2560</v>
      </c>
      <c r="G154" s="51" t="n">
        <f aca="false">IF($A154="","",IFERROR(F154/Assumptions!$B$6,0))</f>
        <v>49.2307692307692</v>
      </c>
      <c r="H154" s="51" t="n">
        <f aca="false">IF($A154="","",STDEV(Weekly_Demand!G154:BF154))</f>
        <v>43.9623793645963</v>
      </c>
      <c r="I154" s="52" t="n">
        <f aca="false">IF($A154="","",IFERROR(H154/G154,0))</f>
        <v>0.892985830843362</v>
      </c>
      <c r="J154" s="53" t="n">
        <f aca="false">IF($A154="","",F154*C154)</f>
        <v>7603.2</v>
      </c>
      <c r="K154" s="54" t="n">
        <f aca="false">IF($A154="","",IFERROR(J154/$J$505,0))</f>
        <v>0.00196734599062658</v>
      </c>
      <c r="L154" s="54" t="n">
        <f aca="false">IF($A154="","",IFERROR(SUMIFS($J$5:$J$504,$AB$5:$AB$504,"&lt;="&amp;AB154)/$J$505,0))</f>
        <v>0.596559675425048</v>
      </c>
      <c r="M154" s="55" t="str">
        <f aca="false">IF($A154="","",IF(L154&lt;=Assumptions!$B$7,"A",IF(L154&lt;=Assumptions!$B$8,"B","C")))</f>
        <v>A</v>
      </c>
      <c r="N154" s="55" t="str">
        <f aca="false">IF($A154="","",IF(I154&lt;=Assumptions!$B$9,"X",IF(I154&lt;=Assumptions!$B$10,"Y","Z")))</f>
        <v>Y</v>
      </c>
      <c r="O154" s="56" t="str">
        <f aca="false">IF($A154="","",M154&amp;N154)</f>
        <v>AY</v>
      </c>
      <c r="P154" s="57" t="n">
        <f aca="false">IF($A154="","",INDEX(Assumptions!$B$35:$B$37,MATCH(M154,Assumptions!$A$35:$A$37,0)))</f>
        <v>0.98</v>
      </c>
      <c r="Q154" s="58" t="n">
        <f aca="false">IF($A154="","",NORMSINV(P154))</f>
        <v>2.05374891063182</v>
      </c>
      <c r="R154" s="48" t="n">
        <f aca="false">IF($A154="","",ROUNDUP(Q154*H154*SQRT(D154),0))</f>
        <v>222</v>
      </c>
      <c r="S154" s="48" t="n">
        <f aca="false">IF($A154="","",ROUNDUP(G154*D154+R154,0))</f>
        <v>518</v>
      </c>
      <c r="T154" s="46" t="n">
        <f aca="false">IF($A154="","",IFERROR(ROUND(SQRT(2*F154*Assumptions!$B$4/(Assumptions!$B$5*C154)),0),0))</f>
        <v>587</v>
      </c>
      <c r="U154" s="53" t="n">
        <f aca="false">IF($A154="","",R154*C154)</f>
        <v>659.34</v>
      </c>
      <c r="V154" s="53" t="n">
        <f aca="false">IF($A154="","",E154*C154)</f>
        <v>145.53</v>
      </c>
      <c r="W154" s="59" t="n">
        <f aca="false">IF($A154="","",IFERROR(E154/G154,0))</f>
        <v>0.9953125</v>
      </c>
      <c r="X154" s="48" t="n">
        <f aca="false">IF($A154="","",S154+T154)</f>
        <v>1105</v>
      </c>
      <c r="Y154" s="48" t="n">
        <f aca="false">IF($A154="","",MAX(0,E154-X154))</f>
        <v>0</v>
      </c>
      <c r="Z154" s="53" t="n">
        <f aca="false">IF($A154="","",Y154*C154)</f>
        <v>0</v>
      </c>
      <c r="AA154" s="56" t="str">
        <f aca="false">IF($A154="","",IF(E154&lt;=R154,"Below Safety Stock",IF(E154&lt;=S154,"Reorder Now",IF(E154&gt;X154,"Excess","Healthy"))))</f>
        <v>Below Safety Stock</v>
      </c>
      <c r="AB154" s="48" t="n">
        <f aca="false">IF($A154="","",RANK(AF154,$AF$5:$AF$504,0)+COUNTIF($AF$5:AF154,AF154)-1)</f>
        <v>157</v>
      </c>
      <c r="AC154" s="44" t="str">
        <f aca="false">IF($A154="","",Weekly_Demand!B154)</f>
        <v>TEA TIME PARTY BUNTING</v>
      </c>
      <c r="AD154" s="59" t="n">
        <f aca="false">IF($A154="","",H154*SQRT(D154))</f>
        <v>107.685397321921</v>
      </c>
      <c r="AE154" s="53" t="n">
        <f aca="false">IF($A154="","",AD154*C154)</f>
        <v>319.825630046107</v>
      </c>
      <c r="AF154" s="53" t="n">
        <f aca="false">IF($A154="","",ROUND(J154,2))</f>
        <v>7603.2</v>
      </c>
    </row>
    <row r="155" customFormat="false" ht="15" hidden="false" customHeight="false" outlineLevel="0" collapsed="false">
      <c r="A155" s="44" t="str">
        <f aca="false">IF(Weekly_Demand!A155="","",Weekly_Demand!A155)</f>
        <v>23343</v>
      </c>
      <c r="B155" s="44" t="str">
        <f aca="false">IF($A155="","",Weekly_Demand!C155)</f>
        <v>Bags</v>
      </c>
      <c r="C155" s="45" t="n">
        <f aca="false">IF($A155="","",Weekly_Demand!D155)</f>
        <v>1.248</v>
      </c>
      <c r="D155" s="46" t="n">
        <f aca="false">IF($A155="","",Weekly_Demand!E155+Assumptions!$B$19)</f>
        <v>8</v>
      </c>
      <c r="E155" s="46" t="n">
        <f aca="false">IF($A155="","",Weekly_Demand!F155)</f>
        <v>850</v>
      </c>
      <c r="F155" s="46" t="n">
        <f aca="false">IF($A155="","",SUM(Weekly_Demand!G155:BF155))</f>
        <v>5526</v>
      </c>
      <c r="G155" s="51" t="n">
        <f aca="false">IF($A155="","",IFERROR(F155/Assumptions!$B$6,0))</f>
        <v>106.269230769231</v>
      </c>
      <c r="H155" s="51" t="n">
        <f aca="false">IF($A155="","",STDEV(Weekly_Demand!G155:BF155))</f>
        <v>187.362092069059</v>
      </c>
      <c r="I155" s="52" t="n">
        <f aca="false">IF($A155="","",IFERROR(H155/G155,0))</f>
        <v>1.76308881425825</v>
      </c>
      <c r="J155" s="53" t="n">
        <f aca="false">IF($A155="","",F155*C155)</f>
        <v>6896.448</v>
      </c>
      <c r="K155" s="54" t="n">
        <f aca="false">IF($A155="","",IFERROR(J155/$J$505,0))</f>
        <v>0.00178447223831606</v>
      </c>
      <c r="L155" s="54" t="n">
        <f aca="false">IF($A155="","",IFERROR(SUMIFS($J$5:$J$504,$AB$5:$AB$504,"&lt;="&amp;AB155)/$J$505,0))</f>
        <v>0.645196348046315</v>
      </c>
      <c r="M155" s="55" t="str">
        <f aca="false">IF($A155="","",IF(L155&lt;=Assumptions!$B$7,"A",IF(L155&lt;=Assumptions!$B$8,"B","C")))</f>
        <v>A</v>
      </c>
      <c r="N155" s="55" t="str">
        <f aca="false">IF($A155="","",IF(I155&lt;=Assumptions!$B$9,"X",IF(I155&lt;=Assumptions!$B$10,"Y","Z")))</f>
        <v>Z</v>
      </c>
      <c r="O155" s="56" t="str">
        <f aca="false">IF($A155="","",M155&amp;N155)</f>
        <v>AZ</v>
      </c>
      <c r="P155" s="57" t="n">
        <f aca="false">IF($A155="","",INDEX(Assumptions!$B$35:$B$37,MATCH(M155,Assumptions!$A$35:$A$37,0)))</f>
        <v>0.98</v>
      </c>
      <c r="Q155" s="58" t="n">
        <f aca="false">IF($A155="","",NORMSINV(P155))</f>
        <v>2.05374891063182</v>
      </c>
      <c r="R155" s="48" t="n">
        <f aca="false">IF($A155="","",ROUNDUP(Q155*H155*SQRT(D155),0))</f>
        <v>1089</v>
      </c>
      <c r="S155" s="48" t="n">
        <f aca="false">IF($A155="","",ROUNDUP(G155*D155+R155,0))</f>
        <v>1940</v>
      </c>
      <c r="T155" s="46" t="n">
        <f aca="false">IF($A155="","",IFERROR(ROUND(SQRT(2*F155*Assumptions!$B$4/(Assumptions!$B$5*C155)),0),0))</f>
        <v>1331</v>
      </c>
      <c r="U155" s="53" t="n">
        <f aca="false">IF($A155="","",R155*C155)</f>
        <v>1359.072</v>
      </c>
      <c r="V155" s="53" t="n">
        <f aca="false">IF($A155="","",E155*C155)</f>
        <v>1060.8</v>
      </c>
      <c r="W155" s="59" t="n">
        <f aca="false">IF($A155="","",IFERROR(E155/G155,0))</f>
        <v>7.99855229822657</v>
      </c>
      <c r="X155" s="48" t="n">
        <f aca="false">IF($A155="","",S155+T155)</f>
        <v>3271</v>
      </c>
      <c r="Y155" s="48" t="n">
        <f aca="false">IF($A155="","",MAX(0,E155-X155))</f>
        <v>0</v>
      </c>
      <c r="Z155" s="53" t="n">
        <f aca="false">IF($A155="","",Y155*C155)</f>
        <v>0</v>
      </c>
      <c r="AA155" s="56" t="str">
        <f aca="false">IF($A155="","",IF(E155&lt;=R155,"Below Safety Stock",IF(E155&lt;=S155,"Reorder Now",IF(E155&gt;X155,"Excess","Healthy"))))</f>
        <v>Below Safety Stock</v>
      </c>
      <c r="AB155" s="48" t="n">
        <f aca="false">IF($A155="","",RANK(AF155,$AF$5:$AF$504,0)+COUNTIF($AF$5:AF155,AF155)-1)</f>
        <v>183</v>
      </c>
      <c r="AC155" s="44" t="str">
        <f aca="false">IF($A155="","",Weekly_Demand!B155)</f>
        <v>JUMBO BAG VINTAGE CHRISTMAS</v>
      </c>
      <c r="AD155" s="59" t="n">
        <f aca="false">IF($A155="","",H155*SQRT(D155))</f>
        <v>529.940023357321</v>
      </c>
      <c r="AE155" s="53" t="n">
        <f aca="false">IF($A155="","",AD155*C155)</f>
        <v>661.365149149937</v>
      </c>
      <c r="AF155" s="53" t="n">
        <f aca="false">IF($A155="","",ROUND(J155,2))</f>
        <v>6896.45</v>
      </c>
    </row>
    <row r="156" customFormat="false" ht="15" hidden="false" customHeight="false" outlineLevel="0" collapsed="false">
      <c r="A156" s="44" t="str">
        <f aca="false">IF(Weekly_Demand!A156="","",Weekly_Demand!A156)</f>
        <v>22776</v>
      </c>
      <c r="B156" s="44" t="str">
        <f aca="false">IF($A156="","",Weekly_Demand!C156)</f>
        <v>Kitchen</v>
      </c>
      <c r="C156" s="45" t="n">
        <f aca="false">IF($A156="","",Weekly_Demand!D156)</f>
        <v>5.97</v>
      </c>
      <c r="D156" s="46" t="n">
        <f aca="false">IF($A156="","",Weekly_Demand!E156+Assumptions!$B$19)</f>
        <v>2</v>
      </c>
      <c r="E156" s="46" t="n">
        <f aca="false">IF($A156="","",Weekly_Demand!F156)</f>
        <v>164</v>
      </c>
      <c r="F156" s="46" t="n">
        <f aca="false">IF($A156="","",SUM(Weekly_Demand!G156:BF156))</f>
        <v>1216</v>
      </c>
      <c r="G156" s="51" t="n">
        <f aca="false">IF($A156="","",IFERROR(F156/Assumptions!$B$6,0))</f>
        <v>23.3846153846154</v>
      </c>
      <c r="H156" s="51" t="n">
        <f aca="false">IF($A156="","",STDEV(Weekly_Demand!G156:BF156))</f>
        <v>13.2445384173397</v>
      </c>
      <c r="I156" s="52" t="n">
        <f aca="false">IF($A156="","",IFERROR(H156/G156,0))</f>
        <v>0.566378287583604</v>
      </c>
      <c r="J156" s="53" t="n">
        <f aca="false">IF($A156="","",F156*C156)</f>
        <v>7259.52</v>
      </c>
      <c r="K156" s="54" t="n">
        <f aca="false">IF($A156="","",IFERROR(J156/$J$505,0))</f>
        <v>0.00187841797741391</v>
      </c>
      <c r="L156" s="54" t="n">
        <f aca="false">IF($A156="","",IFERROR(SUMIFS($J$5:$J$504,$AB$5:$AB$504,"&lt;="&amp;AB156)/$J$505,0))</f>
        <v>0.619694659798131</v>
      </c>
      <c r="M156" s="55" t="str">
        <f aca="false">IF($A156="","",IF(L156&lt;=Assumptions!$B$7,"A",IF(L156&lt;=Assumptions!$B$8,"B","C")))</f>
        <v>A</v>
      </c>
      <c r="N156" s="55" t="str">
        <f aca="false">IF($A156="","",IF(I156&lt;=Assumptions!$B$9,"X",IF(I156&lt;=Assumptions!$B$10,"Y","Z")))</f>
        <v>Y</v>
      </c>
      <c r="O156" s="56" t="str">
        <f aca="false">IF($A156="","",M156&amp;N156)</f>
        <v>AY</v>
      </c>
      <c r="P156" s="57" t="n">
        <f aca="false">IF($A156="","",INDEX(Assumptions!$B$35:$B$37,MATCH(M156,Assumptions!$A$35:$A$37,0)))</f>
        <v>0.98</v>
      </c>
      <c r="Q156" s="58" t="n">
        <f aca="false">IF($A156="","",NORMSINV(P156))</f>
        <v>2.05374891063182</v>
      </c>
      <c r="R156" s="48" t="n">
        <f aca="false">IF($A156="","",ROUNDUP(Q156*H156*SQRT(D156),0))</f>
        <v>39</v>
      </c>
      <c r="S156" s="48" t="n">
        <f aca="false">IF($A156="","",ROUNDUP(G156*D156+R156,0))</f>
        <v>86</v>
      </c>
      <c r="T156" s="46" t="n">
        <f aca="false">IF($A156="","",IFERROR(ROUND(SQRT(2*F156*Assumptions!$B$4/(Assumptions!$B$5*C156)),0),0))</f>
        <v>285</v>
      </c>
      <c r="U156" s="53" t="n">
        <f aca="false">IF($A156="","",R156*C156)</f>
        <v>232.83</v>
      </c>
      <c r="V156" s="53" t="n">
        <f aca="false">IF($A156="","",E156*C156)</f>
        <v>979.08</v>
      </c>
      <c r="W156" s="59" t="n">
        <f aca="false">IF($A156="","",IFERROR(E156/G156,0))</f>
        <v>7.01315789473684</v>
      </c>
      <c r="X156" s="48" t="n">
        <f aca="false">IF($A156="","",S156+T156)</f>
        <v>371</v>
      </c>
      <c r="Y156" s="48" t="n">
        <f aca="false">IF($A156="","",MAX(0,E156-X156))</f>
        <v>0</v>
      </c>
      <c r="Z156" s="53" t="n">
        <f aca="false">IF($A156="","",Y156*C156)</f>
        <v>0</v>
      </c>
      <c r="AA156" s="56" t="str">
        <f aca="false">IF($A156="","",IF(E156&lt;=R156,"Below Safety Stock",IF(E156&lt;=S156,"Reorder Now",IF(E156&gt;X156,"Excess","Healthy"))))</f>
        <v>Healthy</v>
      </c>
      <c r="AB156" s="48" t="n">
        <f aca="false">IF($A156="","",RANK(AF156,$AF$5:$AF$504,0)+COUNTIF($AF$5:AF156,AF156)-1)</f>
        <v>169</v>
      </c>
      <c r="AC156" s="44" t="str">
        <f aca="false">IF($A156="","",Weekly_Demand!B156)</f>
        <v>SWEETHEART CAKESTAND 3 TIER</v>
      </c>
      <c r="AD156" s="59" t="n">
        <f aca="false">IF($A156="","",H156*SQRT(D156))</f>
        <v>18.7306058571732</v>
      </c>
      <c r="AE156" s="53" t="n">
        <f aca="false">IF($A156="","",AD156*C156)</f>
        <v>111.821716967324</v>
      </c>
      <c r="AF156" s="53" t="n">
        <f aca="false">IF($A156="","",ROUND(J156,2))</f>
        <v>7259.52</v>
      </c>
    </row>
    <row r="157" customFormat="false" ht="15" hidden="false" customHeight="false" outlineLevel="0" collapsed="false">
      <c r="A157" s="44" t="str">
        <f aca="false">IF(Weekly_Demand!A157="","",Weekly_Demand!A157)</f>
        <v>22499</v>
      </c>
      <c r="B157" s="44" t="str">
        <f aca="false">IF($A157="","",Weekly_Demand!C157)</f>
        <v>Other</v>
      </c>
      <c r="C157" s="45" t="n">
        <f aca="false">IF($A157="","",Weekly_Demand!D157)</f>
        <v>3.57</v>
      </c>
      <c r="D157" s="46" t="n">
        <f aca="false">IF($A157="","",Weekly_Demand!E157+Assumptions!$B$19)</f>
        <v>8</v>
      </c>
      <c r="E157" s="46" t="n">
        <f aca="false">IF($A157="","",Weekly_Demand!F157)</f>
        <v>120</v>
      </c>
      <c r="F157" s="46" t="n">
        <f aca="false">IF($A157="","",SUM(Weekly_Demand!G157:BF157))</f>
        <v>2073</v>
      </c>
      <c r="G157" s="51" t="n">
        <f aca="false">IF($A157="","",IFERROR(F157/Assumptions!$B$6,0))</f>
        <v>39.8653846153846</v>
      </c>
      <c r="H157" s="51" t="n">
        <f aca="false">IF($A157="","",STDEV(Weekly_Demand!G157:BF157))</f>
        <v>55.1952075378224</v>
      </c>
      <c r="I157" s="52" t="n">
        <f aca="false">IF($A157="","",IFERROR(H157/G157,0))</f>
        <v>1.38453969704137</v>
      </c>
      <c r="J157" s="53" t="n">
        <f aca="false">IF($A157="","",F157*C157)</f>
        <v>7400.61</v>
      </c>
      <c r="K157" s="54" t="n">
        <f aca="false">IF($A157="","",IFERROR(J157/$J$505,0))</f>
        <v>0.00191492534875986</v>
      </c>
      <c r="L157" s="54" t="n">
        <f aca="false">IF($A157="","",IFERROR(SUMIFS($J$5:$J$504,$AB$5:$AB$504,"&lt;="&amp;AB157)/$J$505,0))</f>
        <v>0.612113802836593</v>
      </c>
      <c r="M157" s="55" t="str">
        <f aca="false">IF($A157="","",IF(L157&lt;=Assumptions!$B$7,"A",IF(L157&lt;=Assumptions!$B$8,"B","C")))</f>
        <v>A</v>
      </c>
      <c r="N157" s="55" t="str">
        <f aca="false">IF($A157="","",IF(I157&lt;=Assumptions!$B$9,"X",IF(I157&lt;=Assumptions!$B$10,"Y","Z")))</f>
        <v>Z</v>
      </c>
      <c r="O157" s="56" t="str">
        <f aca="false">IF($A157="","",M157&amp;N157)</f>
        <v>AZ</v>
      </c>
      <c r="P157" s="57" t="n">
        <f aca="false">IF($A157="","",INDEX(Assumptions!$B$35:$B$37,MATCH(M157,Assumptions!$A$35:$A$37,0)))</f>
        <v>0.98</v>
      </c>
      <c r="Q157" s="58" t="n">
        <f aca="false">IF($A157="","",NORMSINV(P157))</f>
        <v>2.05374891063182</v>
      </c>
      <c r="R157" s="48" t="n">
        <f aca="false">IF($A157="","",ROUNDUP(Q157*H157*SQRT(D157),0))</f>
        <v>321</v>
      </c>
      <c r="S157" s="48" t="n">
        <f aca="false">IF($A157="","",ROUNDUP(G157*D157+R157,0))</f>
        <v>640</v>
      </c>
      <c r="T157" s="46" t="n">
        <f aca="false">IF($A157="","",IFERROR(ROUND(SQRT(2*F157*Assumptions!$B$4/(Assumptions!$B$5*C157)),0),0))</f>
        <v>482</v>
      </c>
      <c r="U157" s="53" t="n">
        <f aca="false">IF($A157="","",R157*C157)</f>
        <v>1145.97</v>
      </c>
      <c r="V157" s="53" t="n">
        <f aca="false">IF($A157="","",E157*C157)</f>
        <v>428.4</v>
      </c>
      <c r="W157" s="59" t="n">
        <f aca="false">IF($A157="","",IFERROR(E157/G157,0))</f>
        <v>3.01013024602026</v>
      </c>
      <c r="X157" s="48" t="n">
        <f aca="false">IF($A157="","",S157+T157)</f>
        <v>1122</v>
      </c>
      <c r="Y157" s="48" t="n">
        <f aca="false">IF($A157="","",MAX(0,E157-X157))</f>
        <v>0</v>
      </c>
      <c r="Z157" s="53" t="n">
        <f aca="false">IF($A157="","",Y157*C157)</f>
        <v>0</v>
      </c>
      <c r="AA157" s="56" t="str">
        <f aca="false">IF($A157="","",IF(E157&lt;=R157,"Below Safety Stock",IF(E157&lt;=S157,"Reorder Now",IF(E157&gt;X157,"Excess","Healthy"))))</f>
        <v>Below Safety Stock</v>
      </c>
      <c r="AB157" s="48" t="n">
        <f aca="false">IF($A157="","",RANK(AF157,$AF$5:$AF$504,0)+COUNTIF($AF$5:AF157,AF157)-1)</f>
        <v>165</v>
      </c>
      <c r="AC157" s="44" t="str">
        <f aca="false">IF($A157="","",Weekly_Demand!B157)</f>
        <v>WOODEN UNION JACK BUNTING</v>
      </c>
      <c r="AD157" s="59" t="n">
        <f aca="false">IF($A157="","",H157*SQRT(D157))</f>
        <v>156.115622155972</v>
      </c>
      <c r="AE157" s="53" t="n">
        <f aca="false">IF($A157="","",AD157*C157)</f>
        <v>557.332771096821</v>
      </c>
      <c r="AF157" s="53" t="n">
        <f aca="false">IF($A157="","",ROUND(J157,2))</f>
        <v>7400.61</v>
      </c>
    </row>
    <row r="158" customFormat="false" ht="15" hidden="false" customHeight="false" outlineLevel="0" collapsed="false">
      <c r="A158" s="44" t="str">
        <f aca="false">IF(Weekly_Demand!A158="","",Weekly_Demand!A158)</f>
        <v>22558</v>
      </c>
      <c r="B158" s="44" t="str">
        <f aca="false">IF($A158="","",Weekly_Demand!C158)</f>
        <v>Other</v>
      </c>
      <c r="C158" s="45" t="n">
        <f aca="false">IF($A158="","",Weekly_Demand!D158)</f>
        <v>0.99</v>
      </c>
      <c r="D158" s="46" t="n">
        <f aca="false">IF($A158="","",Weekly_Demand!E158+Assumptions!$B$19)</f>
        <v>6</v>
      </c>
      <c r="E158" s="46" t="n">
        <f aca="false">IF($A158="","",Weekly_Demand!F158)</f>
        <v>316</v>
      </c>
      <c r="F158" s="46" t="n">
        <f aca="false">IF($A158="","",SUM(Weekly_Demand!G158:BF158))</f>
        <v>8226</v>
      </c>
      <c r="G158" s="51" t="n">
        <f aca="false">IF($A158="","",IFERROR(F158/Assumptions!$B$6,0))</f>
        <v>158.192307692308</v>
      </c>
      <c r="H158" s="51" t="n">
        <f aca="false">IF($A158="","",STDEV(Weekly_Demand!G158:BF158))</f>
        <v>98.7730689781099</v>
      </c>
      <c r="I158" s="52" t="n">
        <f aca="false">IF($A158="","",IFERROR(H158/G158,0))</f>
        <v>0.624386042652773</v>
      </c>
      <c r="J158" s="53" t="n">
        <f aca="false">IF($A158="","",F158*C158)</f>
        <v>8143.74</v>
      </c>
      <c r="K158" s="54" t="n">
        <f aca="false">IF($A158="","",IFERROR(J158/$J$505,0))</f>
        <v>0.00210721199464768</v>
      </c>
      <c r="L158" s="54" t="n">
        <f aca="false">IF($A158="","",IFERROR(SUMIFS($J$5:$J$504,$AB$5:$AB$504,"&lt;="&amp;AB158)/$J$505,0))</f>
        <v>0.564185269200986</v>
      </c>
      <c r="M158" s="55" t="str">
        <f aca="false">IF($A158="","",IF(L158&lt;=Assumptions!$B$7,"A",IF(L158&lt;=Assumptions!$B$8,"B","C")))</f>
        <v>A</v>
      </c>
      <c r="N158" s="55" t="str">
        <f aca="false">IF($A158="","",IF(I158&lt;=Assumptions!$B$9,"X",IF(I158&lt;=Assumptions!$B$10,"Y","Z")))</f>
        <v>Y</v>
      </c>
      <c r="O158" s="56" t="str">
        <f aca="false">IF($A158="","",M158&amp;N158)</f>
        <v>AY</v>
      </c>
      <c r="P158" s="57" t="n">
        <f aca="false">IF($A158="","",INDEX(Assumptions!$B$35:$B$37,MATCH(M158,Assumptions!$A$35:$A$37,0)))</f>
        <v>0.98</v>
      </c>
      <c r="Q158" s="58" t="n">
        <f aca="false">IF($A158="","",NORMSINV(P158))</f>
        <v>2.05374891063182</v>
      </c>
      <c r="R158" s="48" t="n">
        <f aca="false">IF($A158="","",ROUNDUP(Q158*H158*SQRT(D158),0))</f>
        <v>497</v>
      </c>
      <c r="S158" s="48" t="n">
        <f aca="false">IF($A158="","",ROUNDUP(G158*D158+R158,0))</f>
        <v>1447</v>
      </c>
      <c r="T158" s="46" t="n">
        <f aca="false">IF($A158="","",IFERROR(ROUND(SQRT(2*F158*Assumptions!$B$4/(Assumptions!$B$5*C158)),0),0))</f>
        <v>1823</v>
      </c>
      <c r="U158" s="53" t="n">
        <f aca="false">IF($A158="","",R158*C158)</f>
        <v>492.03</v>
      </c>
      <c r="V158" s="53" t="n">
        <f aca="false">IF($A158="","",E158*C158)</f>
        <v>312.84</v>
      </c>
      <c r="W158" s="59" t="n">
        <f aca="false">IF($A158="","",IFERROR(E158/G158,0))</f>
        <v>1.9975686846584</v>
      </c>
      <c r="X158" s="48" t="n">
        <f aca="false">IF($A158="","",S158+T158)</f>
        <v>3270</v>
      </c>
      <c r="Y158" s="48" t="n">
        <f aca="false">IF($A158="","",MAX(0,E158-X158))</f>
        <v>0</v>
      </c>
      <c r="Z158" s="53" t="n">
        <f aca="false">IF($A158="","",Y158*C158)</f>
        <v>0</v>
      </c>
      <c r="AA158" s="56" t="str">
        <f aca="false">IF($A158="","",IF(E158&lt;=R158,"Below Safety Stock",IF(E158&lt;=S158,"Reorder Now",IF(E158&gt;X158,"Excess","Healthy"))))</f>
        <v>Below Safety Stock</v>
      </c>
      <c r="AB158" s="48" t="n">
        <f aca="false">IF($A158="","",RANK(AF158,$AF$5:$AF$504,0)+COUNTIF($AF$5:AF158,AF158)-1)</f>
        <v>141</v>
      </c>
      <c r="AC158" s="44" t="str">
        <f aca="false">IF($A158="","",Weekly_Demand!B158)</f>
        <v>CLOTHES PEGS RETROSPOT PACK 24</v>
      </c>
      <c r="AD158" s="59" t="n">
        <f aca="false">IF($A158="","",H158*SQRT(D158))</f>
        <v>241.943619325095</v>
      </c>
      <c r="AE158" s="53" t="n">
        <f aca="false">IF($A158="","",AD158*C158)</f>
        <v>239.524183131844</v>
      </c>
      <c r="AF158" s="53" t="n">
        <f aca="false">IF($A158="","",ROUND(J158,2))</f>
        <v>8143.74</v>
      </c>
    </row>
    <row r="159" customFormat="false" ht="15" hidden="false" customHeight="false" outlineLevel="0" collapsed="false">
      <c r="A159" s="44" t="str">
        <f aca="false">IF(Weekly_Demand!A159="","",Weekly_Demand!A159)</f>
        <v>22427</v>
      </c>
      <c r="B159" s="44" t="str">
        <f aca="false">IF($A159="","",Weekly_Demand!C159)</f>
        <v>Other</v>
      </c>
      <c r="C159" s="45" t="n">
        <f aca="false">IF($A159="","",Weekly_Demand!D159)</f>
        <v>3.57</v>
      </c>
      <c r="D159" s="46" t="n">
        <f aca="false">IF($A159="","",Weekly_Demand!E159+Assumptions!$B$19)</f>
        <v>8</v>
      </c>
      <c r="E159" s="46" t="n">
        <f aca="false">IF($A159="","",Weekly_Demand!F159)</f>
        <v>645</v>
      </c>
      <c r="F159" s="46" t="n">
        <f aca="false">IF($A159="","",SUM(Weekly_Demand!G159:BF159))</f>
        <v>2097</v>
      </c>
      <c r="G159" s="51" t="n">
        <f aca="false">IF($A159="","",IFERROR(F159/Assumptions!$B$6,0))</f>
        <v>40.3269230769231</v>
      </c>
      <c r="H159" s="51" t="n">
        <f aca="false">IF($A159="","",STDEV(Weekly_Demand!G159:BF159))</f>
        <v>30.452612595249</v>
      </c>
      <c r="I159" s="52" t="n">
        <f aca="false">IF($A159="","",IFERROR(H159/G159,0))</f>
        <v>0.755143469219337</v>
      </c>
      <c r="J159" s="53" t="n">
        <f aca="false">IF($A159="","",F159*C159)</f>
        <v>7486.29</v>
      </c>
      <c r="K159" s="54" t="n">
        <f aca="false">IF($A159="","",IFERROR(J159/$J$505,0))</f>
        <v>0.00193709525149514</v>
      </c>
      <c r="L159" s="54" t="n">
        <f aca="false">IF($A159="","",IFERROR(SUMIFS($J$5:$J$504,$AB$5:$AB$504,"&lt;="&amp;AB159)/$J$505,0))</f>
        <v>0.608271819240623</v>
      </c>
      <c r="M159" s="55" t="str">
        <f aca="false">IF($A159="","",IF(L159&lt;=Assumptions!$B$7,"A",IF(L159&lt;=Assumptions!$B$8,"B","C")))</f>
        <v>A</v>
      </c>
      <c r="N159" s="55" t="str">
        <f aca="false">IF($A159="","",IF(I159&lt;=Assumptions!$B$9,"X",IF(I159&lt;=Assumptions!$B$10,"Y","Z")))</f>
        <v>Y</v>
      </c>
      <c r="O159" s="56" t="str">
        <f aca="false">IF($A159="","",M159&amp;N159)</f>
        <v>AY</v>
      </c>
      <c r="P159" s="57" t="n">
        <f aca="false">IF($A159="","",INDEX(Assumptions!$B$35:$B$37,MATCH(M159,Assumptions!$A$35:$A$37,0)))</f>
        <v>0.98</v>
      </c>
      <c r="Q159" s="58" t="n">
        <f aca="false">IF($A159="","",NORMSINV(P159))</f>
        <v>2.05374891063182</v>
      </c>
      <c r="R159" s="48" t="n">
        <f aca="false">IF($A159="","",ROUNDUP(Q159*H159*SQRT(D159),0))</f>
        <v>177</v>
      </c>
      <c r="S159" s="48" t="n">
        <f aca="false">IF($A159="","",ROUNDUP(G159*D159+R159,0))</f>
        <v>500</v>
      </c>
      <c r="T159" s="46" t="n">
        <f aca="false">IF($A159="","",IFERROR(ROUND(SQRT(2*F159*Assumptions!$B$4/(Assumptions!$B$5*C159)),0),0))</f>
        <v>485</v>
      </c>
      <c r="U159" s="53" t="n">
        <f aca="false">IF($A159="","",R159*C159)</f>
        <v>631.89</v>
      </c>
      <c r="V159" s="53" t="n">
        <f aca="false">IF($A159="","",E159*C159)</f>
        <v>2302.65</v>
      </c>
      <c r="W159" s="59" t="n">
        <f aca="false">IF($A159="","",IFERROR(E159/G159,0))</f>
        <v>15.9942775393419</v>
      </c>
      <c r="X159" s="48" t="n">
        <f aca="false">IF($A159="","",S159+T159)</f>
        <v>985</v>
      </c>
      <c r="Y159" s="48" t="n">
        <f aca="false">IF($A159="","",MAX(0,E159-X159))</f>
        <v>0</v>
      </c>
      <c r="Z159" s="53" t="n">
        <f aca="false">IF($A159="","",Y159*C159)</f>
        <v>0</v>
      </c>
      <c r="AA159" s="56" t="str">
        <f aca="false">IF($A159="","",IF(E159&lt;=R159,"Below Safety Stock",IF(E159&lt;=S159,"Reorder Now",IF(E159&gt;X159,"Excess","Healthy"))))</f>
        <v>Healthy</v>
      </c>
      <c r="AB159" s="48" t="n">
        <f aca="false">IF($A159="","",RANK(AF159,$AF$5:$AF$504,0)+COUNTIF($AF$5:AF159,AF159)-1)</f>
        <v>163</v>
      </c>
      <c r="AC159" s="44" t="str">
        <f aca="false">IF($A159="","",Weekly_Demand!B159)</f>
        <v>ENAMEL FLOWER JUG CREAM</v>
      </c>
      <c r="AD159" s="59" t="n">
        <f aca="false">IF($A159="","",H159*SQRT(D159))</f>
        <v>86.1329954837898</v>
      </c>
      <c r="AE159" s="53" t="n">
        <f aca="false">IF($A159="","",AD159*C159)</f>
        <v>307.49479387713</v>
      </c>
      <c r="AF159" s="53" t="n">
        <f aca="false">IF($A159="","",ROUND(J159,2))</f>
        <v>7486.29</v>
      </c>
    </row>
    <row r="160" customFormat="false" ht="15" hidden="false" customHeight="false" outlineLevel="0" collapsed="false">
      <c r="A160" s="44" t="str">
        <f aca="false">IF(Weekly_Demand!A160="","",Weekly_Demand!A160)</f>
        <v>82600</v>
      </c>
      <c r="B160" s="44" t="str">
        <f aca="false">IF($A160="","",Weekly_Demand!C160)</f>
        <v>Other</v>
      </c>
      <c r="C160" s="45" t="n">
        <f aca="false">IF($A160="","",Weekly_Demand!D160)</f>
        <v>1.26</v>
      </c>
      <c r="D160" s="46" t="n">
        <f aca="false">IF($A160="","",Weekly_Demand!E160+Assumptions!$B$19)</f>
        <v>2</v>
      </c>
      <c r="E160" s="46" t="n">
        <f aca="false">IF($A160="","",Weekly_Demand!F160)</f>
        <v>667</v>
      </c>
      <c r="F160" s="46" t="n">
        <f aca="false">IF($A160="","",SUM(Weekly_Demand!G160:BF160))</f>
        <v>5781</v>
      </c>
      <c r="G160" s="51" t="n">
        <f aca="false">IF($A160="","",IFERROR(F160/Assumptions!$B$6,0))</f>
        <v>111.173076923077</v>
      </c>
      <c r="H160" s="51" t="n">
        <f aca="false">IF($A160="","",STDEV(Weekly_Demand!G160:BF160))</f>
        <v>160.813217820057</v>
      </c>
      <c r="I160" s="52" t="n">
        <f aca="false">IF($A160="","",IFERROR(H160/G160,0))</f>
        <v>1.4465122516248</v>
      </c>
      <c r="J160" s="53" t="n">
        <f aca="false">IF($A160="","",F160*C160)</f>
        <v>7284.06</v>
      </c>
      <c r="K160" s="54" t="n">
        <f aca="false">IF($A160="","",IFERROR(J160/$J$505,0))</f>
        <v>0.00188476776048025</v>
      </c>
      <c r="L160" s="54" t="n">
        <f aca="false">IF($A160="","",IFERROR(SUMIFS($J$5:$J$504,$AB$5:$AB$504,"&lt;="&amp;AB160)/$J$505,0))</f>
        <v>0.617816241820717</v>
      </c>
      <c r="M160" s="55" t="str">
        <f aca="false">IF($A160="","",IF(L160&lt;=Assumptions!$B$7,"A",IF(L160&lt;=Assumptions!$B$8,"B","C")))</f>
        <v>A</v>
      </c>
      <c r="N160" s="55" t="str">
        <f aca="false">IF($A160="","",IF(I160&lt;=Assumptions!$B$9,"X",IF(I160&lt;=Assumptions!$B$10,"Y","Z")))</f>
        <v>Z</v>
      </c>
      <c r="O160" s="56" t="str">
        <f aca="false">IF($A160="","",M160&amp;N160)</f>
        <v>AZ</v>
      </c>
      <c r="P160" s="57" t="n">
        <f aca="false">IF($A160="","",INDEX(Assumptions!$B$35:$B$37,MATCH(M160,Assumptions!$A$35:$A$37,0)))</f>
        <v>0.98</v>
      </c>
      <c r="Q160" s="58" t="n">
        <f aca="false">IF($A160="","",NORMSINV(P160))</f>
        <v>2.05374891063182</v>
      </c>
      <c r="R160" s="48" t="n">
        <f aca="false">IF($A160="","",ROUNDUP(Q160*H160*SQRT(D160),0))</f>
        <v>468</v>
      </c>
      <c r="S160" s="48" t="n">
        <f aca="false">IF($A160="","",ROUNDUP(G160*D160+R160,0))</f>
        <v>691</v>
      </c>
      <c r="T160" s="46" t="n">
        <f aca="false">IF($A160="","",IFERROR(ROUND(SQRT(2*F160*Assumptions!$B$4/(Assumptions!$B$5*C160)),0),0))</f>
        <v>1355</v>
      </c>
      <c r="U160" s="53" t="n">
        <f aca="false">IF($A160="","",R160*C160)</f>
        <v>589.68</v>
      </c>
      <c r="V160" s="53" t="n">
        <f aca="false">IF($A160="","",E160*C160)</f>
        <v>840.42</v>
      </c>
      <c r="W160" s="59" t="n">
        <f aca="false">IF($A160="","",IFERROR(E160/G160,0))</f>
        <v>5.99965403909358</v>
      </c>
      <c r="X160" s="48" t="n">
        <f aca="false">IF($A160="","",S160+T160)</f>
        <v>2046</v>
      </c>
      <c r="Y160" s="48" t="n">
        <f aca="false">IF($A160="","",MAX(0,E160-X160))</f>
        <v>0</v>
      </c>
      <c r="Z160" s="53" t="n">
        <f aca="false">IF($A160="","",Y160*C160)</f>
        <v>0</v>
      </c>
      <c r="AA160" s="56" t="str">
        <f aca="false">IF($A160="","",IF(E160&lt;=R160,"Below Safety Stock",IF(E160&lt;=S160,"Reorder Now",IF(E160&gt;X160,"Excess","Healthy"))))</f>
        <v>Reorder Now</v>
      </c>
      <c r="AB160" s="48" t="n">
        <f aca="false">IF($A160="","",RANK(AF160,$AF$5:$AF$504,0)+COUNTIF($AF$5:AF160,AF160)-1)</f>
        <v>168</v>
      </c>
      <c r="AC160" s="44" t="str">
        <f aca="false">IF($A160="","",Weekly_Demand!B160)</f>
        <v>NO SINGING METAL SIGN</v>
      </c>
      <c r="AD160" s="59" t="n">
        <f aca="false">IF($A160="","",H160*SQRT(D160))</f>
        <v>227.424233649983</v>
      </c>
      <c r="AE160" s="53" t="n">
        <f aca="false">IF($A160="","",AD160*C160)</f>
        <v>286.554534398979</v>
      </c>
      <c r="AF160" s="53" t="n">
        <f aca="false">IF($A160="","",ROUND(J160,2))</f>
        <v>7284.06</v>
      </c>
    </row>
    <row r="161" customFormat="false" ht="15" hidden="false" customHeight="false" outlineLevel="0" collapsed="false">
      <c r="A161" s="44" t="str">
        <f aca="false">IF(Weekly_Demand!A161="","",Weekly_Demand!A161)</f>
        <v>22607</v>
      </c>
      <c r="B161" s="44" t="str">
        <f aca="false">IF($A161="","",Weekly_Demand!C161)</f>
        <v>Other</v>
      </c>
      <c r="C161" s="45" t="n">
        <f aca="false">IF($A161="","",Weekly_Demand!D161)</f>
        <v>5.97</v>
      </c>
      <c r="D161" s="46" t="n">
        <f aca="false">IF($A161="","",Weekly_Demand!E161+Assumptions!$B$19)</f>
        <v>8</v>
      </c>
      <c r="E161" s="46" t="n">
        <f aca="false">IF($A161="","",Weekly_Demand!F161)</f>
        <v>75</v>
      </c>
      <c r="F161" s="46" t="n">
        <f aca="false">IF($A161="","",SUM(Weekly_Demand!G161:BF161))</f>
        <v>1303</v>
      </c>
      <c r="G161" s="51" t="n">
        <f aca="false">IF($A161="","",IFERROR(F161/Assumptions!$B$6,0))</f>
        <v>25.0576923076923</v>
      </c>
      <c r="H161" s="51" t="n">
        <f aca="false">IF($A161="","",STDEV(Weekly_Demand!G161:BF161))</f>
        <v>31.3634065911455</v>
      </c>
      <c r="I161" s="52" t="n">
        <f aca="false">IF($A161="","",IFERROR(H161/G161,0))</f>
        <v>1.25164784554073</v>
      </c>
      <c r="J161" s="53" t="n">
        <f aca="false">IF($A161="","",F161*C161)</f>
        <v>7778.91</v>
      </c>
      <c r="K161" s="54" t="n">
        <f aca="false">IF($A161="","",IFERROR(J161/$J$505,0))</f>
        <v>0.00201281136889007</v>
      </c>
      <c r="L161" s="54" t="n">
        <f aca="false">IF($A161="","",IFERROR(SUMIFS($J$5:$J$504,$AB$5:$AB$504,"&lt;="&amp;AB161)/$J$505,0))</f>
        <v>0.582705793251594</v>
      </c>
      <c r="M161" s="55" t="str">
        <f aca="false">IF($A161="","",IF(L161&lt;=Assumptions!$B$7,"A",IF(L161&lt;=Assumptions!$B$8,"B","C")))</f>
        <v>A</v>
      </c>
      <c r="N161" s="55" t="str">
        <f aca="false">IF($A161="","",IF(I161&lt;=Assumptions!$B$9,"X",IF(I161&lt;=Assumptions!$B$10,"Y","Z")))</f>
        <v>Z</v>
      </c>
      <c r="O161" s="56" t="str">
        <f aca="false">IF($A161="","",M161&amp;N161)</f>
        <v>AZ</v>
      </c>
      <c r="P161" s="57" t="n">
        <f aca="false">IF($A161="","",INDEX(Assumptions!$B$35:$B$37,MATCH(M161,Assumptions!$A$35:$A$37,0)))</f>
        <v>0.98</v>
      </c>
      <c r="Q161" s="58" t="n">
        <f aca="false">IF($A161="","",NORMSINV(P161))</f>
        <v>2.05374891063182</v>
      </c>
      <c r="R161" s="48" t="n">
        <f aca="false">IF($A161="","",ROUNDUP(Q161*H161*SQRT(D161),0))</f>
        <v>183</v>
      </c>
      <c r="S161" s="48" t="n">
        <f aca="false">IF($A161="","",ROUNDUP(G161*D161+R161,0))</f>
        <v>384</v>
      </c>
      <c r="T161" s="46" t="n">
        <f aca="false">IF($A161="","",IFERROR(ROUND(SQRT(2*F161*Assumptions!$B$4/(Assumptions!$B$5*C161)),0),0))</f>
        <v>295</v>
      </c>
      <c r="U161" s="53" t="n">
        <f aca="false">IF($A161="","",R161*C161)</f>
        <v>1092.51</v>
      </c>
      <c r="V161" s="53" t="n">
        <f aca="false">IF($A161="","",E161*C161)</f>
        <v>447.75</v>
      </c>
      <c r="W161" s="59" t="n">
        <f aca="false">IF($A161="","",IFERROR(E161/G161,0))</f>
        <v>2.99309286262471</v>
      </c>
      <c r="X161" s="48" t="n">
        <f aca="false">IF($A161="","",S161+T161)</f>
        <v>679</v>
      </c>
      <c r="Y161" s="48" t="n">
        <f aca="false">IF($A161="","",MAX(0,E161-X161))</f>
        <v>0</v>
      </c>
      <c r="Z161" s="53" t="n">
        <f aca="false">IF($A161="","",Y161*C161)</f>
        <v>0</v>
      </c>
      <c r="AA161" s="56" t="str">
        <f aca="false">IF($A161="","",IF(E161&lt;=R161,"Below Safety Stock",IF(E161&lt;=S161,"Reorder Now",IF(E161&gt;X161,"Excess","Healthy"))))</f>
        <v>Below Safety Stock</v>
      </c>
      <c r="AB161" s="48" t="n">
        <f aca="false">IF($A161="","",RANK(AF161,$AF$5:$AF$504,0)+COUNTIF($AF$5:AF161,AF161)-1)</f>
        <v>150</v>
      </c>
      <c r="AC161" s="44" t="str">
        <f aca="false">IF($A161="","",Weekly_Demand!B161)</f>
        <v>WOODEN ROUNDERS GARDEN SET</v>
      </c>
      <c r="AD161" s="59" t="n">
        <f aca="false">IF($A161="","",H161*SQRT(D161))</f>
        <v>88.7091099268394</v>
      </c>
      <c r="AE161" s="53" t="n">
        <f aca="false">IF($A161="","",AD161*C161)</f>
        <v>529.593386263231</v>
      </c>
      <c r="AF161" s="53" t="n">
        <f aca="false">IF($A161="","",ROUND(J161,2))</f>
        <v>7778.91</v>
      </c>
    </row>
    <row r="162" customFormat="false" ht="15" hidden="false" customHeight="false" outlineLevel="0" collapsed="false">
      <c r="A162" s="44" t="str">
        <f aca="false">IF(Weekly_Demand!A162="","",Weekly_Demand!A162)</f>
        <v>23328</v>
      </c>
      <c r="B162" s="44" t="str">
        <f aca="false">IF($A162="","",Weekly_Demand!C162)</f>
        <v>Other</v>
      </c>
      <c r="C162" s="45" t="n">
        <f aca="false">IF($A162="","",Weekly_Demand!D162)</f>
        <v>2.25</v>
      </c>
      <c r="D162" s="46" t="n">
        <f aca="false">IF($A162="","",Weekly_Demand!E162+Assumptions!$B$19)</f>
        <v>2</v>
      </c>
      <c r="E162" s="46" t="n">
        <f aca="false">IF($A162="","",Weekly_Demand!F162)</f>
        <v>1831</v>
      </c>
      <c r="F162" s="46" t="n">
        <f aca="false">IF($A162="","",SUM(Weekly_Demand!G162:BF162))</f>
        <v>2645</v>
      </c>
      <c r="G162" s="51" t="n">
        <f aca="false">IF($A162="","",IFERROR(F162/Assumptions!$B$6,0))</f>
        <v>50.8653846153846</v>
      </c>
      <c r="H162" s="51" t="n">
        <f aca="false">IF($A162="","",STDEV(Weekly_Demand!G162:BF162))</f>
        <v>87.2000244752066</v>
      </c>
      <c r="I162" s="52" t="n">
        <f aca="false">IF($A162="","",IFERROR(H162/G162,0))</f>
        <v>1.71432940367136</v>
      </c>
      <c r="J162" s="53" t="n">
        <f aca="false">IF($A162="","",F162*C162)</f>
        <v>5951.25</v>
      </c>
      <c r="K162" s="54" t="n">
        <f aca="false">IF($A162="","",IFERROR(J162/$J$505,0))</f>
        <v>0.00153990001929666</v>
      </c>
      <c r="L162" s="54" t="n">
        <f aca="false">IF($A162="","",IFERROR(SUMIFS($J$5:$J$504,$AB$5:$AB$504,"&lt;="&amp;AB162)/$J$505,0))</f>
        <v>0.704213677074715</v>
      </c>
      <c r="M162" s="55" t="str">
        <f aca="false">IF($A162="","",IF(L162&lt;=Assumptions!$B$7,"A",IF(L162&lt;=Assumptions!$B$8,"B","C")))</f>
        <v>A</v>
      </c>
      <c r="N162" s="55" t="str">
        <f aca="false">IF($A162="","",IF(I162&lt;=Assumptions!$B$9,"X",IF(I162&lt;=Assumptions!$B$10,"Y","Z")))</f>
        <v>Z</v>
      </c>
      <c r="O162" s="56" t="str">
        <f aca="false">IF($A162="","",M162&amp;N162)</f>
        <v>AZ</v>
      </c>
      <c r="P162" s="57" t="n">
        <f aca="false">IF($A162="","",INDEX(Assumptions!$B$35:$B$37,MATCH(M162,Assumptions!$A$35:$A$37,0)))</f>
        <v>0.98</v>
      </c>
      <c r="Q162" s="58" t="n">
        <f aca="false">IF($A162="","",NORMSINV(P162))</f>
        <v>2.05374891063182</v>
      </c>
      <c r="R162" s="48" t="n">
        <f aca="false">IF($A162="","",ROUNDUP(Q162*H162*SQRT(D162),0))</f>
        <v>254</v>
      </c>
      <c r="S162" s="48" t="n">
        <f aca="false">IF($A162="","",ROUNDUP(G162*D162+R162,0))</f>
        <v>356</v>
      </c>
      <c r="T162" s="46" t="n">
        <f aca="false">IF($A162="","",IFERROR(ROUND(SQRT(2*F162*Assumptions!$B$4/(Assumptions!$B$5*C162)),0),0))</f>
        <v>686</v>
      </c>
      <c r="U162" s="53" t="n">
        <f aca="false">IF($A162="","",R162*C162)</f>
        <v>571.5</v>
      </c>
      <c r="V162" s="53" t="n">
        <f aca="false">IF($A162="","",E162*C162)</f>
        <v>4119.75</v>
      </c>
      <c r="W162" s="59" t="n">
        <f aca="false">IF($A162="","",IFERROR(E162/G162,0))</f>
        <v>35.9969754253308</v>
      </c>
      <c r="X162" s="48" t="n">
        <f aca="false">IF($A162="","",S162+T162)</f>
        <v>1042</v>
      </c>
      <c r="Y162" s="48" t="n">
        <f aca="false">IF($A162="","",MAX(0,E162-X162))</f>
        <v>789</v>
      </c>
      <c r="Z162" s="53" t="n">
        <f aca="false">IF($A162="","",Y162*C162)</f>
        <v>1775.25</v>
      </c>
      <c r="AA162" s="56" t="str">
        <f aca="false">IF($A162="","",IF(E162&lt;=R162,"Below Safety Stock",IF(E162&lt;=S162,"Reorder Now",IF(E162&gt;X162,"Excess","Healthy"))))</f>
        <v>Excess</v>
      </c>
      <c r="AB162" s="48" t="n">
        <f aca="false">IF($A162="","",RANK(AF162,$AF$5:$AF$504,0)+COUNTIF($AF$5:AF162,AF162)-1)</f>
        <v>219</v>
      </c>
      <c r="AC162" s="44" t="str">
        <f aca="false">IF($A162="","",Weekly_Demand!B162)</f>
        <v>SET 6 SCHOOL MILK BOTTLES IN CRATE</v>
      </c>
      <c r="AD162" s="59" t="n">
        <f aca="false">IF($A162="","",H162*SQRT(D162))</f>
        <v>123.319457252103</v>
      </c>
      <c r="AE162" s="53" t="n">
        <f aca="false">IF($A162="","",AD162*C162)</f>
        <v>277.468778817232</v>
      </c>
      <c r="AF162" s="53" t="n">
        <f aca="false">IF($A162="","",ROUND(J162,2))</f>
        <v>5951.25</v>
      </c>
    </row>
    <row r="163" customFormat="false" ht="15" hidden="false" customHeight="false" outlineLevel="0" collapsed="false">
      <c r="A163" s="44" t="str">
        <f aca="false">IF(Weekly_Demand!A163="","",Weekly_Demand!A163)</f>
        <v>23174</v>
      </c>
      <c r="B163" s="44" t="str">
        <f aca="false">IF($A163="","",Weekly_Demand!C163)</f>
        <v>Other</v>
      </c>
      <c r="C163" s="45" t="n">
        <f aca="false">IF($A163="","",Weekly_Demand!D163)</f>
        <v>2.49</v>
      </c>
      <c r="D163" s="46" t="n">
        <f aca="false">IF($A163="","",Weekly_Demand!E163+Assumptions!$B$19)</f>
        <v>6</v>
      </c>
      <c r="E163" s="46" t="n">
        <f aca="false">IF($A163="","",Weekly_Demand!F163)</f>
        <v>2219</v>
      </c>
      <c r="F163" s="46" t="n">
        <f aca="false">IF($A163="","",SUM(Weekly_Demand!G163:BF163))</f>
        <v>3037</v>
      </c>
      <c r="G163" s="51" t="n">
        <f aca="false">IF($A163="","",IFERROR(F163/Assumptions!$B$6,0))</f>
        <v>58.4038461538462</v>
      </c>
      <c r="H163" s="51" t="n">
        <f aca="false">IF($A163="","",STDEV(Weekly_Demand!G163:BF163))</f>
        <v>120.335032242972</v>
      </c>
      <c r="I163" s="52" t="n">
        <f aca="false">IF($A163="","",IFERROR(H163/G163,0))</f>
        <v>2.06039567883916</v>
      </c>
      <c r="J163" s="53" t="n">
        <f aca="false">IF($A163="","",F163*C163)</f>
        <v>7562.13</v>
      </c>
      <c r="K163" s="54" t="n">
        <f aca="false">IF($A163="","",IFERROR(J163/$J$505,0))</f>
        <v>0.00195671903094709</v>
      </c>
      <c r="L163" s="54" t="n">
        <f aca="false">IF($A163="","",IFERROR(SUMIFS($J$5:$J$504,$AB$5:$AB$504,"&lt;="&amp;AB163)/$J$505,0))</f>
        <v>0.604395812296022</v>
      </c>
      <c r="M163" s="55" t="str">
        <f aca="false">IF($A163="","",IF(L163&lt;=Assumptions!$B$7,"A",IF(L163&lt;=Assumptions!$B$8,"B","C")))</f>
        <v>A</v>
      </c>
      <c r="N163" s="55" t="str">
        <f aca="false">IF($A163="","",IF(I163&lt;=Assumptions!$B$9,"X",IF(I163&lt;=Assumptions!$B$10,"Y","Z")))</f>
        <v>Z</v>
      </c>
      <c r="O163" s="56" t="str">
        <f aca="false">IF($A163="","",M163&amp;N163)</f>
        <v>AZ</v>
      </c>
      <c r="P163" s="57" t="n">
        <f aca="false">IF($A163="","",INDEX(Assumptions!$B$35:$B$37,MATCH(M163,Assumptions!$A$35:$A$37,0)))</f>
        <v>0.98</v>
      </c>
      <c r="Q163" s="58" t="n">
        <f aca="false">IF($A163="","",NORMSINV(P163))</f>
        <v>2.05374891063182</v>
      </c>
      <c r="R163" s="48" t="n">
        <f aca="false">IF($A163="","",ROUNDUP(Q163*H163*SQRT(D163),0))</f>
        <v>606</v>
      </c>
      <c r="S163" s="48" t="n">
        <f aca="false">IF($A163="","",ROUNDUP(G163*D163+R163,0))</f>
        <v>957</v>
      </c>
      <c r="T163" s="46" t="n">
        <f aca="false">IF($A163="","",IFERROR(ROUND(SQRT(2*F163*Assumptions!$B$4/(Assumptions!$B$5*C163)),0),0))</f>
        <v>698</v>
      </c>
      <c r="U163" s="53" t="n">
        <f aca="false">IF($A163="","",R163*C163)</f>
        <v>1508.94</v>
      </c>
      <c r="V163" s="53" t="n">
        <f aca="false">IF($A163="","",E163*C163)</f>
        <v>5525.31</v>
      </c>
      <c r="W163" s="59" t="n">
        <f aca="false">IF($A163="","",IFERROR(E163/G163,0))</f>
        <v>37.9940730984524</v>
      </c>
      <c r="X163" s="48" t="n">
        <f aca="false">IF($A163="","",S163+T163)</f>
        <v>1655</v>
      </c>
      <c r="Y163" s="48" t="n">
        <f aca="false">IF($A163="","",MAX(0,E163-X163))</f>
        <v>564</v>
      </c>
      <c r="Z163" s="53" t="n">
        <f aca="false">IF($A163="","",Y163*C163)</f>
        <v>1404.36</v>
      </c>
      <c r="AA163" s="56" t="str">
        <f aca="false">IF($A163="","",IF(E163&lt;=R163,"Below Safety Stock",IF(E163&lt;=S163,"Reorder Now",IF(E163&gt;X163,"Excess","Healthy"))))</f>
        <v>Excess</v>
      </c>
      <c r="AB163" s="48" t="n">
        <f aca="false">IF($A163="","",RANK(AF163,$AF$5:$AF$504,0)+COUNTIF($AF$5:AF163,AF163)-1)</f>
        <v>161</v>
      </c>
      <c r="AC163" s="44" t="str">
        <f aca="false">IF($A163="","",Weekly_Demand!B163)</f>
        <v>REGENCY SUGAR BOWL GREEN</v>
      </c>
      <c r="AD163" s="59" t="n">
        <f aca="false">IF($A163="","",H163*SQRT(D163))</f>
        <v>294.759427176642</v>
      </c>
      <c r="AE163" s="53" t="n">
        <f aca="false">IF($A163="","",AD163*C163)</f>
        <v>733.950973669839</v>
      </c>
      <c r="AF163" s="53" t="n">
        <f aca="false">IF($A163="","",ROUND(J163,2))</f>
        <v>7562.13</v>
      </c>
    </row>
    <row r="164" customFormat="false" ht="15" hidden="false" customHeight="false" outlineLevel="0" collapsed="false">
      <c r="A164" s="44" t="str">
        <f aca="false">IF(Weekly_Demand!A164="","",Weekly_Demand!A164)</f>
        <v>21755</v>
      </c>
      <c r="B164" s="44" t="str">
        <f aca="false">IF($A164="","",Weekly_Demand!C164)</f>
        <v>Other</v>
      </c>
      <c r="C164" s="45" t="n">
        <f aca="false">IF($A164="","",Weekly_Demand!D164)</f>
        <v>3.57</v>
      </c>
      <c r="D164" s="46" t="n">
        <f aca="false">IF($A164="","",Weekly_Demand!E164+Assumptions!$B$19)</f>
        <v>8</v>
      </c>
      <c r="E164" s="46" t="n">
        <f aca="false">IF($A164="","",Weekly_Demand!F164)</f>
        <v>1333</v>
      </c>
      <c r="F164" s="46" t="n">
        <f aca="false">IF($A164="","",SUM(Weekly_Demand!G164:BF164))</f>
        <v>1980</v>
      </c>
      <c r="G164" s="51" t="n">
        <f aca="false">IF($A164="","",IFERROR(F164/Assumptions!$B$6,0))</f>
        <v>38.0769230769231</v>
      </c>
      <c r="H164" s="51" t="n">
        <f aca="false">IF($A164="","",STDEV(Weekly_Demand!G164:BF164))</f>
        <v>24.2801025241287</v>
      </c>
      <c r="I164" s="52" t="n">
        <f aca="false">IF($A164="","",IFERROR(H164/G164,0))</f>
        <v>0.637659258209441</v>
      </c>
      <c r="J164" s="53" t="n">
        <f aca="false">IF($A164="","",F164*C164)</f>
        <v>7068.6</v>
      </c>
      <c r="K164" s="54" t="n">
        <f aca="false">IF($A164="","",IFERROR(J164/$J$505,0))</f>
        <v>0.00182901697566064</v>
      </c>
      <c r="L164" s="54" t="n">
        <f aca="false">IF($A164="","",IFERROR(SUMIFS($J$5:$J$504,$AB$5:$AB$504,"&lt;="&amp;AB164)/$J$505,0))</f>
        <v>0.63081779525245</v>
      </c>
      <c r="M164" s="55" t="str">
        <f aca="false">IF($A164="","",IF(L164&lt;=Assumptions!$B$7,"A",IF(L164&lt;=Assumptions!$B$8,"B","C")))</f>
        <v>A</v>
      </c>
      <c r="N164" s="55" t="str">
        <f aca="false">IF($A164="","",IF(I164&lt;=Assumptions!$B$9,"X",IF(I164&lt;=Assumptions!$B$10,"Y","Z")))</f>
        <v>Y</v>
      </c>
      <c r="O164" s="56" t="str">
        <f aca="false">IF($A164="","",M164&amp;N164)</f>
        <v>AY</v>
      </c>
      <c r="P164" s="57" t="n">
        <f aca="false">IF($A164="","",INDEX(Assumptions!$B$35:$B$37,MATCH(M164,Assumptions!$A$35:$A$37,0)))</f>
        <v>0.98</v>
      </c>
      <c r="Q164" s="58" t="n">
        <f aca="false">IF($A164="","",NORMSINV(P164))</f>
        <v>2.05374891063182</v>
      </c>
      <c r="R164" s="48" t="n">
        <f aca="false">IF($A164="","",ROUNDUP(Q164*H164*SQRT(D164),0))</f>
        <v>142</v>
      </c>
      <c r="S164" s="48" t="n">
        <f aca="false">IF($A164="","",ROUNDUP(G164*D164+R164,0))</f>
        <v>447</v>
      </c>
      <c r="T164" s="46" t="n">
        <f aca="false">IF($A164="","",IFERROR(ROUND(SQRT(2*F164*Assumptions!$B$4/(Assumptions!$B$5*C164)),0),0))</f>
        <v>471</v>
      </c>
      <c r="U164" s="53" t="n">
        <f aca="false">IF($A164="","",R164*C164)</f>
        <v>506.94</v>
      </c>
      <c r="V164" s="53" t="n">
        <f aca="false">IF($A164="","",E164*C164)</f>
        <v>4758.81</v>
      </c>
      <c r="W164" s="59" t="n">
        <f aca="false">IF($A164="","",IFERROR(E164/G164,0))</f>
        <v>35.0080808080808</v>
      </c>
      <c r="X164" s="48" t="n">
        <f aca="false">IF($A164="","",S164+T164)</f>
        <v>918</v>
      </c>
      <c r="Y164" s="48" t="n">
        <f aca="false">IF($A164="","",MAX(0,E164-X164))</f>
        <v>415</v>
      </c>
      <c r="Z164" s="53" t="n">
        <f aca="false">IF($A164="","",Y164*C164)</f>
        <v>1481.55</v>
      </c>
      <c r="AA164" s="56" t="str">
        <f aca="false">IF($A164="","",IF(E164&lt;=R164,"Below Safety Stock",IF(E164&lt;=S164,"Reorder Now",IF(E164&gt;X164,"Excess","Healthy"))))</f>
        <v>Excess</v>
      </c>
      <c r="AB164" s="48" t="n">
        <f aca="false">IF($A164="","",RANK(AF164,$AF$5:$AF$504,0)+COUNTIF($AF$5:AF164,AF164)-1)</f>
        <v>175</v>
      </c>
      <c r="AC164" s="44" t="str">
        <f aca="false">IF($A164="","",Weekly_Demand!B164)</f>
        <v>LOVE BUILDING BLOCK WORD</v>
      </c>
      <c r="AD164" s="59" t="n">
        <f aca="false">IF($A164="","",H164*SQRT(D164))</f>
        <v>68.6745005708641</v>
      </c>
      <c r="AE164" s="53" t="n">
        <f aca="false">IF($A164="","",AD164*C164)</f>
        <v>245.167967037985</v>
      </c>
      <c r="AF164" s="53" t="n">
        <f aca="false">IF($A164="","",ROUND(J164,2))</f>
        <v>7068.6</v>
      </c>
    </row>
    <row r="165" customFormat="false" ht="15" hidden="false" customHeight="false" outlineLevel="0" collapsed="false">
      <c r="A165" s="44" t="str">
        <f aca="false">IF(Weekly_Demand!A165="","",Weekly_Demand!A165)</f>
        <v>22149</v>
      </c>
      <c r="B165" s="44" t="str">
        <f aca="false">IF($A165="","",Weekly_Demand!C165)</f>
        <v>Other</v>
      </c>
      <c r="C165" s="45" t="n">
        <f aca="false">IF($A165="","",Weekly_Demand!D165)</f>
        <v>1.26</v>
      </c>
      <c r="D165" s="46" t="n">
        <f aca="false">IF($A165="","",Weekly_Demand!E165+Assumptions!$B$19)</f>
        <v>4</v>
      </c>
      <c r="E165" s="46" t="n">
        <f aca="false">IF($A165="","",Weekly_Demand!F165)</f>
        <v>925</v>
      </c>
      <c r="F165" s="46" t="n">
        <f aca="false">IF($A165="","",SUM(Weekly_Demand!G165:BF165))</f>
        <v>6010</v>
      </c>
      <c r="G165" s="51" t="n">
        <f aca="false">IF($A165="","",IFERROR(F165/Assumptions!$B$6,0))</f>
        <v>115.576923076923</v>
      </c>
      <c r="H165" s="51" t="n">
        <f aca="false">IF($A165="","",STDEV(Weekly_Demand!G165:BF165))</f>
        <v>182.602143980911</v>
      </c>
      <c r="I165" s="52" t="n">
        <f aca="false">IF($A165="","",IFERROR(H165/G165,0))</f>
        <v>1.57991871664016</v>
      </c>
      <c r="J165" s="53" t="n">
        <f aca="false">IF($A165="","",F165*C165)</f>
        <v>7572.6</v>
      </c>
      <c r="K165" s="54" t="n">
        <f aca="false">IF($A165="","",IFERROR(J165/$J$505,0))</f>
        <v>0.00195942816822112</v>
      </c>
      <c r="L165" s="54" t="n">
        <f aca="false">IF($A165="","",IFERROR(SUMIFS($J$5:$J$504,$AB$5:$AB$504,"&lt;="&amp;AB165)/$J$505,0))</f>
        <v>0.600480324915388</v>
      </c>
      <c r="M165" s="55" t="str">
        <f aca="false">IF($A165="","",IF(L165&lt;=Assumptions!$B$7,"A",IF(L165&lt;=Assumptions!$B$8,"B","C")))</f>
        <v>A</v>
      </c>
      <c r="N165" s="55" t="str">
        <f aca="false">IF($A165="","",IF(I165&lt;=Assumptions!$B$9,"X",IF(I165&lt;=Assumptions!$B$10,"Y","Z")))</f>
        <v>Z</v>
      </c>
      <c r="O165" s="56" t="str">
        <f aca="false">IF($A165="","",M165&amp;N165)</f>
        <v>AZ</v>
      </c>
      <c r="P165" s="57" t="n">
        <f aca="false">IF($A165="","",INDEX(Assumptions!$B$35:$B$37,MATCH(M165,Assumptions!$A$35:$A$37,0)))</f>
        <v>0.98</v>
      </c>
      <c r="Q165" s="58" t="n">
        <f aca="false">IF($A165="","",NORMSINV(P165))</f>
        <v>2.05374891063182</v>
      </c>
      <c r="R165" s="48" t="n">
        <f aca="false">IF($A165="","",ROUNDUP(Q165*H165*SQRT(D165),0))</f>
        <v>751</v>
      </c>
      <c r="S165" s="48" t="n">
        <f aca="false">IF($A165="","",ROUNDUP(G165*D165+R165,0))</f>
        <v>1214</v>
      </c>
      <c r="T165" s="46" t="n">
        <f aca="false">IF($A165="","",IFERROR(ROUND(SQRT(2*F165*Assumptions!$B$4/(Assumptions!$B$5*C165)),0),0))</f>
        <v>1381</v>
      </c>
      <c r="U165" s="53" t="n">
        <f aca="false">IF($A165="","",R165*C165)</f>
        <v>946.26</v>
      </c>
      <c r="V165" s="53" t="n">
        <f aca="false">IF($A165="","",E165*C165)</f>
        <v>1165.5</v>
      </c>
      <c r="W165" s="59" t="n">
        <f aca="false">IF($A165="","",IFERROR(E165/G165,0))</f>
        <v>8.00332778702163</v>
      </c>
      <c r="X165" s="48" t="n">
        <f aca="false">IF($A165="","",S165+T165)</f>
        <v>2595</v>
      </c>
      <c r="Y165" s="48" t="n">
        <f aca="false">IF($A165="","",MAX(0,E165-X165))</f>
        <v>0</v>
      </c>
      <c r="Z165" s="53" t="n">
        <f aca="false">IF($A165="","",Y165*C165)</f>
        <v>0</v>
      </c>
      <c r="AA165" s="56" t="str">
        <f aca="false">IF($A165="","",IF(E165&lt;=R165,"Below Safety Stock",IF(E165&lt;=S165,"Reorder Now",IF(E165&gt;X165,"Excess","Healthy"))))</f>
        <v>Reorder Now</v>
      </c>
      <c r="AB165" s="48" t="n">
        <f aca="false">IF($A165="","",RANK(AF165,$AF$5:$AF$504,0)+COUNTIF($AF$5:AF165,AF165)-1)</f>
        <v>159</v>
      </c>
      <c r="AC165" s="44" t="str">
        <f aca="false">IF($A165="","",Weekly_Demand!B165)</f>
        <v>FELTCRAFT 6 FLOWER FRIENDS</v>
      </c>
      <c r="AD165" s="59" t="n">
        <f aca="false">IF($A165="","",H165*SQRT(D165))</f>
        <v>365.204287961822</v>
      </c>
      <c r="AE165" s="53" t="n">
        <f aca="false">IF($A165="","",AD165*C165)</f>
        <v>460.157402831896</v>
      </c>
      <c r="AF165" s="53" t="n">
        <f aca="false">IF($A165="","",ROUND(J165,2))</f>
        <v>7572.6</v>
      </c>
    </row>
    <row r="166" customFormat="false" ht="15" hidden="false" customHeight="false" outlineLevel="0" collapsed="false">
      <c r="A166" s="44" t="str">
        <f aca="false">IF(Weekly_Demand!A166="","",Weekly_Demand!A166)</f>
        <v>22941</v>
      </c>
      <c r="B166" s="44" t="str">
        <f aca="false">IF($A166="","",Weekly_Demand!C166)</f>
        <v>Lighting</v>
      </c>
      <c r="C166" s="45" t="n">
        <f aca="false">IF($A166="","",Weekly_Demand!D166)</f>
        <v>5.1</v>
      </c>
      <c r="D166" s="46" t="n">
        <f aca="false">IF($A166="","",Weekly_Demand!E166+Assumptions!$B$19)</f>
        <v>4</v>
      </c>
      <c r="E166" s="46" t="n">
        <f aca="false">IF($A166="","",Weekly_Demand!F166)</f>
        <v>344</v>
      </c>
      <c r="F166" s="46" t="n">
        <f aca="false">IF($A166="","",SUM(Weekly_Demand!G166:BF166))</f>
        <v>1492</v>
      </c>
      <c r="G166" s="51" t="n">
        <f aca="false">IF($A166="","",IFERROR(F166/Assumptions!$B$6,0))</f>
        <v>28.6923076923077</v>
      </c>
      <c r="H166" s="51" t="n">
        <f aca="false">IF($A166="","",STDEV(Weekly_Demand!G166:BF166))</f>
        <v>65.7220941933409</v>
      </c>
      <c r="I166" s="52" t="n">
        <f aca="false">IF($A166="","",IFERROR(H166/G166,0))</f>
        <v>2.29058237134968</v>
      </c>
      <c r="J166" s="53" t="n">
        <f aca="false">IF($A166="","",F166*C166)</f>
        <v>7609.2</v>
      </c>
      <c r="K166" s="54" t="n">
        <f aca="false">IF($A166="","",IFERROR(J166/$J$505,0))</f>
        <v>0.00196889850482372</v>
      </c>
      <c r="L166" s="54" t="n">
        <f aca="false">IF($A166="","",IFERROR(SUMIFS($J$5:$J$504,$AB$5:$AB$504,"&lt;="&amp;AB166)/$J$505,0))</f>
        <v>0.594592329434421</v>
      </c>
      <c r="M166" s="55" t="str">
        <f aca="false">IF($A166="","",IF(L166&lt;=Assumptions!$B$7,"A",IF(L166&lt;=Assumptions!$B$8,"B","C")))</f>
        <v>A</v>
      </c>
      <c r="N166" s="55" t="str">
        <f aca="false">IF($A166="","",IF(I166&lt;=Assumptions!$B$9,"X",IF(I166&lt;=Assumptions!$B$10,"Y","Z")))</f>
        <v>Z</v>
      </c>
      <c r="O166" s="56" t="str">
        <f aca="false">IF($A166="","",M166&amp;N166)</f>
        <v>AZ</v>
      </c>
      <c r="P166" s="57" t="n">
        <f aca="false">IF($A166="","",INDEX(Assumptions!$B$35:$B$37,MATCH(M166,Assumptions!$A$35:$A$37,0)))</f>
        <v>0.98</v>
      </c>
      <c r="Q166" s="58" t="n">
        <f aca="false">IF($A166="","",NORMSINV(P166))</f>
        <v>2.05374891063182</v>
      </c>
      <c r="R166" s="48" t="n">
        <f aca="false">IF($A166="","",ROUNDUP(Q166*H166*SQRT(D166),0))</f>
        <v>270</v>
      </c>
      <c r="S166" s="48" t="n">
        <f aca="false">IF($A166="","",ROUNDUP(G166*D166+R166,0))</f>
        <v>385</v>
      </c>
      <c r="T166" s="46" t="n">
        <f aca="false">IF($A166="","",IFERROR(ROUND(SQRT(2*F166*Assumptions!$B$4/(Assumptions!$B$5*C166)),0),0))</f>
        <v>342</v>
      </c>
      <c r="U166" s="53" t="n">
        <f aca="false">IF($A166="","",R166*C166)</f>
        <v>1377</v>
      </c>
      <c r="V166" s="53" t="n">
        <f aca="false">IF($A166="","",E166*C166)</f>
        <v>1754.4</v>
      </c>
      <c r="W166" s="59" t="n">
        <f aca="false">IF($A166="","",IFERROR(E166/G166,0))</f>
        <v>11.9892761394102</v>
      </c>
      <c r="X166" s="48" t="n">
        <f aca="false">IF($A166="","",S166+T166)</f>
        <v>727</v>
      </c>
      <c r="Y166" s="48" t="n">
        <f aca="false">IF($A166="","",MAX(0,E166-X166))</f>
        <v>0</v>
      </c>
      <c r="Z166" s="53" t="n">
        <f aca="false">IF($A166="","",Y166*C166)</f>
        <v>0</v>
      </c>
      <c r="AA166" s="56" t="str">
        <f aca="false">IF($A166="","",IF(E166&lt;=R166,"Below Safety Stock",IF(E166&lt;=S166,"Reorder Now",IF(E166&gt;X166,"Excess","Healthy"))))</f>
        <v>Reorder Now</v>
      </c>
      <c r="AB166" s="48" t="n">
        <f aca="false">IF($A166="","",RANK(AF166,$AF$5:$AF$504,0)+COUNTIF($AF$5:AF166,AF166)-1)</f>
        <v>156</v>
      </c>
      <c r="AC166" s="44" t="str">
        <f aca="false">IF($A166="","",Weekly_Demand!B166)</f>
        <v>CHRISTMAS LIGHTS 10 REINDEER</v>
      </c>
      <c r="AD166" s="59" t="n">
        <f aca="false">IF($A166="","",H166*SQRT(D166))</f>
        <v>131.444188386682</v>
      </c>
      <c r="AE166" s="53" t="n">
        <f aca="false">IF($A166="","",AD166*C166)</f>
        <v>670.365360772077</v>
      </c>
      <c r="AF166" s="53" t="n">
        <f aca="false">IF($A166="","",ROUND(J166,2))</f>
        <v>7609.2</v>
      </c>
    </row>
    <row r="167" customFormat="false" ht="15" hidden="false" customHeight="false" outlineLevel="0" collapsed="false">
      <c r="A167" s="44" t="str">
        <f aca="false">IF(Weekly_Demand!A167="","",Weekly_Demand!A167)</f>
        <v>48188</v>
      </c>
      <c r="B167" s="44" t="str">
        <f aca="false">IF($A167="","",Weekly_Demand!C167)</f>
        <v>Other</v>
      </c>
      <c r="C167" s="45" t="n">
        <f aca="false">IF($A167="","",Weekly_Demand!D167)</f>
        <v>4.77</v>
      </c>
      <c r="D167" s="46" t="n">
        <f aca="false">IF($A167="","",Weekly_Demand!E167+Assumptions!$B$19)</f>
        <v>2</v>
      </c>
      <c r="E167" s="46" t="n">
        <f aca="false">IF($A167="","",Weekly_Demand!F167)</f>
        <v>159</v>
      </c>
      <c r="F167" s="46" t="n">
        <f aca="false">IF($A167="","",SUM(Weekly_Demand!G167:BF167))</f>
        <v>2062</v>
      </c>
      <c r="G167" s="51" t="n">
        <f aca="false">IF($A167="","",IFERROR(F167/Assumptions!$B$6,0))</f>
        <v>39.6538461538462</v>
      </c>
      <c r="H167" s="51" t="n">
        <f aca="false">IF($A167="","",STDEV(Weekly_Demand!G167:BF167))</f>
        <v>100.932492410188</v>
      </c>
      <c r="I167" s="52" t="n">
        <f aca="false">IF($A167="","",IFERROR(H167/G167,0))</f>
        <v>2.54533928483501</v>
      </c>
      <c r="J167" s="53" t="n">
        <f aca="false">IF($A167="","",F167*C167)</f>
        <v>9835.74</v>
      </c>
      <c r="K167" s="54" t="n">
        <f aca="false">IF($A167="","",IFERROR(J167/$J$505,0))</f>
        <v>0.00254502099824356</v>
      </c>
      <c r="L167" s="54" t="n">
        <f aca="false">IF($A167="","",IFERROR(SUMIFS($J$5:$J$504,$AB$5:$AB$504,"&lt;="&amp;AB167)/$J$505,0))</f>
        <v>0.489669835235845</v>
      </c>
      <c r="M167" s="55" t="str">
        <f aca="false">IF($A167="","",IF(L167&lt;=Assumptions!$B$7,"A",IF(L167&lt;=Assumptions!$B$8,"B","C")))</f>
        <v>A</v>
      </c>
      <c r="N167" s="55" t="str">
        <f aca="false">IF($A167="","",IF(I167&lt;=Assumptions!$B$9,"X",IF(I167&lt;=Assumptions!$B$10,"Y","Z")))</f>
        <v>Z</v>
      </c>
      <c r="O167" s="56" t="str">
        <f aca="false">IF($A167="","",M167&amp;N167)</f>
        <v>AZ</v>
      </c>
      <c r="P167" s="57" t="n">
        <f aca="false">IF($A167="","",INDEX(Assumptions!$B$35:$B$37,MATCH(M167,Assumptions!$A$35:$A$37,0)))</f>
        <v>0.98</v>
      </c>
      <c r="Q167" s="58" t="n">
        <f aca="false">IF($A167="","",NORMSINV(P167))</f>
        <v>2.05374891063182</v>
      </c>
      <c r="R167" s="48" t="n">
        <f aca="false">IF($A167="","",ROUNDUP(Q167*H167*SQRT(D167),0))</f>
        <v>294</v>
      </c>
      <c r="S167" s="48" t="n">
        <f aca="false">IF($A167="","",ROUNDUP(G167*D167+R167,0))</f>
        <v>374</v>
      </c>
      <c r="T167" s="46" t="n">
        <f aca="false">IF($A167="","",IFERROR(ROUND(SQRT(2*F167*Assumptions!$B$4/(Assumptions!$B$5*C167)),0),0))</f>
        <v>416</v>
      </c>
      <c r="U167" s="53" t="n">
        <f aca="false">IF($A167="","",R167*C167)</f>
        <v>1402.38</v>
      </c>
      <c r="V167" s="53" t="n">
        <f aca="false">IF($A167="","",E167*C167)</f>
        <v>758.43</v>
      </c>
      <c r="W167" s="59" t="n">
        <f aca="false">IF($A167="","",IFERROR(E167/G167,0))</f>
        <v>4.00969932104753</v>
      </c>
      <c r="X167" s="48" t="n">
        <f aca="false">IF($A167="","",S167+T167)</f>
        <v>790</v>
      </c>
      <c r="Y167" s="48" t="n">
        <f aca="false">IF($A167="","",MAX(0,E167-X167))</f>
        <v>0</v>
      </c>
      <c r="Z167" s="53" t="n">
        <f aca="false">IF($A167="","",Y167*C167)</f>
        <v>0</v>
      </c>
      <c r="AA167" s="56" t="str">
        <f aca="false">IF($A167="","",IF(E167&lt;=R167,"Below Safety Stock",IF(E167&lt;=S167,"Reorder Now",IF(E167&gt;X167,"Excess","Healthy"))))</f>
        <v>Below Safety Stock</v>
      </c>
      <c r="AB167" s="48" t="n">
        <f aca="false">IF($A167="","",RANK(AF167,$AF$5:$AF$504,0)+COUNTIF($AF$5:AF167,AF167)-1)</f>
        <v>109</v>
      </c>
      <c r="AC167" s="44" t="str">
        <f aca="false">IF($A167="","",Weekly_Demand!B167)</f>
        <v>DOORMAT WELCOME PUPPIES</v>
      </c>
      <c r="AD167" s="59" t="n">
        <f aca="false">IF($A167="","",H167*SQRT(D167))</f>
        <v>142.740099650608</v>
      </c>
      <c r="AE167" s="53" t="n">
        <f aca="false">IF($A167="","",AD167*C167)</f>
        <v>680.8702753334</v>
      </c>
      <c r="AF167" s="53" t="n">
        <f aca="false">IF($A167="","",ROUND(J167,2))</f>
        <v>9835.74</v>
      </c>
    </row>
    <row r="168" customFormat="false" ht="15" hidden="false" customHeight="false" outlineLevel="0" collapsed="false">
      <c r="A168" s="44" t="str">
        <f aca="false">IF(Weekly_Demand!A168="","",Weekly_Demand!A168)</f>
        <v>47590B</v>
      </c>
      <c r="B168" s="44" t="str">
        <f aca="false">IF($A168="","",Weekly_Demand!C168)</f>
        <v>Other</v>
      </c>
      <c r="C168" s="45" t="n">
        <f aca="false">IF($A168="","",Weekly_Demand!D168)</f>
        <v>3.27</v>
      </c>
      <c r="D168" s="46" t="n">
        <f aca="false">IF($A168="","",Weekly_Demand!E168+Assumptions!$B$19)</f>
        <v>6</v>
      </c>
      <c r="E168" s="46" t="n">
        <f aca="false">IF($A168="","",Weekly_Demand!F168)</f>
        <v>1825</v>
      </c>
      <c r="F168" s="46" t="n">
        <f aca="false">IF($A168="","",SUM(Weekly_Demand!G168:BF168))</f>
        <v>2315</v>
      </c>
      <c r="G168" s="51" t="n">
        <f aca="false">IF($A168="","",IFERROR(F168/Assumptions!$B$6,0))</f>
        <v>44.5192307692308</v>
      </c>
      <c r="H168" s="51" t="n">
        <f aca="false">IF($A168="","",STDEV(Weekly_Demand!G168:BF168))</f>
        <v>43.0669749205635</v>
      </c>
      <c r="I168" s="52" t="n">
        <f aca="false">IF($A168="","",IFERROR(H168/G168,0))</f>
        <v>0.967379134284796</v>
      </c>
      <c r="J168" s="53" t="n">
        <f aca="false">IF($A168="","",F168*C168)</f>
        <v>7570.05</v>
      </c>
      <c r="K168" s="54" t="n">
        <f aca="false">IF($A168="","",IFERROR(J168/$J$505,0))</f>
        <v>0.00195876834968733</v>
      </c>
      <c r="L168" s="54" t="n">
        <f aca="false">IF($A168="","",IFERROR(SUMIFS($J$5:$J$504,$AB$5:$AB$504,"&lt;="&amp;AB168)/$J$505,0))</f>
        <v>0.602439093265075</v>
      </c>
      <c r="M168" s="55" t="str">
        <f aca="false">IF($A168="","",IF(L168&lt;=Assumptions!$B$7,"A",IF(L168&lt;=Assumptions!$B$8,"B","C")))</f>
        <v>A</v>
      </c>
      <c r="N168" s="55" t="str">
        <f aca="false">IF($A168="","",IF(I168&lt;=Assumptions!$B$9,"X",IF(I168&lt;=Assumptions!$B$10,"Y","Z")))</f>
        <v>Y</v>
      </c>
      <c r="O168" s="56" t="str">
        <f aca="false">IF($A168="","",M168&amp;N168)</f>
        <v>AY</v>
      </c>
      <c r="P168" s="57" t="n">
        <f aca="false">IF($A168="","",INDEX(Assumptions!$B$35:$B$37,MATCH(M168,Assumptions!$A$35:$A$37,0)))</f>
        <v>0.98</v>
      </c>
      <c r="Q168" s="58" t="n">
        <f aca="false">IF($A168="","",NORMSINV(P168))</f>
        <v>2.05374891063182</v>
      </c>
      <c r="R168" s="48" t="n">
        <f aca="false">IF($A168="","",ROUNDUP(Q168*H168*SQRT(D168),0))</f>
        <v>217</v>
      </c>
      <c r="S168" s="48" t="n">
        <f aca="false">IF($A168="","",ROUNDUP(G168*D168+R168,0))</f>
        <v>485</v>
      </c>
      <c r="T168" s="46" t="n">
        <f aca="false">IF($A168="","",IFERROR(ROUND(SQRT(2*F168*Assumptions!$B$4/(Assumptions!$B$5*C168)),0),0))</f>
        <v>532</v>
      </c>
      <c r="U168" s="53" t="n">
        <f aca="false">IF($A168="","",R168*C168)</f>
        <v>709.59</v>
      </c>
      <c r="V168" s="53" t="n">
        <f aca="false">IF($A168="","",E168*C168)</f>
        <v>5967.75</v>
      </c>
      <c r="W168" s="59" t="n">
        <f aca="false">IF($A168="","",IFERROR(E168/G168,0))</f>
        <v>40.9935205183585</v>
      </c>
      <c r="X168" s="48" t="n">
        <f aca="false">IF($A168="","",S168+T168)</f>
        <v>1017</v>
      </c>
      <c r="Y168" s="48" t="n">
        <f aca="false">IF($A168="","",MAX(0,E168-X168))</f>
        <v>808</v>
      </c>
      <c r="Z168" s="53" t="n">
        <f aca="false">IF($A168="","",Y168*C168)</f>
        <v>2642.16</v>
      </c>
      <c r="AA168" s="56" t="str">
        <f aca="false">IF($A168="","",IF(E168&lt;=R168,"Below Safety Stock",IF(E168&lt;=S168,"Reorder Now",IF(E168&gt;X168,"Excess","Healthy"))))</f>
        <v>Excess</v>
      </c>
      <c r="AB168" s="48" t="n">
        <f aca="false">IF($A168="","",RANK(AF168,$AF$5:$AF$504,0)+COUNTIF($AF$5:AF168,AF168)-1)</f>
        <v>160</v>
      </c>
      <c r="AC168" s="44" t="str">
        <f aca="false">IF($A168="","",Weekly_Demand!B168)</f>
        <v>PINK HAPPY BIRTHDAY BUNTING</v>
      </c>
      <c r="AD168" s="59" t="n">
        <f aca="false">IF($A168="","",H168*SQRT(D168))</f>
        <v>105.492113320621</v>
      </c>
      <c r="AE168" s="53" t="n">
        <f aca="false">IF($A168="","",AD168*C168)</f>
        <v>344.95921055843</v>
      </c>
      <c r="AF168" s="53" t="n">
        <f aca="false">IF($A168="","",ROUND(J168,2))</f>
        <v>7570.05</v>
      </c>
    </row>
    <row r="169" customFormat="false" ht="15" hidden="false" customHeight="false" outlineLevel="0" collapsed="false">
      <c r="A169" s="44" t="str">
        <f aca="false">IF(Weekly_Demand!A169="","",Weekly_Demand!A169)</f>
        <v>20750</v>
      </c>
      <c r="B169" s="44" t="str">
        <f aca="false">IF($A169="","",Weekly_Demand!C169)</f>
        <v>Other</v>
      </c>
      <c r="C169" s="45" t="n">
        <f aca="false">IF($A169="","",Weekly_Demand!D169)</f>
        <v>4.77</v>
      </c>
      <c r="D169" s="46" t="n">
        <f aca="false">IF($A169="","",Weekly_Demand!E169+Assumptions!$B$19)</f>
        <v>6</v>
      </c>
      <c r="E169" s="46" t="n">
        <f aca="false">IF($A169="","",Weekly_Demand!F169)</f>
        <v>64</v>
      </c>
      <c r="F169" s="46" t="n">
        <f aca="false">IF($A169="","",SUM(Weekly_Demand!G169:BF169))</f>
        <v>1676</v>
      </c>
      <c r="G169" s="51" t="n">
        <f aca="false">IF($A169="","",IFERROR(F169/Assumptions!$B$6,0))</f>
        <v>32.2307692307692</v>
      </c>
      <c r="H169" s="51" t="n">
        <f aca="false">IF($A169="","",STDEV(Weekly_Demand!G169:BF169))</f>
        <v>20.9402655419006</v>
      </c>
      <c r="I169" s="52" t="n">
        <f aca="false">IF($A169="","",IFERROR(H169/G169,0))</f>
        <v>0.649697976240353</v>
      </c>
      <c r="J169" s="53" t="n">
        <f aca="false">IF($A169="","",F169*C169)</f>
        <v>7994.52</v>
      </c>
      <c r="K169" s="54" t="n">
        <f aca="false">IF($A169="","",IFERROR(J169/$J$505,0))</f>
        <v>0.0020686009665646</v>
      </c>
      <c r="L169" s="54" t="n">
        <f aca="false">IF($A169="","",IFERROR(SUMIFS($J$5:$J$504,$AB$5:$AB$504,"&lt;="&amp;AB169)/$J$505,0))</f>
        <v>0.572518924771579</v>
      </c>
      <c r="M169" s="55" t="str">
        <f aca="false">IF($A169="","",IF(L169&lt;=Assumptions!$B$7,"A",IF(L169&lt;=Assumptions!$B$8,"B","C")))</f>
        <v>A</v>
      </c>
      <c r="N169" s="55" t="str">
        <f aca="false">IF($A169="","",IF(I169&lt;=Assumptions!$B$9,"X",IF(I169&lt;=Assumptions!$B$10,"Y","Z")))</f>
        <v>Y</v>
      </c>
      <c r="O169" s="56" t="str">
        <f aca="false">IF($A169="","",M169&amp;N169)</f>
        <v>AY</v>
      </c>
      <c r="P169" s="57" t="n">
        <f aca="false">IF($A169="","",INDEX(Assumptions!$B$35:$B$37,MATCH(M169,Assumptions!$A$35:$A$37,0)))</f>
        <v>0.98</v>
      </c>
      <c r="Q169" s="58" t="n">
        <f aca="false">IF($A169="","",NORMSINV(P169))</f>
        <v>2.05374891063182</v>
      </c>
      <c r="R169" s="48" t="n">
        <f aca="false">IF($A169="","",ROUNDUP(Q169*H169*SQRT(D169),0))</f>
        <v>106</v>
      </c>
      <c r="S169" s="48" t="n">
        <f aca="false">IF($A169="","",ROUNDUP(G169*D169+R169,0))</f>
        <v>300</v>
      </c>
      <c r="T169" s="46" t="n">
        <f aca="false">IF($A169="","",IFERROR(ROUND(SQRT(2*F169*Assumptions!$B$4/(Assumptions!$B$5*C169)),0),0))</f>
        <v>375</v>
      </c>
      <c r="U169" s="53" t="n">
        <f aca="false">IF($A169="","",R169*C169)</f>
        <v>505.62</v>
      </c>
      <c r="V169" s="53" t="n">
        <f aca="false">IF($A169="","",E169*C169)</f>
        <v>305.28</v>
      </c>
      <c r="W169" s="59" t="n">
        <f aca="false">IF($A169="","",IFERROR(E169/G169,0))</f>
        <v>1.98568019093079</v>
      </c>
      <c r="X169" s="48" t="n">
        <f aca="false">IF($A169="","",S169+T169)</f>
        <v>675</v>
      </c>
      <c r="Y169" s="48" t="n">
        <f aca="false">IF($A169="","",MAX(0,E169-X169))</f>
        <v>0</v>
      </c>
      <c r="Z169" s="53" t="n">
        <f aca="false">IF($A169="","",Y169*C169)</f>
        <v>0</v>
      </c>
      <c r="AA169" s="56" t="str">
        <f aca="false">IF($A169="","",IF(E169&lt;=R169,"Below Safety Stock",IF(E169&lt;=S169,"Reorder Now",IF(E169&gt;X169,"Excess","Healthy"))))</f>
        <v>Below Safety Stock</v>
      </c>
      <c r="AB169" s="48" t="n">
        <f aca="false">IF($A169="","",RANK(AF169,$AF$5:$AF$504,0)+COUNTIF($AF$5:AF169,AF169)-1)</f>
        <v>145</v>
      </c>
      <c r="AC169" s="44" t="str">
        <f aca="false">IF($A169="","",Weekly_Demand!B169)</f>
        <v>RED RETROSPOT MINI CASES</v>
      </c>
      <c r="AD169" s="59" t="n">
        <f aca="false">IF($A169="","",H169*SQRT(D169))</f>
        <v>51.2929656560415</v>
      </c>
      <c r="AE169" s="53" t="n">
        <f aca="false">IF($A169="","",AD169*C169)</f>
        <v>244.667446179318</v>
      </c>
      <c r="AF169" s="53" t="n">
        <f aca="false">IF($A169="","",ROUND(J169,2))</f>
        <v>7994.52</v>
      </c>
    </row>
    <row r="170" customFormat="false" ht="15" hidden="false" customHeight="false" outlineLevel="0" collapsed="false">
      <c r="A170" s="44" t="str">
        <f aca="false">IF(Weekly_Demand!A170="","",Weekly_Demand!A170)</f>
        <v>22568</v>
      </c>
      <c r="B170" s="44" t="str">
        <f aca="false">IF($A170="","",Weekly_Demand!C170)</f>
        <v>Other</v>
      </c>
      <c r="C170" s="45" t="n">
        <f aca="false">IF($A170="","",Weekly_Demand!D170)</f>
        <v>2.25</v>
      </c>
      <c r="D170" s="46" t="n">
        <f aca="false">IF($A170="","",Weekly_Demand!E170+Assumptions!$B$19)</f>
        <v>2</v>
      </c>
      <c r="E170" s="46" t="n">
        <f aca="false">IF($A170="","",Weekly_Demand!F170)</f>
        <v>692</v>
      </c>
      <c r="F170" s="46" t="n">
        <f aca="false">IF($A170="","",SUM(Weekly_Demand!G170:BF170))</f>
        <v>3273</v>
      </c>
      <c r="G170" s="51" t="n">
        <f aca="false">IF($A170="","",IFERROR(F170/Assumptions!$B$6,0))</f>
        <v>62.9423076923077</v>
      </c>
      <c r="H170" s="51" t="n">
        <f aca="false">IF($A170="","",STDEV(Weekly_Demand!G170:BF170))</f>
        <v>77.2366908292711</v>
      </c>
      <c r="I170" s="52" t="n">
        <f aca="false">IF($A170="","",IFERROR(H170/G170,0))</f>
        <v>1.22710294015341</v>
      </c>
      <c r="J170" s="53" t="n">
        <f aca="false">IF($A170="","",F170*C170)</f>
        <v>7364.25</v>
      </c>
      <c r="K170" s="54" t="n">
        <f aca="false">IF($A170="","",IFERROR(J170/$J$505,0))</f>
        <v>0.00190551711272514</v>
      </c>
      <c r="L170" s="54" t="n">
        <f aca="false">IF($A170="","",IFERROR(SUMIFS($J$5:$J$504,$AB$5:$AB$504,"&lt;="&amp;AB170)/$J$505,0))</f>
        <v>0.615931474060237</v>
      </c>
      <c r="M170" s="55" t="str">
        <f aca="false">IF($A170="","",IF(L170&lt;=Assumptions!$B$7,"A",IF(L170&lt;=Assumptions!$B$8,"B","C")))</f>
        <v>A</v>
      </c>
      <c r="N170" s="55" t="str">
        <f aca="false">IF($A170="","",IF(I170&lt;=Assumptions!$B$9,"X",IF(I170&lt;=Assumptions!$B$10,"Y","Z")))</f>
        <v>Z</v>
      </c>
      <c r="O170" s="56" t="str">
        <f aca="false">IF($A170="","",M170&amp;N170)</f>
        <v>AZ</v>
      </c>
      <c r="P170" s="57" t="n">
        <f aca="false">IF($A170="","",INDEX(Assumptions!$B$35:$B$37,MATCH(M170,Assumptions!$A$35:$A$37,0)))</f>
        <v>0.98</v>
      </c>
      <c r="Q170" s="58" t="n">
        <f aca="false">IF($A170="","",NORMSINV(P170))</f>
        <v>2.05374891063182</v>
      </c>
      <c r="R170" s="48" t="n">
        <f aca="false">IF($A170="","",ROUNDUP(Q170*H170*SQRT(D170),0))</f>
        <v>225</v>
      </c>
      <c r="S170" s="48" t="n">
        <f aca="false">IF($A170="","",ROUNDUP(G170*D170+R170,0))</f>
        <v>351</v>
      </c>
      <c r="T170" s="46" t="n">
        <f aca="false">IF($A170="","",IFERROR(ROUND(SQRT(2*F170*Assumptions!$B$4/(Assumptions!$B$5*C170)),0),0))</f>
        <v>763</v>
      </c>
      <c r="U170" s="53" t="n">
        <f aca="false">IF($A170="","",R170*C170)</f>
        <v>506.25</v>
      </c>
      <c r="V170" s="53" t="n">
        <f aca="false">IF($A170="","",E170*C170)</f>
        <v>1557</v>
      </c>
      <c r="W170" s="59" t="n">
        <f aca="false">IF($A170="","",IFERROR(E170/G170,0))</f>
        <v>10.9941949282004</v>
      </c>
      <c r="X170" s="48" t="n">
        <f aca="false">IF($A170="","",S170+T170)</f>
        <v>1114</v>
      </c>
      <c r="Y170" s="48" t="n">
        <f aca="false">IF($A170="","",MAX(0,E170-X170))</f>
        <v>0</v>
      </c>
      <c r="Z170" s="53" t="n">
        <f aca="false">IF($A170="","",Y170*C170)</f>
        <v>0</v>
      </c>
      <c r="AA170" s="56" t="str">
        <f aca="false">IF($A170="","",IF(E170&lt;=R170,"Below Safety Stock",IF(E170&lt;=S170,"Reorder Now",IF(E170&gt;X170,"Excess","Healthy"))))</f>
        <v>Healthy</v>
      </c>
      <c r="AB170" s="48" t="n">
        <f aca="false">IF($A170="","",RANK(AF170,$AF$5:$AF$504,0)+COUNTIF($AF$5:AF170,AF170)-1)</f>
        <v>167</v>
      </c>
      <c r="AC170" s="44" t="str">
        <f aca="false">IF($A170="","",Weekly_Demand!B170)</f>
        <v>FELTCRAFT CUSHION OWL</v>
      </c>
      <c r="AD170" s="59" t="n">
        <f aca="false">IF($A170="","",H170*SQRT(D170))</f>
        <v>109.229175683573</v>
      </c>
      <c r="AE170" s="53" t="n">
        <f aca="false">IF($A170="","",AD170*C170)</f>
        <v>245.765645288039</v>
      </c>
      <c r="AF170" s="53" t="n">
        <f aca="false">IF($A170="","",ROUND(J170,2))</f>
        <v>7364.25</v>
      </c>
    </row>
    <row r="171" customFormat="false" ht="15" hidden="false" customHeight="false" outlineLevel="0" collapsed="false">
      <c r="A171" s="44" t="str">
        <f aca="false">IF(Weekly_Demand!A171="","",Weekly_Demand!A171)</f>
        <v>22866</v>
      </c>
      <c r="B171" s="44" t="str">
        <f aca="false">IF($A171="","",Weekly_Demand!C171)</f>
        <v>Other</v>
      </c>
      <c r="C171" s="45" t="n">
        <f aca="false">IF($A171="","",Weekly_Demand!D171)</f>
        <v>1.26</v>
      </c>
      <c r="D171" s="46" t="n">
        <f aca="false">IF($A171="","",Weekly_Demand!E171+Assumptions!$B$19)</f>
        <v>6</v>
      </c>
      <c r="E171" s="46" t="n">
        <f aca="false">IF($A171="","",Weekly_Demand!F171)</f>
        <v>4444</v>
      </c>
      <c r="F171" s="46" t="n">
        <f aca="false">IF($A171="","",SUM(Weekly_Demand!G171:BF171))</f>
        <v>5502</v>
      </c>
      <c r="G171" s="51" t="n">
        <f aca="false">IF($A171="","",IFERROR(F171/Assumptions!$B$6,0))</f>
        <v>105.807692307692</v>
      </c>
      <c r="H171" s="51" t="n">
        <f aca="false">IF($A171="","",STDEV(Weekly_Demand!G171:BF171))</f>
        <v>203.163706661338</v>
      </c>
      <c r="I171" s="52" t="n">
        <f aca="false">IF($A171="","",IFERROR(H171/G171,0))</f>
        <v>1.92012227306244</v>
      </c>
      <c r="J171" s="53" t="n">
        <f aca="false">IF($A171="","",F171*C171)</f>
        <v>6932.52</v>
      </c>
      <c r="K171" s="54" t="n">
        <f aca="false">IF($A171="","",IFERROR(J171/$J$505,0))</f>
        <v>0.00179380595366932</v>
      </c>
      <c r="L171" s="54" t="n">
        <f aca="false">IF($A171="","",IFERROR(SUMIFS($J$5:$J$504,$AB$5:$AB$504,"&lt;="&amp;AB171)/$J$505,0))</f>
        <v>0.639833625561269</v>
      </c>
      <c r="M171" s="55" t="str">
        <f aca="false">IF($A171="","",IF(L171&lt;=Assumptions!$B$7,"A",IF(L171&lt;=Assumptions!$B$8,"B","C")))</f>
        <v>A</v>
      </c>
      <c r="N171" s="55" t="str">
        <f aca="false">IF($A171="","",IF(I171&lt;=Assumptions!$B$9,"X",IF(I171&lt;=Assumptions!$B$10,"Y","Z")))</f>
        <v>Z</v>
      </c>
      <c r="O171" s="56" t="str">
        <f aca="false">IF($A171="","",M171&amp;N171)</f>
        <v>AZ</v>
      </c>
      <c r="P171" s="57" t="n">
        <f aca="false">IF($A171="","",INDEX(Assumptions!$B$35:$B$37,MATCH(M171,Assumptions!$A$35:$A$37,0)))</f>
        <v>0.98</v>
      </c>
      <c r="Q171" s="58" t="n">
        <f aca="false">IF($A171="","",NORMSINV(P171))</f>
        <v>2.05374891063182</v>
      </c>
      <c r="R171" s="48" t="n">
        <f aca="false">IF($A171="","",ROUNDUP(Q171*H171*SQRT(D171),0))</f>
        <v>1023</v>
      </c>
      <c r="S171" s="48" t="n">
        <f aca="false">IF($A171="","",ROUNDUP(G171*D171+R171,0))</f>
        <v>1658</v>
      </c>
      <c r="T171" s="46" t="n">
        <f aca="false">IF($A171="","",IFERROR(ROUND(SQRT(2*F171*Assumptions!$B$4/(Assumptions!$B$5*C171)),0),0))</f>
        <v>1322</v>
      </c>
      <c r="U171" s="53" t="n">
        <f aca="false">IF($A171="","",R171*C171)</f>
        <v>1288.98</v>
      </c>
      <c r="V171" s="53" t="n">
        <f aca="false">IF($A171="","",E171*C171)</f>
        <v>5599.44</v>
      </c>
      <c r="W171" s="59" t="n">
        <f aca="false">IF($A171="","",IFERROR(E171/G171,0))</f>
        <v>42.0007270083606</v>
      </c>
      <c r="X171" s="48" t="n">
        <f aca="false">IF($A171="","",S171+T171)</f>
        <v>2980</v>
      </c>
      <c r="Y171" s="48" t="n">
        <f aca="false">IF($A171="","",MAX(0,E171-X171))</f>
        <v>1464</v>
      </c>
      <c r="Z171" s="53" t="n">
        <f aca="false">IF($A171="","",Y171*C171)</f>
        <v>1844.64</v>
      </c>
      <c r="AA171" s="56" t="str">
        <f aca="false">IF($A171="","",IF(E171&lt;=R171,"Below Safety Stock",IF(E171&lt;=S171,"Reorder Now",IF(E171&gt;X171,"Excess","Healthy"))))</f>
        <v>Excess</v>
      </c>
      <c r="AB171" s="48" t="n">
        <f aca="false">IF($A171="","",RANK(AF171,$AF$5:$AF$504,0)+COUNTIF($AF$5:AF171,AF171)-1)</f>
        <v>180</v>
      </c>
      <c r="AC171" s="44" t="str">
        <f aca="false">IF($A171="","",Weekly_Demand!B171)</f>
        <v>HAND WARMER SCOTTY DOG DESIGN</v>
      </c>
      <c r="AD171" s="59" t="n">
        <f aca="false">IF($A171="","",H171*SQRT(D171))</f>
        <v>497.647415572757</v>
      </c>
      <c r="AE171" s="53" t="n">
        <f aca="false">IF($A171="","",AD171*C171)</f>
        <v>627.035743621674</v>
      </c>
      <c r="AF171" s="53" t="n">
        <f aca="false">IF($A171="","",ROUND(J171,2))</f>
        <v>6932.52</v>
      </c>
    </row>
    <row r="172" customFormat="false" ht="15" hidden="false" customHeight="false" outlineLevel="0" collapsed="false">
      <c r="A172" s="44" t="str">
        <f aca="false">IF(Weekly_Demand!A172="","",Weekly_Demand!A172)</f>
        <v>20723</v>
      </c>
      <c r="B172" s="44" t="str">
        <f aca="false">IF($A172="","",Weekly_Demand!C172)</f>
        <v>Bags</v>
      </c>
      <c r="C172" s="45" t="n">
        <f aca="false">IF($A172="","",Weekly_Demand!D172)</f>
        <v>0.51</v>
      </c>
      <c r="D172" s="46" t="n">
        <f aca="false">IF($A172="","",Weekly_Demand!E172+Assumptions!$B$19)</f>
        <v>8</v>
      </c>
      <c r="E172" s="46" t="n">
        <f aca="false">IF($A172="","",Weekly_Demand!F172)</f>
        <v>551</v>
      </c>
      <c r="F172" s="46" t="n">
        <f aca="false">IF($A172="","",SUM(Weekly_Demand!G172:BF172))</f>
        <v>9544</v>
      </c>
      <c r="G172" s="51" t="n">
        <f aca="false">IF($A172="","",IFERROR(F172/Assumptions!$B$6,0))</f>
        <v>183.538461538462</v>
      </c>
      <c r="H172" s="51" t="n">
        <f aca="false">IF($A172="","",STDEV(Weekly_Demand!G172:BF172))</f>
        <v>98.763425305013</v>
      </c>
      <c r="I172" s="52" t="n">
        <f aca="false">IF($A172="","",IFERROR(H172/G172,0))</f>
        <v>0.538107514235193</v>
      </c>
      <c r="J172" s="53" t="n">
        <f aca="false">IF($A172="","",F172*C172)</f>
        <v>4867.44</v>
      </c>
      <c r="K172" s="54" t="n">
        <f aca="false">IF($A172="","",IFERROR(J172/$J$505,0))</f>
        <v>0.00125946161729475</v>
      </c>
      <c r="L172" s="54" t="n">
        <f aca="false">IF($A172="","",IFERROR(SUMIFS($J$5:$J$504,$AB$5:$AB$504,"&lt;="&amp;AB172)/$J$505,0))</f>
        <v>0.781395203305251</v>
      </c>
      <c r="M172" s="55" t="str">
        <f aca="false">IF($A172="","",IF(L172&lt;=Assumptions!$B$7,"A",IF(L172&lt;=Assumptions!$B$8,"B","C")))</f>
        <v>A</v>
      </c>
      <c r="N172" s="55" t="str">
        <f aca="false">IF($A172="","",IF(I172&lt;=Assumptions!$B$9,"X",IF(I172&lt;=Assumptions!$B$10,"Y","Z")))</f>
        <v>Y</v>
      </c>
      <c r="O172" s="56" t="str">
        <f aca="false">IF($A172="","",M172&amp;N172)</f>
        <v>AY</v>
      </c>
      <c r="P172" s="57" t="n">
        <f aca="false">IF($A172="","",INDEX(Assumptions!$B$35:$B$37,MATCH(M172,Assumptions!$A$35:$A$37,0)))</f>
        <v>0.98</v>
      </c>
      <c r="Q172" s="58" t="n">
        <f aca="false">IF($A172="","",NORMSINV(P172))</f>
        <v>2.05374891063182</v>
      </c>
      <c r="R172" s="48" t="n">
        <f aca="false">IF($A172="","",ROUNDUP(Q172*H172*SQRT(D172),0))</f>
        <v>574</v>
      </c>
      <c r="S172" s="48" t="n">
        <f aca="false">IF($A172="","",ROUNDUP(G172*D172+R172,0))</f>
        <v>2043</v>
      </c>
      <c r="T172" s="46" t="n">
        <f aca="false">IF($A172="","",IFERROR(ROUND(SQRT(2*F172*Assumptions!$B$4/(Assumptions!$B$5*C172)),0),0))</f>
        <v>2736</v>
      </c>
      <c r="U172" s="53" t="n">
        <f aca="false">IF($A172="","",R172*C172)</f>
        <v>292.74</v>
      </c>
      <c r="V172" s="53" t="n">
        <f aca="false">IF($A172="","",E172*C172)</f>
        <v>281.01</v>
      </c>
      <c r="W172" s="59" t="n">
        <f aca="false">IF($A172="","",IFERROR(E172/G172,0))</f>
        <v>3.00209555741827</v>
      </c>
      <c r="X172" s="48" t="n">
        <f aca="false">IF($A172="","",S172+T172)</f>
        <v>4779</v>
      </c>
      <c r="Y172" s="48" t="n">
        <f aca="false">IF($A172="","",MAX(0,E172-X172))</f>
        <v>0</v>
      </c>
      <c r="Z172" s="53" t="n">
        <f aca="false">IF($A172="","",Y172*C172)</f>
        <v>0</v>
      </c>
      <c r="AA172" s="56" t="str">
        <f aca="false">IF($A172="","",IF(E172&lt;=R172,"Below Safety Stock",IF(E172&lt;=S172,"Reorder Now",IF(E172&gt;X172,"Excess","Healthy"))))</f>
        <v>Below Safety Stock</v>
      </c>
      <c r="AB172" s="48" t="n">
        <f aca="false">IF($A172="","",RANK(AF172,$AF$5:$AF$504,0)+COUNTIF($AF$5:AF172,AF172)-1)</f>
        <v>275</v>
      </c>
      <c r="AC172" s="44" t="str">
        <f aca="false">IF($A172="","",Weekly_Demand!B172)</f>
        <v>STRAWBERRY CHARLOTTE BAG</v>
      </c>
      <c r="AD172" s="59" t="n">
        <f aca="false">IF($A172="","",H172*SQRT(D172))</f>
        <v>279.345151065543</v>
      </c>
      <c r="AE172" s="53" t="n">
        <f aca="false">IF($A172="","",AD172*C172)</f>
        <v>142.466027043427</v>
      </c>
      <c r="AF172" s="53" t="n">
        <f aca="false">IF($A172="","",ROUND(J172,2))</f>
        <v>4867.44</v>
      </c>
    </row>
    <row r="173" customFormat="false" ht="15" hidden="false" customHeight="false" outlineLevel="0" collapsed="false">
      <c r="A173" s="44" t="str">
        <f aca="false">IF(Weekly_Demand!A173="","",Weekly_Demand!A173)</f>
        <v>21790</v>
      </c>
      <c r="B173" s="44" t="str">
        <f aca="false">IF($A173="","",Weekly_Demand!C173)</f>
        <v>Cards/Gifts</v>
      </c>
      <c r="C173" s="45" t="n">
        <f aca="false">IF($A173="","",Weekly_Demand!D173)</f>
        <v>0.51</v>
      </c>
      <c r="D173" s="46" t="n">
        <f aca="false">IF($A173="","",Weekly_Demand!E173+Assumptions!$B$19)</f>
        <v>6</v>
      </c>
      <c r="E173" s="46" t="n">
        <f aca="false">IF($A173="","",Weekly_Demand!F173)</f>
        <v>8060</v>
      </c>
      <c r="F173" s="46" t="n">
        <f aca="false">IF($A173="","",SUM(Weekly_Demand!G173:BF173))</f>
        <v>13971</v>
      </c>
      <c r="G173" s="51" t="n">
        <f aca="false">IF($A173="","",IFERROR(F173/Assumptions!$B$6,0))</f>
        <v>268.673076923077</v>
      </c>
      <c r="H173" s="51" t="n">
        <f aca="false">IF($A173="","",STDEV(Weekly_Demand!G173:BF173))</f>
        <v>214.565929458674</v>
      </c>
      <c r="I173" s="52" t="n">
        <f aca="false">IF($A173="","",IFERROR(H173/G173,0))</f>
        <v>0.798613437252239</v>
      </c>
      <c r="J173" s="53" t="n">
        <f aca="false">IF($A173="","",F173*C173)</f>
        <v>7125.21</v>
      </c>
      <c r="K173" s="54" t="n">
        <f aca="false">IF($A173="","",IFERROR(J173/$J$505,0))</f>
        <v>0.00184366494711074</v>
      </c>
      <c r="L173" s="54" t="n">
        <f aca="false">IF($A173="","",IFERROR(SUMIFS($J$5:$J$504,$AB$5:$AB$504,"&lt;="&amp;AB173)/$J$505,0))</f>
        <v>0.62714536173195</v>
      </c>
      <c r="M173" s="55" t="str">
        <f aca="false">IF($A173="","",IF(L173&lt;=Assumptions!$B$7,"A",IF(L173&lt;=Assumptions!$B$8,"B","C")))</f>
        <v>A</v>
      </c>
      <c r="N173" s="55" t="str">
        <f aca="false">IF($A173="","",IF(I173&lt;=Assumptions!$B$9,"X",IF(I173&lt;=Assumptions!$B$10,"Y","Z")))</f>
        <v>Y</v>
      </c>
      <c r="O173" s="56" t="str">
        <f aca="false">IF($A173="","",M173&amp;N173)</f>
        <v>AY</v>
      </c>
      <c r="P173" s="57" t="n">
        <f aca="false">IF($A173="","",INDEX(Assumptions!$B$35:$B$37,MATCH(M173,Assumptions!$A$35:$A$37,0)))</f>
        <v>0.98</v>
      </c>
      <c r="Q173" s="58" t="n">
        <f aca="false">IF($A173="","",NORMSINV(P173))</f>
        <v>2.05374891063182</v>
      </c>
      <c r="R173" s="48" t="n">
        <f aca="false">IF($A173="","",ROUNDUP(Q173*H173*SQRT(D173),0))</f>
        <v>1080</v>
      </c>
      <c r="S173" s="48" t="n">
        <f aca="false">IF($A173="","",ROUNDUP(G173*D173+R173,0))</f>
        <v>2693</v>
      </c>
      <c r="T173" s="46" t="n">
        <f aca="false">IF($A173="","",IFERROR(ROUND(SQRT(2*F173*Assumptions!$B$4/(Assumptions!$B$5*C173)),0),0))</f>
        <v>3310</v>
      </c>
      <c r="U173" s="53" t="n">
        <f aca="false">IF($A173="","",R173*C173)</f>
        <v>550.8</v>
      </c>
      <c r="V173" s="53" t="n">
        <f aca="false">IF($A173="","",E173*C173)</f>
        <v>4110.6</v>
      </c>
      <c r="W173" s="59" t="n">
        <f aca="false">IF($A173="","",IFERROR(E173/G173,0))</f>
        <v>29.9992842316227</v>
      </c>
      <c r="X173" s="48" t="n">
        <f aca="false">IF($A173="","",S173+T173)</f>
        <v>6003</v>
      </c>
      <c r="Y173" s="48" t="n">
        <f aca="false">IF($A173="","",MAX(0,E173-X173))</f>
        <v>2057</v>
      </c>
      <c r="Z173" s="53" t="n">
        <f aca="false">IF($A173="","",Y173*C173)</f>
        <v>1049.07</v>
      </c>
      <c r="AA173" s="56" t="str">
        <f aca="false">IF($A173="","",IF(E173&lt;=R173,"Below Safety Stock",IF(E173&lt;=S173,"Reorder Now",IF(E173&gt;X173,"Excess","Healthy"))))</f>
        <v>Excess</v>
      </c>
      <c r="AB173" s="48" t="n">
        <f aca="false">IF($A173="","",RANK(AF173,$AF$5:$AF$504,0)+COUNTIF($AF$5:AF173,AF173)-1)</f>
        <v>173</v>
      </c>
      <c r="AC173" s="44" t="str">
        <f aca="false">IF($A173="","",Weekly_Demand!B173)</f>
        <v>VINTAGE SNAP CARDS</v>
      </c>
      <c r="AD173" s="59" t="n">
        <f aca="false">IF($A173="","",H173*SQRT(D173))</f>
        <v>525.57704335976</v>
      </c>
      <c r="AE173" s="53" t="n">
        <f aca="false">IF($A173="","",AD173*C173)</f>
        <v>268.044292113478</v>
      </c>
      <c r="AF173" s="53" t="n">
        <f aca="false">IF($A173="","",ROUND(J173,2))</f>
        <v>7125.21</v>
      </c>
    </row>
    <row r="174" customFormat="false" ht="15" hidden="false" customHeight="false" outlineLevel="0" collapsed="false">
      <c r="A174" s="44" t="str">
        <f aca="false">IF(Weekly_Demand!A174="","",Weekly_Demand!A174)</f>
        <v>22113</v>
      </c>
      <c r="B174" s="44" t="str">
        <f aca="false">IF($A174="","",Weekly_Demand!C174)</f>
        <v>Other</v>
      </c>
      <c r="C174" s="45" t="n">
        <f aca="false">IF($A174="","",Weekly_Demand!D174)</f>
        <v>2.55</v>
      </c>
      <c r="D174" s="46" t="n">
        <f aca="false">IF($A174="","",Weekly_Demand!E174+Assumptions!$B$19)</f>
        <v>4</v>
      </c>
      <c r="E174" s="46" t="n">
        <f aca="false">IF($A174="","",Weekly_Demand!F174)</f>
        <v>525</v>
      </c>
      <c r="F174" s="46" t="n">
        <f aca="false">IF($A174="","",SUM(Weekly_Demand!G174:BF174))</f>
        <v>3031</v>
      </c>
      <c r="G174" s="51" t="n">
        <f aca="false">IF($A174="","",IFERROR(F174/Assumptions!$B$6,0))</f>
        <v>58.2884615384615</v>
      </c>
      <c r="H174" s="51" t="n">
        <f aca="false">IF($A174="","",STDEV(Weekly_Demand!G174:BF174))</f>
        <v>74.5891587923569</v>
      </c>
      <c r="I174" s="52" t="n">
        <f aca="false">IF($A174="","",IFERROR(H174/G174,0))</f>
        <v>1.27965564407871</v>
      </c>
      <c r="J174" s="53" t="n">
        <f aca="false">IF($A174="","",F174*C174)</f>
        <v>7729.05</v>
      </c>
      <c r="K174" s="54" t="n">
        <f aca="false">IF($A174="","",IFERROR(J174/$J$505,0))</f>
        <v>0.00199990997591176</v>
      </c>
      <c r="L174" s="54" t="n">
        <f aca="false">IF($A174="","",IFERROR(SUMIFS($J$5:$J$504,$AB$5:$AB$504,"&lt;="&amp;AB174)/$J$505,0))</f>
        <v>0.584705703227506</v>
      </c>
      <c r="M174" s="55" t="str">
        <f aca="false">IF($A174="","",IF(L174&lt;=Assumptions!$B$7,"A",IF(L174&lt;=Assumptions!$B$8,"B","C")))</f>
        <v>A</v>
      </c>
      <c r="N174" s="55" t="str">
        <f aca="false">IF($A174="","",IF(I174&lt;=Assumptions!$B$9,"X",IF(I174&lt;=Assumptions!$B$10,"Y","Z")))</f>
        <v>Z</v>
      </c>
      <c r="O174" s="56" t="str">
        <f aca="false">IF($A174="","",M174&amp;N174)</f>
        <v>AZ</v>
      </c>
      <c r="P174" s="57" t="n">
        <f aca="false">IF($A174="","",INDEX(Assumptions!$B$35:$B$37,MATCH(M174,Assumptions!$A$35:$A$37,0)))</f>
        <v>0.98</v>
      </c>
      <c r="Q174" s="58" t="n">
        <f aca="false">IF($A174="","",NORMSINV(P174))</f>
        <v>2.05374891063182</v>
      </c>
      <c r="R174" s="48" t="n">
        <f aca="false">IF($A174="","",ROUNDUP(Q174*H174*SQRT(D174),0))</f>
        <v>307</v>
      </c>
      <c r="S174" s="48" t="n">
        <f aca="false">IF($A174="","",ROUNDUP(G174*D174+R174,0))</f>
        <v>541</v>
      </c>
      <c r="T174" s="46" t="n">
        <f aca="false">IF($A174="","",IFERROR(ROUND(SQRT(2*F174*Assumptions!$B$4/(Assumptions!$B$5*C174)),0),0))</f>
        <v>690</v>
      </c>
      <c r="U174" s="53" t="n">
        <f aca="false">IF($A174="","",R174*C174)</f>
        <v>782.85</v>
      </c>
      <c r="V174" s="53" t="n">
        <f aca="false">IF($A174="","",E174*C174)</f>
        <v>1338.75</v>
      </c>
      <c r="W174" s="59" t="n">
        <f aca="false">IF($A174="","",IFERROR(E174/G174,0))</f>
        <v>9.00692840646651</v>
      </c>
      <c r="X174" s="48" t="n">
        <f aca="false">IF($A174="","",S174+T174)</f>
        <v>1231</v>
      </c>
      <c r="Y174" s="48" t="n">
        <f aca="false">IF($A174="","",MAX(0,E174-X174))</f>
        <v>0</v>
      </c>
      <c r="Z174" s="53" t="n">
        <f aca="false">IF($A174="","",Y174*C174)</f>
        <v>0</v>
      </c>
      <c r="AA174" s="56" t="str">
        <f aca="false">IF($A174="","",IF(E174&lt;=R174,"Below Safety Stock",IF(E174&lt;=S174,"Reorder Now",IF(E174&gt;X174,"Excess","Healthy"))))</f>
        <v>Reorder Now</v>
      </c>
      <c r="AB174" s="48" t="n">
        <f aca="false">IF($A174="","",RANK(AF174,$AF$5:$AF$504,0)+COUNTIF($AF$5:AF174,AF174)-1)</f>
        <v>151</v>
      </c>
      <c r="AC174" s="44" t="str">
        <f aca="false">IF($A174="","",Weekly_Demand!B174)</f>
        <v>GREY HEART HOT WATER BOTTLE</v>
      </c>
      <c r="AD174" s="59" t="n">
        <f aca="false">IF($A174="","",H174*SQRT(D174))</f>
        <v>149.178317584714</v>
      </c>
      <c r="AE174" s="53" t="n">
        <f aca="false">IF($A174="","",AD174*C174)</f>
        <v>380.40470984102</v>
      </c>
      <c r="AF174" s="53" t="n">
        <f aca="false">IF($A174="","",ROUND(J174,2))</f>
        <v>7729.05</v>
      </c>
    </row>
    <row r="175" customFormat="false" ht="15" hidden="false" customHeight="false" outlineLevel="0" collapsed="false">
      <c r="A175" s="44" t="str">
        <f aca="false">IF(Weekly_Demand!A175="","",Weekly_Demand!A175)</f>
        <v>21977</v>
      </c>
      <c r="B175" s="44" t="str">
        <f aca="false">IF($A175="","",Weekly_Demand!C175)</f>
        <v>Kitchen</v>
      </c>
      <c r="C175" s="45" t="n">
        <f aca="false">IF($A175="","",Weekly_Demand!D175)</f>
        <v>0.33</v>
      </c>
      <c r="D175" s="46" t="n">
        <f aca="false">IF($A175="","",Weekly_Demand!E175+Assumptions!$B$19)</f>
        <v>4</v>
      </c>
      <c r="E175" s="46" t="n">
        <f aca="false">IF($A175="","",Weekly_Demand!F175)</f>
        <v>466</v>
      </c>
      <c r="F175" s="46" t="n">
        <f aca="false">IF($A175="","",SUM(Weekly_Demand!G175:BF175))</f>
        <v>24238</v>
      </c>
      <c r="G175" s="51" t="n">
        <f aca="false">IF($A175="","",IFERROR(F175/Assumptions!$B$6,0))</f>
        <v>466.115384615385</v>
      </c>
      <c r="H175" s="51" t="n">
        <f aca="false">IF($A175="","",STDEV(Weekly_Demand!G175:BF175))</f>
        <v>461.178356627257</v>
      </c>
      <c r="I175" s="52" t="n">
        <f aca="false">IF($A175="","",IFERROR(H175/G175,0))</f>
        <v>0.989408141951373</v>
      </c>
      <c r="J175" s="53" t="n">
        <f aca="false">IF($A175="","",F175*C175)</f>
        <v>7998.54</v>
      </c>
      <c r="K175" s="54" t="n">
        <f aca="false">IF($A175="","",IFERROR(J175/$J$505,0))</f>
        <v>0.00206964115107669</v>
      </c>
      <c r="L175" s="54" t="n">
        <f aca="false">IF($A175="","",IFERROR(SUMIFS($J$5:$J$504,$AB$5:$AB$504,"&lt;="&amp;AB175)/$J$505,0))</f>
        <v>0.570450323805014</v>
      </c>
      <c r="M175" s="55" t="str">
        <f aca="false">IF($A175="","",IF(L175&lt;=Assumptions!$B$7,"A",IF(L175&lt;=Assumptions!$B$8,"B","C")))</f>
        <v>A</v>
      </c>
      <c r="N175" s="55" t="str">
        <f aca="false">IF($A175="","",IF(I175&lt;=Assumptions!$B$9,"X",IF(I175&lt;=Assumptions!$B$10,"Y","Z")))</f>
        <v>Y</v>
      </c>
      <c r="O175" s="56" t="str">
        <f aca="false">IF($A175="","",M175&amp;N175)</f>
        <v>AY</v>
      </c>
      <c r="P175" s="57" t="n">
        <f aca="false">IF($A175="","",INDEX(Assumptions!$B$35:$B$37,MATCH(M175,Assumptions!$A$35:$A$37,0)))</f>
        <v>0.98</v>
      </c>
      <c r="Q175" s="58" t="n">
        <f aca="false">IF($A175="","",NORMSINV(P175))</f>
        <v>2.05374891063182</v>
      </c>
      <c r="R175" s="48" t="n">
        <f aca="false">IF($A175="","",ROUNDUP(Q175*H175*SQRT(D175),0))</f>
        <v>1895</v>
      </c>
      <c r="S175" s="48" t="n">
        <f aca="false">IF($A175="","",ROUNDUP(G175*D175+R175,0))</f>
        <v>3760</v>
      </c>
      <c r="T175" s="46" t="n">
        <f aca="false">IF($A175="","",IFERROR(ROUND(SQRT(2*F175*Assumptions!$B$4/(Assumptions!$B$5*C175)),0),0))</f>
        <v>5420</v>
      </c>
      <c r="U175" s="53" t="n">
        <f aca="false">IF($A175="","",R175*C175)</f>
        <v>625.35</v>
      </c>
      <c r="V175" s="53" t="n">
        <f aca="false">IF($A175="","",E175*C175)</f>
        <v>153.78</v>
      </c>
      <c r="W175" s="59" t="n">
        <f aca="false">IF($A175="","",IFERROR(E175/G175,0))</f>
        <v>0.999752454823005</v>
      </c>
      <c r="X175" s="48" t="n">
        <f aca="false">IF($A175="","",S175+T175)</f>
        <v>9180</v>
      </c>
      <c r="Y175" s="48" t="n">
        <f aca="false">IF($A175="","",MAX(0,E175-X175))</f>
        <v>0</v>
      </c>
      <c r="Z175" s="53" t="n">
        <f aca="false">IF($A175="","",Y175*C175)</f>
        <v>0</v>
      </c>
      <c r="AA175" s="56" t="str">
        <f aca="false">IF($A175="","",IF(E175&lt;=R175,"Below Safety Stock",IF(E175&lt;=S175,"Reorder Now",IF(E175&gt;X175,"Excess","Healthy"))))</f>
        <v>Below Safety Stock</v>
      </c>
      <c r="AB175" s="48" t="n">
        <f aca="false">IF($A175="","",RANK(AF175,$AF$5:$AF$504,0)+COUNTIF($AF$5:AF175,AF175)-1)</f>
        <v>144</v>
      </c>
      <c r="AC175" s="44" t="str">
        <f aca="false">IF($A175="","",Weekly_Demand!B175)</f>
        <v>PACK OF 60 PINK PAISLEY CAKE CASES</v>
      </c>
      <c r="AD175" s="59" t="n">
        <f aca="false">IF($A175="","",H175*SQRT(D175))</f>
        <v>922.356713254515</v>
      </c>
      <c r="AE175" s="53" t="n">
        <f aca="false">IF($A175="","",AD175*C175)</f>
        <v>304.37771537399</v>
      </c>
      <c r="AF175" s="53" t="n">
        <f aca="false">IF($A175="","",ROUND(J175,2))</f>
        <v>7998.54</v>
      </c>
    </row>
    <row r="176" customFormat="false" ht="15" hidden="false" customHeight="false" outlineLevel="0" collapsed="false">
      <c r="A176" s="44" t="str">
        <f aca="false">IF(Weekly_Demand!A176="","",Weekly_Demand!A176)</f>
        <v>22424</v>
      </c>
      <c r="B176" s="44" t="str">
        <f aca="false">IF($A176="","",Weekly_Demand!C176)</f>
        <v>Other</v>
      </c>
      <c r="C176" s="45" t="n">
        <f aca="false">IF($A176="","",Weekly_Demand!D176)</f>
        <v>7.65</v>
      </c>
      <c r="D176" s="46" t="n">
        <f aca="false">IF($A176="","",Weekly_Demand!E176+Assumptions!$B$19)</f>
        <v>2</v>
      </c>
      <c r="E176" s="46" t="n">
        <f aca="false">IF($A176="","",Weekly_Demand!F176)</f>
        <v>259</v>
      </c>
      <c r="F176" s="46" t="n">
        <f aca="false">IF($A176="","",SUM(Weekly_Demand!G176:BF176))</f>
        <v>842</v>
      </c>
      <c r="G176" s="51" t="n">
        <f aca="false">IF($A176="","",IFERROR(F176/Assumptions!$B$6,0))</f>
        <v>16.1923076923077</v>
      </c>
      <c r="H176" s="51" t="n">
        <f aca="false">IF($A176="","",STDEV(Weekly_Demand!G176:BF176))</f>
        <v>9.55076931823483</v>
      </c>
      <c r="I176" s="52" t="n">
        <f aca="false">IF($A176="","",IFERROR(H176/G176,0))</f>
        <v>0.589833734617828</v>
      </c>
      <c r="J176" s="53" t="n">
        <f aca="false">IF($A176="","",F176*C176)</f>
        <v>6441.3</v>
      </c>
      <c r="K176" s="54" t="n">
        <f aca="false">IF($A176="","",IFERROR(J176/$J$505,0))</f>
        <v>0.00166670161634877</v>
      </c>
      <c r="L176" s="54" t="n">
        <f aca="false">IF($A176="","",IFERROR(SUMIFS($J$5:$J$504,$AB$5:$AB$504,"&lt;="&amp;AB176)/$J$505,0))</f>
        <v>0.670845341946554</v>
      </c>
      <c r="M176" s="55" t="str">
        <f aca="false">IF($A176="","",IF(L176&lt;=Assumptions!$B$7,"A",IF(L176&lt;=Assumptions!$B$8,"B","C")))</f>
        <v>A</v>
      </c>
      <c r="N176" s="55" t="str">
        <f aca="false">IF($A176="","",IF(I176&lt;=Assumptions!$B$9,"X",IF(I176&lt;=Assumptions!$B$10,"Y","Z")))</f>
        <v>Y</v>
      </c>
      <c r="O176" s="56" t="str">
        <f aca="false">IF($A176="","",M176&amp;N176)</f>
        <v>AY</v>
      </c>
      <c r="P176" s="57" t="n">
        <f aca="false">IF($A176="","",INDEX(Assumptions!$B$35:$B$37,MATCH(M176,Assumptions!$A$35:$A$37,0)))</f>
        <v>0.98</v>
      </c>
      <c r="Q176" s="58" t="n">
        <f aca="false">IF($A176="","",NORMSINV(P176))</f>
        <v>2.05374891063182</v>
      </c>
      <c r="R176" s="48" t="n">
        <f aca="false">IF($A176="","",ROUNDUP(Q176*H176*SQRT(D176),0))</f>
        <v>28</v>
      </c>
      <c r="S176" s="48" t="n">
        <f aca="false">IF($A176="","",ROUNDUP(G176*D176+R176,0))</f>
        <v>61</v>
      </c>
      <c r="T176" s="46" t="n">
        <f aca="false">IF($A176="","",IFERROR(ROUND(SQRT(2*F176*Assumptions!$B$4/(Assumptions!$B$5*C176)),0),0))</f>
        <v>210</v>
      </c>
      <c r="U176" s="53" t="n">
        <f aca="false">IF($A176="","",R176*C176)</f>
        <v>214.2</v>
      </c>
      <c r="V176" s="53" t="n">
        <f aca="false">IF($A176="","",E176*C176)</f>
        <v>1981.35</v>
      </c>
      <c r="W176" s="59" t="n">
        <f aca="false">IF($A176="","",IFERROR(E176/G176,0))</f>
        <v>15.9952494061758</v>
      </c>
      <c r="X176" s="48" t="n">
        <f aca="false">IF($A176="","",S176+T176)</f>
        <v>271</v>
      </c>
      <c r="Y176" s="48" t="n">
        <f aca="false">IF($A176="","",MAX(0,E176-X176))</f>
        <v>0</v>
      </c>
      <c r="Z176" s="53" t="n">
        <f aca="false">IF($A176="","",Y176*C176)</f>
        <v>0</v>
      </c>
      <c r="AA176" s="56" t="str">
        <f aca="false">IF($A176="","",IF(E176&lt;=R176,"Below Safety Stock",IF(E176&lt;=S176,"Reorder Now",IF(E176&gt;X176,"Excess","Healthy"))))</f>
        <v>Healthy</v>
      </c>
      <c r="AB176" s="48" t="n">
        <f aca="false">IF($A176="","",RANK(AF176,$AF$5:$AF$504,0)+COUNTIF($AF$5:AF176,AF176)-1)</f>
        <v>198</v>
      </c>
      <c r="AC176" s="44" t="str">
        <f aca="false">IF($A176="","",Weekly_Demand!B176)</f>
        <v>ENAMEL BREAD BIN CREAM</v>
      </c>
      <c r="AD176" s="59" t="n">
        <f aca="false">IF($A176="","",H176*SQRT(D176))</f>
        <v>13.5068275009445</v>
      </c>
      <c r="AE176" s="53" t="n">
        <f aca="false">IF($A176="","",AD176*C176)</f>
        <v>103.327230382226</v>
      </c>
      <c r="AF176" s="53" t="n">
        <f aca="false">IF($A176="","",ROUND(J176,2))</f>
        <v>6441.3</v>
      </c>
    </row>
    <row r="177" customFormat="false" ht="15" hidden="false" customHeight="false" outlineLevel="0" collapsed="false">
      <c r="A177" s="44" t="str">
        <f aca="false">IF(Weekly_Demand!A177="","",Weekly_Demand!A177)</f>
        <v>22273</v>
      </c>
      <c r="B177" s="44" t="str">
        <f aca="false">IF($A177="","",Weekly_Demand!C177)</f>
        <v>Other</v>
      </c>
      <c r="C177" s="45" t="n">
        <f aca="false">IF($A177="","",Weekly_Demand!D177)</f>
        <v>1.77</v>
      </c>
      <c r="D177" s="46" t="n">
        <f aca="false">IF($A177="","",Weekly_Demand!E177+Assumptions!$B$19)</f>
        <v>4</v>
      </c>
      <c r="E177" s="46" t="n">
        <f aca="false">IF($A177="","",Weekly_Demand!F177)</f>
        <v>600</v>
      </c>
      <c r="F177" s="46" t="n">
        <f aca="false">IF($A177="","",SUM(Weekly_Demand!G177:BF177))</f>
        <v>4458</v>
      </c>
      <c r="G177" s="51" t="n">
        <f aca="false">IF($A177="","",IFERROR(F177/Assumptions!$B$6,0))</f>
        <v>85.7307692307692</v>
      </c>
      <c r="H177" s="51" t="n">
        <f aca="false">IF($A177="","",STDEV(Weekly_Demand!G177:BF177))</f>
        <v>243.234020726157</v>
      </c>
      <c r="I177" s="52" t="n">
        <f aca="false">IF($A177="","",IFERROR(H177/G177,0))</f>
        <v>2.83718462937643</v>
      </c>
      <c r="J177" s="53" t="n">
        <f aca="false">IF($A177="","",F177*C177)</f>
        <v>7890.66</v>
      </c>
      <c r="K177" s="54" t="n">
        <f aca="false">IF($A177="","",IFERROR(J177/$J$505,0))</f>
        <v>0.00204172694581196</v>
      </c>
      <c r="L177" s="54" t="n">
        <f aca="false">IF($A177="","",IFERROR(SUMIFS($J$5:$J$504,$AB$5:$AB$504,"&lt;="&amp;AB177)/$J$505,0))</f>
        <v>0.578655834853774</v>
      </c>
      <c r="M177" s="55" t="str">
        <f aca="false">IF($A177="","",IF(L177&lt;=Assumptions!$B$7,"A",IF(L177&lt;=Assumptions!$B$8,"B","C")))</f>
        <v>A</v>
      </c>
      <c r="N177" s="55" t="str">
        <f aca="false">IF($A177="","",IF(I177&lt;=Assumptions!$B$9,"X",IF(I177&lt;=Assumptions!$B$10,"Y","Z")))</f>
        <v>Z</v>
      </c>
      <c r="O177" s="56" t="str">
        <f aca="false">IF($A177="","",M177&amp;N177)</f>
        <v>AZ</v>
      </c>
      <c r="P177" s="57" t="n">
        <f aca="false">IF($A177="","",INDEX(Assumptions!$B$35:$B$37,MATCH(M177,Assumptions!$A$35:$A$37,0)))</f>
        <v>0.98</v>
      </c>
      <c r="Q177" s="58" t="n">
        <f aca="false">IF($A177="","",NORMSINV(P177))</f>
        <v>2.05374891063182</v>
      </c>
      <c r="R177" s="48" t="n">
        <f aca="false">IF($A177="","",ROUNDUP(Q177*H177*SQRT(D177),0))</f>
        <v>1000</v>
      </c>
      <c r="S177" s="48" t="n">
        <f aca="false">IF($A177="","",ROUNDUP(G177*D177+R177,0))</f>
        <v>1343</v>
      </c>
      <c r="T177" s="46" t="n">
        <f aca="false">IF($A177="","",IFERROR(ROUND(SQRT(2*F177*Assumptions!$B$4/(Assumptions!$B$5*C177)),0),0))</f>
        <v>1004</v>
      </c>
      <c r="U177" s="53" t="n">
        <f aca="false">IF($A177="","",R177*C177)</f>
        <v>1770</v>
      </c>
      <c r="V177" s="53" t="n">
        <f aca="false">IF($A177="","",E177*C177)</f>
        <v>1062</v>
      </c>
      <c r="W177" s="59" t="n">
        <f aca="false">IF($A177="","",IFERROR(E177/G177,0))</f>
        <v>6.99865410497981</v>
      </c>
      <c r="X177" s="48" t="n">
        <f aca="false">IF($A177="","",S177+T177)</f>
        <v>2347</v>
      </c>
      <c r="Y177" s="48" t="n">
        <f aca="false">IF($A177="","",MAX(0,E177-X177))</f>
        <v>0</v>
      </c>
      <c r="Z177" s="53" t="n">
        <f aca="false">IF($A177="","",Y177*C177)</f>
        <v>0</v>
      </c>
      <c r="AA177" s="56" t="str">
        <f aca="false">IF($A177="","",IF(E177&lt;=R177,"Below Safety Stock",IF(E177&lt;=S177,"Reorder Now",IF(E177&gt;X177,"Excess","Healthy"))))</f>
        <v>Below Safety Stock</v>
      </c>
      <c r="AB177" s="48" t="n">
        <f aca="false">IF($A177="","",RANK(AF177,$AF$5:$AF$504,0)+COUNTIF($AF$5:AF177,AF177)-1)</f>
        <v>148</v>
      </c>
      <c r="AC177" s="44" t="str">
        <f aca="false">IF($A177="","",Weekly_Demand!B177)</f>
        <v>FELTCRAFT DOLL MOLLY</v>
      </c>
      <c r="AD177" s="59" t="n">
        <f aca="false">IF($A177="","",H177*SQRT(D177))</f>
        <v>486.468041452313</v>
      </c>
      <c r="AE177" s="53" t="n">
        <f aca="false">IF($A177="","",AD177*C177)</f>
        <v>861.048433370594</v>
      </c>
      <c r="AF177" s="53" t="n">
        <f aca="false">IF($A177="","",ROUND(J177,2))</f>
        <v>7890.66</v>
      </c>
    </row>
    <row r="178" customFormat="false" ht="15" hidden="false" customHeight="false" outlineLevel="0" collapsed="false">
      <c r="A178" s="44" t="str">
        <f aca="false">IF(Weekly_Demand!A178="","",Weekly_Demand!A178)</f>
        <v>22087</v>
      </c>
      <c r="B178" s="44" t="str">
        <f aca="false">IF($A178="","",Weekly_Demand!C178)</f>
        <v>Other</v>
      </c>
      <c r="C178" s="45" t="n">
        <f aca="false">IF($A178="","",Weekly_Demand!D178)</f>
        <v>1.77</v>
      </c>
      <c r="D178" s="46" t="n">
        <f aca="false">IF($A178="","",Weekly_Demand!E178+Assumptions!$B$19)</f>
        <v>8</v>
      </c>
      <c r="E178" s="46" t="n">
        <f aca="false">IF($A178="","",Weekly_Demand!F178)</f>
        <v>1084</v>
      </c>
      <c r="F178" s="46" t="n">
        <f aca="false">IF($A178="","",SUM(Weekly_Demand!G178:BF178))</f>
        <v>4025</v>
      </c>
      <c r="G178" s="51" t="n">
        <f aca="false">IF($A178="","",IFERROR(F178/Assumptions!$B$6,0))</f>
        <v>77.4038461538462</v>
      </c>
      <c r="H178" s="51" t="n">
        <f aca="false">IF($A178="","",STDEV(Weekly_Demand!G178:BF178))</f>
        <v>120.863439324343</v>
      </c>
      <c r="I178" s="52" t="n">
        <f aca="false">IF($A178="","",IFERROR(H178/G178,0))</f>
        <v>1.56146555151946</v>
      </c>
      <c r="J178" s="53" t="n">
        <f aca="false">IF($A178="","",F178*C178)</f>
        <v>7124.25</v>
      </c>
      <c r="K178" s="54" t="n">
        <f aca="false">IF($A178="","",IFERROR(J178/$J$505,0))</f>
        <v>0.0018434165448392</v>
      </c>
      <c r="L178" s="54" t="n">
        <f aca="false">IF($A178="","",IFERROR(SUMIFS($J$5:$J$504,$AB$5:$AB$504,"&lt;="&amp;AB178)/$J$505,0))</f>
        <v>0.628988778276789</v>
      </c>
      <c r="M178" s="55" t="str">
        <f aca="false">IF($A178="","",IF(L178&lt;=Assumptions!$B$7,"A",IF(L178&lt;=Assumptions!$B$8,"B","C")))</f>
        <v>A</v>
      </c>
      <c r="N178" s="55" t="str">
        <f aca="false">IF($A178="","",IF(I178&lt;=Assumptions!$B$9,"X",IF(I178&lt;=Assumptions!$B$10,"Y","Z")))</f>
        <v>Z</v>
      </c>
      <c r="O178" s="56" t="str">
        <f aca="false">IF($A178="","",M178&amp;N178)</f>
        <v>AZ</v>
      </c>
      <c r="P178" s="57" t="n">
        <f aca="false">IF($A178="","",INDEX(Assumptions!$B$35:$B$37,MATCH(M178,Assumptions!$A$35:$A$37,0)))</f>
        <v>0.98</v>
      </c>
      <c r="Q178" s="58" t="n">
        <f aca="false">IF($A178="","",NORMSINV(P178))</f>
        <v>2.05374891063182</v>
      </c>
      <c r="R178" s="48" t="n">
        <f aca="false">IF($A178="","",ROUNDUP(Q178*H178*SQRT(D178),0))</f>
        <v>703</v>
      </c>
      <c r="S178" s="48" t="n">
        <f aca="false">IF($A178="","",ROUNDUP(G178*D178+R178,0))</f>
        <v>1323</v>
      </c>
      <c r="T178" s="46" t="n">
        <f aca="false">IF($A178="","",IFERROR(ROUND(SQRT(2*F178*Assumptions!$B$4/(Assumptions!$B$5*C178)),0),0))</f>
        <v>954</v>
      </c>
      <c r="U178" s="53" t="n">
        <f aca="false">IF($A178="","",R178*C178)</f>
        <v>1244.31</v>
      </c>
      <c r="V178" s="53" t="n">
        <f aca="false">IF($A178="","",E178*C178)</f>
        <v>1918.68</v>
      </c>
      <c r="W178" s="59" t="n">
        <f aca="false">IF($A178="","",IFERROR(E178/G178,0))</f>
        <v>14.0044720496894</v>
      </c>
      <c r="X178" s="48" t="n">
        <f aca="false">IF($A178="","",S178+T178)</f>
        <v>2277</v>
      </c>
      <c r="Y178" s="48" t="n">
        <f aca="false">IF($A178="","",MAX(0,E178-X178))</f>
        <v>0</v>
      </c>
      <c r="Z178" s="53" t="n">
        <f aca="false">IF($A178="","",Y178*C178)</f>
        <v>0</v>
      </c>
      <c r="AA178" s="56" t="str">
        <f aca="false">IF($A178="","",IF(E178&lt;=R178,"Below Safety Stock",IF(E178&lt;=S178,"Reorder Now",IF(E178&gt;X178,"Excess","Healthy"))))</f>
        <v>Reorder Now</v>
      </c>
      <c r="AB178" s="48" t="n">
        <f aca="false">IF($A178="","",RANK(AF178,$AF$5:$AF$504,0)+COUNTIF($AF$5:AF178,AF178)-1)</f>
        <v>174</v>
      </c>
      <c r="AC178" s="44" t="str">
        <f aca="false">IF($A178="","",Weekly_Demand!B178)</f>
        <v>PAPER BUNTING WHITE LACE</v>
      </c>
      <c r="AD178" s="59" t="n">
        <f aca="false">IF($A178="","",H178*SQRT(D178))</f>
        <v>341.853430175088</v>
      </c>
      <c r="AE178" s="53" t="n">
        <f aca="false">IF($A178="","",AD178*C178)</f>
        <v>605.080571409905</v>
      </c>
      <c r="AF178" s="53" t="n">
        <f aca="false">IF($A178="","",ROUND(J178,2))</f>
        <v>7124.25</v>
      </c>
    </row>
    <row r="179" customFormat="false" ht="15" hidden="false" customHeight="false" outlineLevel="0" collapsed="false">
      <c r="A179" s="44" t="str">
        <f aca="false">IF(Weekly_Demand!A179="","",Weekly_Demand!A179)</f>
        <v>22191</v>
      </c>
      <c r="B179" s="44" t="str">
        <f aca="false">IF($A179="","",Weekly_Demand!C179)</f>
        <v>Other</v>
      </c>
      <c r="C179" s="45" t="n">
        <f aca="false">IF($A179="","",Weekly_Demand!D179)</f>
        <v>5.1</v>
      </c>
      <c r="D179" s="46" t="n">
        <f aca="false">IF($A179="","",Weekly_Demand!E179+Assumptions!$B$19)</f>
        <v>8</v>
      </c>
      <c r="E179" s="46" t="n">
        <f aca="false">IF($A179="","",Weekly_Demand!F179)</f>
        <v>164</v>
      </c>
      <c r="F179" s="46" t="n">
        <f aca="false">IF($A179="","",SUM(Weekly_Demand!G179:BF179))</f>
        <v>1420</v>
      </c>
      <c r="G179" s="51" t="n">
        <f aca="false">IF($A179="","",IFERROR(F179/Assumptions!$B$6,0))</f>
        <v>27.3076923076923</v>
      </c>
      <c r="H179" s="51" t="n">
        <f aca="false">IF($A179="","",STDEV(Weekly_Demand!G179:BF179))</f>
        <v>48.9110992101249</v>
      </c>
      <c r="I179" s="52" t="n">
        <f aca="false">IF($A179="","",IFERROR(H179/G179,0))</f>
        <v>1.79111067530035</v>
      </c>
      <c r="J179" s="53" t="n">
        <f aca="false">IF($A179="","",F179*C179)</f>
        <v>7242</v>
      </c>
      <c r="K179" s="54" t="n">
        <f aca="false">IF($A179="","",IFERROR(J179/$J$505,0))</f>
        <v>0.00187388463595824</v>
      </c>
      <c r="L179" s="54" t="n">
        <f aca="false">IF($A179="","",IFERROR(SUMIFS($J$5:$J$504,$AB$5:$AB$504,"&lt;="&amp;AB179)/$J$505,0))</f>
        <v>0.621568544434089</v>
      </c>
      <c r="M179" s="55" t="str">
        <f aca="false">IF($A179="","",IF(L179&lt;=Assumptions!$B$7,"A",IF(L179&lt;=Assumptions!$B$8,"B","C")))</f>
        <v>A</v>
      </c>
      <c r="N179" s="55" t="str">
        <f aca="false">IF($A179="","",IF(I179&lt;=Assumptions!$B$9,"X",IF(I179&lt;=Assumptions!$B$10,"Y","Z")))</f>
        <v>Z</v>
      </c>
      <c r="O179" s="56" t="str">
        <f aca="false">IF($A179="","",M179&amp;N179)</f>
        <v>AZ</v>
      </c>
      <c r="P179" s="57" t="n">
        <f aca="false">IF($A179="","",INDEX(Assumptions!$B$35:$B$37,MATCH(M179,Assumptions!$A$35:$A$37,0)))</f>
        <v>0.98</v>
      </c>
      <c r="Q179" s="58" t="n">
        <f aca="false">IF($A179="","",NORMSINV(P179))</f>
        <v>2.05374891063182</v>
      </c>
      <c r="R179" s="48" t="n">
        <f aca="false">IF($A179="","",ROUNDUP(Q179*H179*SQRT(D179),0))</f>
        <v>285</v>
      </c>
      <c r="S179" s="48" t="n">
        <f aca="false">IF($A179="","",ROUNDUP(G179*D179+R179,0))</f>
        <v>504</v>
      </c>
      <c r="T179" s="46" t="n">
        <f aca="false">IF($A179="","",IFERROR(ROUND(SQRT(2*F179*Assumptions!$B$4/(Assumptions!$B$5*C179)),0),0))</f>
        <v>334</v>
      </c>
      <c r="U179" s="53" t="n">
        <f aca="false">IF($A179="","",R179*C179)</f>
        <v>1453.5</v>
      </c>
      <c r="V179" s="53" t="n">
        <f aca="false">IF($A179="","",E179*C179)</f>
        <v>836.4</v>
      </c>
      <c r="W179" s="59" t="n">
        <f aca="false">IF($A179="","",IFERROR(E179/G179,0))</f>
        <v>6.0056338028169</v>
      </c>
      <c r="X179" s="48" t="n">
        <f aca="false">IF($A179="","",S179+T179)</f>
        <v>838</v>
      </c>
      <c r="Y179" s="48" t="n">
        <f aca="false">IF($A179="","",MAX(0,E179-X179))</f>
        <v>0</v>
      </c>
      <c r="Z179" s="53" t="n">
        <f aca="false">IF($A179="","",Y179*C179)</f>
        <v>0</v>
      </c>
      <c r="AA179" s="56" t="str">
        <f aca="false">IF($A179="","",IF(E179&lt;=R179,"Below Safety Stock",IF(E179&lt;=S179,"Reorder Now",IF(E179&gt;X179,"Excess","Healthy"))))</f>
        <v>Below Safety Stock</v>
      </c>
      <c r="AB179" s="48" t="n">
        <f aca="false">IF($A179="","",RANK(AF179,$AF$5:$AF$504,0)+COUNTIF($AF$5:AF179,AF179)-1)</f>
        <v>170</v>
      </c>
      <c r="AC179" s="44" t="str">
        <f aca="false">IF($A179="","",Weekly_Demand!B179)</f>
        <v>IVORY DINER WALL CLOCK</v>
      </c>
      <c r="AD179" s="59" t="n">
        <f aca="false">IF($A179="","",H179*SQRT(D179))</f>
        <v>138.341479707069</v>
      </c>
      <c r="AE179" s="53" t="n">
        <f aca="false">IF($A179="","",AD179*C179)</f>
        <v>705.541546506054</v>
      </c>
      <c r="AF179" s="53" t="n">
        <f aca="false">IF($A179="","",ROUND(J179,2))</f>
        <v>7242</v>
      </c>
    </row>
    <row r="180" customFormat="false" ht="15" hidden="false" customHeight="false" outlineLevel="0" collapsed="false">
      <c r="A180" s="44" t="str">
        <f aca="false">IF(Weekly_Demand!A180="","",Weekly_Demand!A180)</f>
        <v>22752</v>
      </c>
      <c r="B180" s="44" t="str">
        <f aca="false">IF($A180="","",Weekly_Demand!C180)</f>
        <v>Other</v>
      </c>
      <c r="C180" s="45" t="n">
        <f aca="false">IF($A180="","",Weekly_Demand!D180)</f>
        <v>5.1</v>
      </c>
      <c r="D180" s="46" t="n">
        <f aca="false">IF($A180="","",Weekly_Demand!E180+Assumptions!$B$19)</f>
        <v>2</v>
      </c>
      <c r="E180" s="46" t="n">
        <f aca="false">IF($A180="","",Weekly_Demand!F180)</f>
        <v>1328</v>
      </c>
      <c r="F180" s="46" t="n">
        <f aca="false">IF($A180="","",SUM(Weekly_Demand!G180:BF180))</f>
        <v>1354</v>
      </c>
      <c r="G180" s="51" t="n">
        <f aca="false">IF($A180="","",IFERROR(F180/Assumptions!$B$6,0))</f>
        <v>26.0384615384615</v>
      </c>
      <c r="H180" s="51" t="n">
        <f aca="false">IF($A180="","",STDEV(Weekly_Demand!G180:BF180))</f>
        <v>30.3799221225954</v>
      </c>
      <c r="I180" s="52" t="n">
        <f aca="false">IF($A180="","",IFERROR(H180/G180,0))</f>
        <v>1.16673260736703</v>
      </c>
      <c r="J180" s="53" t="n">
        <f aca="false">IF($A180="","",F180*C180)</f>
        <v>6905.4</v>
      </c>
      <c r="K180" s="54" t="n">
        <f aca="false">IF($A180="","",IFERROR(J180/$J$505,0))</f>
        <v>0.0017867885894982</v>
      </c>
      <c r="L180" s="54" t="n">
        <f aca="false">IF($A180="","",IFERROR(SUMIFS($J$5:$J$504,$AB$5:$AB$504,"&lt;="&amp;AB180)/$J$505,0))</f>
        <v>0.643411875807999</v>
      </c>
      <c r="M180" s="55" t="str">
        <f aca="false">IF($A180="","",IF(L180&lt;=Assumptions!$B$7,"A",IF(L180&lt;=Assumptions!$B$8,"B","C")))</f>
        <v>A</v>
      </c>
      <c r="N180" s="55" t="str">
        <f aca="false">IF($A180="","",IF(I180&lt;=Assumptions!$B$9,"X",IF(I180&lt;=Assumptions!$B$10,"Y","Z")))</f>
        <v>Z</v>
      </c>
      <c r="O180" s="56" t="str">
        <f aca="false">IF($A180="","",M180&amp;N180)</f>
        <v>AZ</v>
      </c>
      <c r="P180" s="57" t="n">
        <f aca="false">IF($A180="","",INDEX(Assumptions!$B$35:$B$37,MATCH(M180,Assumptions!$A$35:$A$37,0)))</f>
        <v>0.98</v>
      </c>
      <c r="Q180" s="58" t="n">
        <f aca="false">IF($A180="","",NORMSINV(P180))</f>
        <v>2.05374891063182</v>
      </c>
      <c r="R180" s="48" t="n">
        <f aca="false">IF($A180="","",ROUNDUP(Q180*H180*SQRT(D180),0))</f>
        <v>89</v>
      </c>
      <c r="S180" s="48" t="n">
        <f aca="false">IF($A180="","",ROUNDUP(G180*D180+R180,0))</f>
        <v>142</v>
      </c>
      <c r="T180" s="46" t="n">
        <f aca="false">IF($A180="","",IFERROR(ROUND(SQRT(2*F180*Assumptions!$B$4/(Assumptions!$B$5*C180)),0),0))</f>
        <v>326</v>
      </c>
      <c r="U180" s="53" t="n">
        <f aca="false">IF($A180="","",R180*C180)</f>
        <v>453.9</v>
      </c>
      <c r="V180" s="53" t="n">
        <f aca="false">IF($A180="","",E180*C180)</f>
        <v>6772.8</v>
      </c>
      <c r="W180" s="59" t="n">
        <f aca="false">IF($A180="","",IFERROR(E180/G180,0))</f>
        <v>51.0014771048744</v>
      </c>
      <c r="X180" s="48" t="n">
        <f aca="false">IF($A180="","",S180+T180)</f>
        <v>468</v>
      </c>
      <c r="Y180" s="48" t="n">
        <f aca="false">IF($A180="","",MAX(0,E180-X180))</f>
        <v>860</v>
      </c>
      <c r="Z180" s="53" t="n">
        <f aca="false">IF($A180="","",Y180*C180)</f>
        <v>4386</v>
      </c>
      <c r="AA180" s="56" t="str">
        <f aca="false">IF($A180="","",IF(E180&lt;=R180,"Below Safety Stock",IF(E180&lt;=S180,"Reorder Now",IF(E180&gt;X180,"Excess","Healthy"))))</f>
        <v>Excess</v>
      </c>
      <c r="AB180" s="48" t="n">
        <f aca="false">IF($A180="","",RANK(AF180,$AF$5:$AF$504,0)+COUNTIF($AF$5:AF180,AF180)-1)</f>
        <v>182</v>
      </c>
      <c r="AC180" s="44" t="str">
        <f aca="false">IF($A180="","",Weekly_Demand!B180)</f>
        <v>SET 7 BABUSHKA NESTING BOXES</v>
      </c>
      <c r="AD180" s="59" t="n">
        <f aca="false">IF($A180="","",H180*SQRT(D180))</f>
        <v>42.9636978896129</v>
      </c>
      <c r="AE180" s="53" t="n">
        <f aca="false">IF($A180="","",AD180*C180)</f>
        <v>219.114859237026</v>
      </c>
      <c r="AF180" s="53" t="n">
        <f aca="false">IF($A180="","",ROUND(J180,2))</f>
        <v>6905.4</v>
      </c>
    </row>
    <row r="181" customFormat="false" ht="15" hidden="false" customHeight="false" outlineLevel="0" collapsed="false">
      <c r="A181" s="44" t="str">
        <f aca="false">IF(Weekly_Demand!A181="","",Weekly_Demand!A181)</f>
        <v>21936</v>
      </c>
      <c r="B181" s="44" t="str">
        <f aca="false">IF($A181="","",Weekly_Demand!C181)</f>
        <v>Bags</v>
      </c>
      <c r="C181" s="45" t="n">
        <f aca="false">IF($A181="","",Weekly_Demand!D181)</f>
        <v>1.77</v>
      </c>
      <c r="D181" s="46" t="n">
        <f aca="false">IF($A181="","",Weekly_Demand!E181+Assumptions!$B$19)</f>
        <v>2</v>
      </c>
      <c r="E181" s="46" t="n">
        <f aca="false">IF($A181="","",Weekly_Demand!F181)</f>
        <v>2434</v>
      </c>
      <c r="F181" s="46" t="n">
        <f aca="false">IF($A181="","",SUM(Weekly_Demand!G181:BF181))</f>
        <v>3956</v>
      </c>
      <c r="G181" s="51" t="n">
        <f aca="false">IF($A181="","",IFERROR(F181/Assumptions!$B$6,0))</f>
        <v>76.0769230769231</v>
      </c>
      <c r="H181" s="51" t="n">
        <f aca="false">IF($A181="","",STDEV(Weekly_Demand!G181:BF181))</f>
        <v>90.3782565716729</v>
      </c>
      <c r="I181" s="52" t="n">
        <f aca="false">IF($A181="","",IFERROR(H181/G181,0))</f>
        <v>1.18798517232735</v>
      </c>
      <c r="J181" s="53" t="n">
        <f aca="false">IF($A181="","",F181*C181)</f>
        <v>7002.12</v>
      </c>
      <c r="K181" s="54" t="n">
        <f aca="false">IF($A181="","",IFERROR(J181/$J$505,0))</f>
        <v>0.00181181511835624</v>
      </c>
      <c r="L181" s="54" t="n">
        <f aca="false">IF($A181="","",IFERROR(SUMIFS($J$5:$J$504,$AB$5:$AB$504,"&lt;="&amp;AB181)/$J$505,0))</f>
        <v>0.634448893082451</v>
      </c>
      <c r="M181" s="55" t="str">
        <f aca="false">IF($A181="","",IF(L181&lt;=Assumptions!$B$7,"A",IF(L181&lt;=Assumptions!$B$8,"B","C")))</f>
        <v>A</v>
      </c>
      <c r="N181" s="55" t="str">
        <f aca="false">IF($A181="","",IF(I181&lt;=Assumptions!$B$9,"X",IF(I181&lt;=Assumptions!$B$10,"Y","Z")))</f>
        <v>Z</v>
      </c>
      <c r="O181" s="56" t="str">
        <f aca="false">IF($A181="","",M181&amp;N181)</f>
        <v>AZ</v>
      </c>
      <c r="P181" s="57" t="n">
        <f aca="false">IF($A181="","",INDEX(Assumptions!$B$35:$B$37,MATCH(M181,Assumptions!$A$35:$A$37,0)))</f>
        <v>0.98</v>
      </c>
      <c r="Q181" s="58" t="n">
        <f aca="false">IF($A181="","",NORMSINV(P181))</f>
        <v>2.05374891063182</v>
      </c>
      <c r="R181" s="48" t="n">
        <f aca="false">IF($A181="","",ROUNDUP(Q181*H181*SQRT(D181),0))</f>
        <v>263</v>
      </c>
      <c r="S181" s="48" t="n">
        <f aca="false">IF($A181="","",ROUNDUP(G181*D181+R181,0))</f>
        <v>416</v>
      </c>
      <c r="T181" s="46" t="n">
        <f aca="false">IF($A181="","",IFERROR(ROUND(SQRT(2*F181*Assumptions!$B$4/(Assumptions!$B$5*C181)),0),0))</f>
        <v>946</v>
      </c>
      <c r="U181" s="53" t="n">
        <f aca="false">IF($A181="","",R181*C181)</f>
        <v>465.51</v>
      </c>
      <c r="V181" s="53" t="n">
        <f aca="false">IF($A181="","",E181*C181)</f>
        <v>4308.18</v>
      </c>
      <c r="W181" s="59" t="n">
        <f aca="false">IF($A181="","",IFERROR(E181/G181,0))</f>
        <v>31.9939332659252</v>
      </c>
      <c r="X181" s="48" t="n">
        <f aca="false">IF($A181="","",S181+T181)</f>
        <v>1362</v>
      </c>
      <c r="Y181" s="48" t="n">
        <f aca="false">IF($A181="","",MAX(0,E181-X181))</f>
        <v>1072</v>
      </c>
      <c r="Z181" s="53" t="n">
        <f aca="false">IF($A181="","",Y181*C181)</f>
        <v>1897.44</v>
      </c>
      <c r="AA181" s="56" t="str">
        <f aca="false">IF($A181="","",IF(E181&lt;=R181,"Below Safety Stock",IF(E181&lt;=S181,"Reorder Now",IF(E181&gt;X181,"Excess","Healthy"))))</f>
        <v>Excess</v>
      </c>
      <c r="AB181" s="48" t="n">
        <f aca="false">IF($A181="","",RANK(AF181,$AF$5:$AF$504,0)+COUNTIF($AF$5:AF181,AF181)-1)</f>
        <v>177</v>
      </c>
      <c r="AC181" s="44" t="str">
        <f aca="false">IF($A181="","",Weekly_Demand!B181)</f>
        <v>RED RETROSPOT PICNIC BAG</v>
      </c>
      <c r="AD181" s="59" t="n">
        <f aca="false">IF($A181="","",H181*SQRT(D181))</f>
        <v>127.814156187295</v>
      </c>
      <c r="AE181" s="53" t="n">
        <f aca="false">IF($A181="","",AD181*C181)</f>
        <v>226.231056451512</v>
      </c>
      <c r="AF181" s="53" t="n">
        <f aca="false">IF($A181="","",ROUND(J181,2))</f>
        <v>7002.12</v>
      </c>
    </row>
    <row r="182" customFormat="false" ht="15" hidden="false" customHeight="false" outlineLevel="0" collapsed="false">
      <c r="A182" s="44" t="str">
        <f aca="false">IF(Weekly_Demand!A182="","",Weekly_Demand!A182)</f>
        <v>22158</v>
      </c>
      <c r="B182" s="44" t="str">
        <f aca="false">IF($A182="","",Weekly_Demand!C182)</f>
        <v>Other</v>
      </c>
      <c r="C182" s="45" t="n">
        <f aca="false">IF($A182="","",Weekly_Demand!D182)</f>
        <v>1.77</v>
      </c>
      <c r="D182" s="46" t="n">
        <f aca="false">IF($A182="","",Weekly_Demand!E182+Assumptions!$B$19)</f>
        <v>6</v>
      </c>
      <c r="E182" s="46" t="n">
        <f aca="false">IF($A182="","",Weekly_Demand!F182)</f>
        <v>127</v>
      </c>
      <c r="F182" s="46" t="n">
        <f aca="false">IF($A182="","",SUM(Weekly_Demand!G182:BF182))</f>
        <v>3305</v>
      </c>
      <c r="G182" s="51" t="n">
        <f aca="false">IF($A182="","",IFERROR(F182/Assumptions!$B$6,0))</f>
        <v>63.5576923076923</v>
      </c>
      <c r="H182" s="51" t="n">
        <f aca="false">IF($A182="","",STDEV(Weekly_Demand!G182:BF182))</f>
        <v>115.435477854563</v>
      </c>
      <c r="I182" s="52" t="n">
        <f aca="false">IF($A182="","",IFERROR(H182/G182,0))</f>
        <v>1.81623142161491</v>
      </c>
      <c r="J182" s="53" t="n">
        <f aca="false">IF($A182="","",F182*C182)</f>
        <v>5849.85</v>
      </c>
      <c r="K182" s="54" t="n">
        <f aca="false">IF($A182="","",IFERROR(J182/$J$505,0))</f>
        <v>0.00151366252936486</v>
      </c>
      <c r="L182" s="54" t="n">
        <f aca="false">IF($A182="","",IFERROR(SUMIFS($J$5:$J$504,$AB$5:$AB$504,"&lt;="&amp;AB182)/$J$505,0))</f>
        <v>0.708783556952019</v>
      </c>
      <c r="M182" s="55" t="str">
        <f aca="false">IF($A182="","",IF(L182&lt;=Assumptions!$B$7,"A",IF(L182&lt;=Assumptions!$B$8,"B","C")))</f>
        <v>A</v>
      </c>
      <c r="N182" s="55" t="str">
        <f aca="false">IF($A182="","",IF(I182&lt;=Assumptions!$B$9,"X",IF(I182&lt;=Assumptions!$B$10,"Y","Z")))</f>
        <v>Z</v>
      </c>
      <c r="O182" s="56" t="str">
        <f aca="false">IF($A182="","",M182&amp;N182)</f>
        <v>AZ</v>
      </c>
      <c r="P182" s="57" t="n">
        <f aca="false">IF($A182="","",INDEX(Assumptions!$B$35:$B$37,MATCH(M182,Assumptions!$A$35:$A$37,0)))</f>
        <v>0.98</v>
      </c>
      <c r="Q182" s="58" t="n">
        <f aca="false">IF($A182="","",NORMSINV(P182))</f>
        <v>2.05374891063182</v>
      </c>
      <c r="R182" s="48" t="n">
        <f aca="false">IF($A182="","",ROUNDUP(Q182*H182*SQRT(D182),0))</f>
        <v>581</v>
      </c>
      <c r="S182" s="48" t="n">
        <f aca="false">IF($A182="","",ROUNDUP(G182*D182+R182,0))</f>
        <v>963</v>
      </c>
      <c r="T182" s="46" t="n">
        <f aca="false">IF($A182="","",IFERROR(ROUND(SQRT(2*F182*Assumptions!$B$4/(Assumptions!$B$5*C182)),0),0))</f>
        <v>864</v>
      </c>
      <c r="U182" s="53" t="n">
        <f aca="false">IF($A182="","",R182*C182)</f>
        <v>1028.37</v>
      </c>
      <c r="V182" s="53" t="n">
        <f aca="false">IF($A182="","",E182*C182)</f>
        <v>224.79</v>
      </c>
      <c r="W182" s="59" t="n">
        <f aca="false">IF($A182="","",IFERROR(E182/G182,0))</f>
        <v>1.9981845688351</v>
      </c>
      <c r="X182" s="48" t="n">
        <f aca="false">IF($A182="","",S182+T182)</f>
        <v>1827</v>
      </c>
      <c r="Y182" s="48" t="n">
        <f aca="false">IF($A182="","",MAX(0,E182-X182))</f>
        <v>0</v>
      </c>
      <c r="Z182" s="53" t="n">
        <f aca="false">IF($A182="","",Y182*C182)</f>
        <v>0</v>
      </c>
      <c r="AA182" s="56" t="str">
        <f aca="false">IF($A182="","",IF(E182&lt;=R182,"Below Safety Stock",IF(E182&lt;=S182,"Reorder Now",IF(E182&gt;X182,"Excess","Healthy"))))</f>
        <v>Below Safety Stock</v>
      </c>
      <c r="AB182" s="48" t="n">
        <f aca="false">IF($A182="","",RANK(AF182,$AF$5:$AF$504,0)+COUNTIF($AF$5:AF182,AF182)-1)</f>
        <v>222</v>
      </c>
      <c r="AC182" s="44" t="str">
        <f aca="false">IF($A182="","",Weekly_Demand!B182)</f>
        <v>3 HEARTS HANGING DECORATION RUSTIC</v>
      </c>
      <c r="AD182" s="59" t="n">
        <f aca="false">IF($A182="","",H182*SQRT(D182))</f>
        <v>282.758018958027</v>
      </c>
      <c r="AE182" s="53" t="n">
        <f aca="false">IF($A182="","",AD182*C182)</f>
        <v>500.481693555708</v>
      </c>
      <c r="AF182" s="53" t="n">
        <f aca="false">IF($A182="","",ROUND(J182,2))</f>
        <v>5849.85</v>
      </c>
    </row>
    <row r="183" customFormat="false" ht="15" hidden="false" customHeight="false" outlineLevel="0" collapsed="false">
      <c r="A183" s="44" t="str">
        <f aca="false">IF(Weekly_Demand!A183="","",Weekly_Demand!A183)</f>
        <v>22193</v>
      </c>
      <c r="B183" s="44" t="str">
        <f aca="false">IF($A183="","",Weekly_Demand!C183)</f>
        <v>Other</v>
      </c>
      <c r="C183" s="45" t="n">
        <f aca="false">IF($A183="","",Weekly_Demand!D183)</f>
        <v>5.1</v>
      </c>
      <c r="D183" s="46" t="n">
        <f aca="false">IF($A183="","",Weekly_Demand!E183+Assumptions!$B$19)</f>
        <v>4</v>
      </c>
      <c r="E183" s="46" t="n">
        <f aca="false">IF($A183="","",Weekly_Demand!F183)</f>
        <v>1073</v>
      </c>
      <c r="F183" s="46" t="n">
        <f aca="false">IF($A183="","",SUM(Weekly_Demand!G183:BF183))</f>
        <v>1361</v>
      </c>
      <c r="G183" s="51" t="n">
        <f aca="false">IF($A183="","",IFERROR(F183/Assumptions!$B$6,0))</f>
        <v>26.1730769230769</v>
      </c>
      <c r="H183" s="51" t="n">
        <f aca="false">IF($A183="","",STDEV(Weekly_Demand!G183:BF183))</f>
        <v>21.989945254768</v>
      </c>
      <c r="I183" s="52" t="n">
        <f aca="false">IF($A183="","",IFERROR(H183/G183,0))</f>
        <v>0.840174249263729</v>
      </c>
      <c r="J183" s="53" t="n">
        <f aca="false">IF($A183="","",F183*C183)</f>
        <v>6941.1</v>
      </c>
      <c r="K183" s="54" t="n">
        <f aca="false">IF($A183="","",IFERROR(J183/$J$505,0))</f>
        <v>0.00179602604897124</v>
      </c>
      <c r="L183" s="54" t="n">
        <f aca="false">IF($A183="","",IFERROR(SUMIFS($J$5:$J$504,$AB$5:$AB$504,"&lt;="&amp;AB183)/$J$505,0))</f>
        <v>0.636244919131422</v>
      </c>
      <c r="M183" s="55" t="str">
        <f aca="false">IF($A183="","",IF(L183&lt;=Assumptions!$B$7,"A",IF(L183&lt;=Assumptions!$B$8,"B","C")))</f>
        <v>A</v>
      </c>
      <c r="N183" s="55" t="str">
        <f aca="false">IF($A183="","",IF(I183&lt;=Assumptions!$B$9,"X",IF(I183&lt;=Assumptions!$B$10,"Y","Z")))</f>
        <v>Y</v>
      </c>
      <c r="O183" s="56" t="str">
        <f aca="false">IF($A183="","",M183&amp;N183)</f>
        <v>AY</v>
      </c>
      <c r="P183" s="57" t="n">
        <f aca="false">IF($A183="","",INDEX(Assumptions!$B$35:$B$37,MATCH(M183,Assumptions!$A$35:$A$37,0)))</f>
        <v>0.98</v>
      </c>
      <c r="Q183" s="58" t="n">
        <f aca="false">IF($A183="","",NORMSINV(P183))</f>
        <v>2.05374891063182</v>
      </c>
      <c r="R183" s="48" t="n">
        <f aca="false">IF($A183="","",ROUNDUP(Q183*H183*SQRT(D183),0))</f>
        <v>91</v>
      </c>
      <c r="S183" s="48" t="n">
        <f aca="false">IF($A183="","",ROUNDUP(G183*D183+R183,0))</f>
        <v>196</v>
      </c>
      <c r="T183" s="46" t="n">
        <f aca="false">IF($A183="","",IFERROR(ROUND(SQRT(2*F183*Assumptions!$B$4/(Assumptions!$B$5*C183)),0),0))</f>
        <v>327</v>
      </c>
      <c r="U183" s="53" t="n">
        <f aca="false">IF($A183="","",R183*C183)</f>
        <v>464.1</v>
      </c>
      <c r="V183" s="53" t="n">
        <f aca="false">IF($A183="","",E183*C183)</f>
        <v>5472.3</v>
      </c>
      <c r="W183" s="59" t="n">
        <f aca="false">IF($A183="","",IFERROR(E183/G183,0))</f>
        <v>40.9963262307127</v>
      </c>
      <c r="X183" s="48" t="n">
        <f aca="false">IF($A183="","",S183+T183)</f>
        <v>523</v>
      </c>
      <c r="Y183" s="48" t="n">
        <f aca="false">IF($A183="","",MAX(0,E183-X183))</f>
        <v>550</v>
      </c>
      <c r="Z183" s="53" t="n">
        <f aca="false">IF($A183="","",Y183*C183)</f>
        <v>2805</v>
      </c>
      <c r="AA183" s="56" t="str">
        <f aca="false">IF($A183="","",IF(E183&lt;=R183,"Below Safety Stock",IF(E183&lt;=S183,"Reorder Now",IF(E183&gt;X183,"Excess","Healthy"))))</f>
        <v>Excess</v>
      </c>
      <c r="AB183" s="48" t="n">
        <f aca="false">IF($A183="","",RANK(AF183,$AF$5:$AF$504,0)+COUNTIF($AF$5:AF183,AF183)-1)</f>
        <v>178</v>
      </c>
      <c r="AC183" s="44" t="str">
        <f aca="false">IF($A183="","",Weekly_Demand!B183)</f>
        <v>RED DINER WALL CLOCK</v>
      </c>
      <c r="AD183" s="59" t="n">
        <f aca="false">IF($A183="","",H183*SQRT(D183))</f>
        <v>43.9798905095359</v>
      </c>
      <c r="AE183" s="53" t="n">
        <f aca="false">IF($A183="","",AD183*C183)</f>
        <v>224.297441598633</v>
      </c>
      <c r="AF183" s="53" t="n">
        <f aca="false">IF($A183="","",ROUND(J183,2))</f>
        <v>6941.1</v>
      </c>
    </row>
    <row r="184" customFormat="false" ht="15" hidden="false" customHeight="false" outlineLevel="0" collapsed="false">
      <c r="A184" s="44" t="str">
        <f aca="false">IF(Weekly_Demand!A184="","",Weekly_Demand!A184)</f>
        <v>21430</v>
      </c>
      <c r="B184" s="44" t="str">
        <f aca="false">IF($A184="","",Weekly_Demand!C184)</f>
        <v>Other</v>
      </c>
      <c r="C184" s="45" t="n">
        <f aca="false">IF($A184="","",Weekly_Demand!D184)</f>
        <v>2.25</v>
      </c>
      <c r="D184" s="46" t="n">
        <f aca="false">IF($A184="","",Weekly_Demand!E184+Assumptions!$B$19)</f>
        <v>6</v>
      </c>
      <c r="E184" s="46" t="n">
        <f aca="false">IF($A184="","",Weekly_Demand!F184)</f>
        <v>900</v>
      </c>
      <c r="F184" s="46" t="n">
        <f aca="false">IF($A184="","",SUM(Weekly_Demand!G184:BF184))</f>
        <v>2925</v>
      </c>
      <c r="G184" s="51" t="n">
        <f aca="false">IF($A184="","",IFERROR(F184/Assumptions!$B$6,0))</f>
        <v>56.25</v>
      </c>
      <c r="H184" s="51" t="n">
        <f aca="false">IF($A184="","",STDEV(Weekly_Demand!G184:BF184))</f>
        <v>60.6539121477216</v>
      </c>
      <c r="I184" s="52" t="n">
        <f aca="false">IF($A184="","",IFERROR(H184/G184,0))</f>
        <v>1.07829177151505</v>
      </c>
      <c r="J184" s="53" t="n">
        <f aca="false">IF($A184="","",F184*C184)</f>
        <v>6581.25</v>
      </c>
      <c r="K184" s="54" t="n">
        <f aca="false">IF($A184="","",IFERROR(J184/$J$505,0))</f>
        <v>0.00170291400999726</v>
      </c>
      <c r="L184" s="54" t="n">
        <f aca="false">IF($A184="","",IFERROR(SUMIFS($J$5:$J$504,$AB$5:$AB$504,"&lt;="&amp;AB184)/$J$505,0))</f>
        <v>0.657401120141788</v>
      </c>
      <c r="M184" s="55" t="str">
        <f aca="false">IF($A184="","",IF(L184&lt;=Assumptions!$B$7,"A",IF(L184&lt;=Assumptions!$B$8,"B","C")))</f>
        <v>A</v>
      </c>
      <c r="N184" s="55" t="str">
        <f aca="false">IF($A184="","",IF(I184&lt;=Assumptions!$B$9,"X",IF(I184&lt;=Assumptions!$B$10,"Y","Z")))</f>
        <v>Z</v>
      </c>
      <c r="O184" s="56" t="str">
        <f aca="false">IF($A184="","",M184&amp;N184)</f>
        <v>AZ</v>
      </c>
      <c r="P184" s="57" t="n">
        <f aca="false">IF($A184="","",INDEX(Assumptions!$B$35:$B$37,MATCH(M184,Assumptions!$A$35:$A$37,0)))</f>
        <v>0.98</v>
      </c>
      <c r="Q184" s="58" t="n">
        <f aca="false">IF($A184="","",NORMSINV(P184))</f>
        <v>2.05374891063182</v>
      </c>
      <c r="R184" s="48" t="n">
        <f aca="false">IF($A184="","",ROUNDUP(Q184*H184*SQRT(D184),0))</f>
        <v>306</v>
      </c>
      <c r="S184" s="48" t="n">
        <f aca="false">IF($A184="","",ROUNDUP(G184*D184+R184,0))</f>
        <v>644</v>
      </c>
      <c r="T184" s="46" t="n">
        <f aca="false">IF($A184="","",IFERROR(ROUND(SQRT(2*F184*Assumptions!$B$4/(Assumptions!$B$5*C184)),0),0))</f>
        <v>721</v>
      </c>
      <c r="U184" s="53" t="n">
        <f aca="false">IF($A184="","",R184*C184)</f>
        <v>688.5</v>
      </c>
      <c r="V184" s="53" t="n">
        <f aca="false">IF($A184="","",E184*C184)</f>
        <v>2025</v>
      </c>
      <c r="W184" s="59" t="n">
        <f aca="false">IF($A184="","",IFERROR(E184/G184,0))</f>
        <v>16</v>
      </c>
      <c r="X184" s="48" t="n">
        <f aca="false">IF($A184="","",S184+T184)</f>
        <v>1365</v>
      </c>
      <c r="Y184" s="48" t="n">
        <f aca="false">IF($A184="","",MAX(0,E184-X184))</f>
        <v>0</v>
      </c>
      <c r="Z184" s="53" t="n">
        <f aca="false">IF($A184="","",Y184*C184)</f>
        <v>0</v>
      </c>
      <c r="AA184" s="56" t="str">
        <f aca="false">IF($A184="","",IF(E184&lt;=R184,"Below Safety Stock",IF(E184&lt;=S184,"Reorder Now",IF(E184&gt;X184,"Excess","Healthy"))))</f>
        <v>Healthy</v>
      </c>
      <c r="AB184" s="48" t="n">
        <f aca="false">IF($A184="","",RANK(AF184,$AF$5:$AF$504,0)+COUNTIF($AF$5:AF184,AF184)-1)</f>
        <v>190</v>
      </c>
      <c r="AC184" s="44" t="str">
        <f aca="false">IF($A184="","",Weekly_Demand!B184)</f>
        <v>SET/3 RED GINGHAM ROSE STORAGE BOX</v>
      </c>
      <c r="AD184" s="59" t="n">
        <f aca="false">IF($A184="","",H184*SQRT(D184))</f>
        <v>148.571135665516</v>
      </c>
      <c r="AE184" s="53" t="n">
        <f aca="false">IF($A184="","",AD184*C184)</f>
        <v>334.285055247411</v>
      </c>
      <c r="AF184" s="53" t="n">
        <f aca="false">IF($A184="","",ROUND(J184,2))</f>
        <v>6581.25</v>
      </c>
    </row>
    <row r="185" customFormat="false" ht="15" hidden="false" customHeight="false" outlineLevel="0" collapsed="false">
      <c r="A185" s="44" t="str">
        <f aca="false">IF(Weekly_Demand!A185="","",Weekly_Demand!A185)</f>
        <v>22867</v>
      </c>
      <c r="B185" s="44" t="str">
        <f aca="false">IF($A185="","",Weekly_Demand!C185)</f>
        <v>Other</v>
      </c>
      <c r="C185" s="45" t="n">
        <f aca="false">IF($A185="","",Weekly_Demand!D185)</f>
        <v>1.26</v>
      </c>
      <c r="D185" s="46" t="n">
        <f aca="false">IF($A185="","",Weekly_Demand!E185+Assumptions!$B$19)</f>
        <v>8</v>
      </c>
      <c r="E185" s="46" t="n">
        <f aca="false">IF($A185="","",Weekly_Demand!F185)</f>
        <v>697</v>
      </c>
      <c r="F185" s="46" t="n">
        <f aca="false">IF($A185="","",SUM(Weekly_Demand!G185:BF185))</f>
        <v>5174</v>
      </c>
      <c r="G185" s="51" t="n">
        <f aca="false">IF($A185="","",IFERROR(F185/Assumptions!$B$6,0))</f>
        <v>99.5</v>
      </c>
      <c r="H185" s="51" t="n">
        <f aca="false">IF($A185="","",STDEV(Weekly_Demand!G185:BF185))</f>
        <v>185.58476737694</v>
      </c>
      <c r="I185" s="52" t="n">
        <f aca="false">IF($A185="","",IFERROR(H185/G185,0))</f>
        <v>1.86517354147678</v>
      </c>
      <c r="J185" s="53" t="n">
        <f aca="false">IF($A185="","",F185*C185)</f>
        <v>6519.24</v>
      </c>
      <c r="K185" s="54" t="n">
        <f aca="false">IF($A185="","",IFERROR(J185/$J$505,0))</f>
        <v>0.00168686877576973</v>
      </c>
      <c r="L185" s="54" t="n">
        <f aca="false">IF($A185="","",IFERROR(SUMIFS($J$5:$J$504,$AB$5:$AB$504,"&lt;="&amp;AB185)/$J$505,0))</f>
        <v>0.662483151165018</v>
      </c>
      <c r="M185" s="55" t="str">
        <f aca="false">IF($A185="","",IF(L185&lt;=Assumptions!$B$7,"A",IF(L185&lt;=Assumptions!$B$8,"B","C")))</f>
        <v>A</v>
      </c>
      <c r="N185" s="55" t="str">
        <f aca="false">IF($A185="","",IF(I185&lt;=Assumptions!$B$9,"X",IF(I185&lt;=Assumptions!$B$10,"Y","Z")))</f>
        <v>Z</v>
      </c>
      <c r="O185" s="56" t="str">
        <f aca="false">IF($A185="","",M185&amp;N185)</f>
        <v>AZ</v>
      </c>
      <c r="P185" s="57" t="n">
        <f aca="false">IF($A185="","",INDEX(Assumptions!$B$35:$B$37,MATCH(M185,Assumptions!$A$35:$A$37,0)))</f>
        <v>0.98</v>
      </c>
      <c r="Q185" s="58" t="n">
        <f aca="false">IF($A185="","",NORMSINV(P185))</f>
        <v>2.05374891063182</v>
      </c>
      <c r="R185" s="48" t="n">
        <f aca="false">IF($A185="","",ROUNDUP(Q185*H185*SQRT(D185),0))</f>
        <v>1079</v>
      </c>
      <c r="S185" s="48" t="n">
        <f aca="false">IF($A185="","",ROUNDUP(G185*D185+R185,0))</f>
        <v>1875</v>
      </c>
      <c r="T185" s="46" t="n">
        <f aca="false">IF($A185="","",IFERROR(ROUND(SQRT(2*F185*Assumptions!$B$4/(Assumptions!$B$5*C185)),0),0))</f>
        <v>1282</v>
      </c>
      <c r="U185" s="53" t="n">
        <f aca="false">IF($A185="","",R185*C185)</f>
        <v>1359.54</v>
      </c>
      <c r="V185" s="53" t="n">
        <f aca="false">IF($A185="","",E185*C185)</f>
        <v>878.22</v>
      </c>
      <c r="W185" s="59" t="n">
        <f aca="false">IF($A185="","",IFERROR(E185/G185,0))</f>
        <v>7.00502512562814</v>
      </c>
      <c r="X185" s="48" t="n">
        <f aca="false">IF($A185="","",S185+T185)</f>
        <v>3157</v>
      </c>
      <c r="Y185" s="48" t="n">
        <f aca="false">IF($A185="","",MAX(0,E185-X185))</f>
        <v>0</v>
      </c>
      <c r="Z185" s="53" t="n">
        <f aca="false">IF($A185="","",Y185*C185)</f>
        <v>0</v>
      </c>
      <c r="AA185" s="56" t="str">
        <f aca="false">IF($A185="","",IF(E185&lt;=R185,"Below Safety Stock",IF(E185&lt;=S185,"Reorder Now",IF(E185&gt;X185,"Excess","Healthy"))))</f>
        <v>Below Safety Stock</v>
      </c>
      <c r="AB185" s="48" t="n">
        <f aca="false">IF($A185="","",RANK(AF185,$AF$5:$AF$504,0)+COUNTIF($AF$5:AF185,AF185)-1)</f>
        <v>193</v>
      </c>
      <c r="AC185" s="44" t="str">
        <f aca="false">IF($A185="","",Weekly_Demand!B185)</f>
        <v>HAND WARMER BIRD DESIGN</v>
      </c>
      <c r="AD185" s="59" t="n">
        <f aca="false">IF($A185="","",H185*SQRT(D185))</f>
        <v>524.912989988649</v>
      </c>
      <c r="AE185" s="53" t="n">
        <f aca="false">IF($A185="","",AD185*C185)</f>
        <v>661.390367385698</v>
      </c>
      <c r="AF185" s="53" t="n">
        <f aca="false">IF($A185="","",ROUND(J185,2))</f>
        <v>6519.24</v>
      </c>
    </row>
    <row r="186" customFormat="false" ht="15" hidden="false" customHeight="false" outlineLevel="0" collapsed="false">
      <c r="A186" s="44" t="str">
        <f aca="false">IF(Weekly_Demand!A186="","",Weekly_Demand!A186)</f>
        <v>22692</v>
      </c>
      <c r="B186" s="44" t="str">
        <f aca="false">IF($A186="","",Weekly_Demand!C186)</f>
        <v>Other</v>
      </c>
      <c r="C186" s="45" t="n">
        <f aca="false">IF($A186="","",Weekly_Demand!D186)</f>
        <v>4.77</v>
      </c>
      <c r="D186" s="46" t="n">
        <f aca="false">IF($A186="","",Weekly_Demand!E186+Assumptions!$B$19)</f>
        <v>2</v>
      </c>
      <c r="E186" s="46" t="n">
        <f aca="false">IF($A186="","",Weekly_Demand!F186)</f>
        <v>290</v>
      </c>
      <c r="F186" s="46" t="n">
        <f aca="false">IF($A186="","",SUM(Weekly_Demand!G186:BF186))</f>
        <v>1508</v>
      </c>
      <c r="G186" s="51" t="n">
        <f aca="false">IF($A186="","",IFERROR(F186/Assumptions!$B$6,0))</f>
        <v>29</v>
      </c>
      <c r="H186" s="51" t="n">
        <f aca="false">IF($A186="","",STDEV(Weekly_Demand!G186:BF186))</f>
        <v>43.6478780114447</v>
      </c>
      <c r="I186" s="52" t="n">
        <f aca="false">IF($A186="","",IFERROR(H186/G186,0))</f>
        <v>1.50509924177396</v>
      </c>
      <c r="J186" s="53" t="n">
        <f aca="false">IF($A186="","",F186*C186)</f>
        <v>7193.16</v>
      </c>
      <c r="K186" s="54" t="n">
        <f aca="false">IF($A186="","",IFERROR(J186/$J$505,0))</f>
        <v>0.00186124717039345</v>
      </c>
      <c r="L186" s="54" t="n">
        <f aca="false">IF($A186="","",IFERROR(SUMIFS($J$5:$J$504,$AB$5:$AB$504,"&lt;="&amp;AB186)/$J$505,0))</f>
        <v>0.625301696784839</v>
      </c>
      <c r="M186" s="55" t="str">
        <f aca="false">IF($A186="","",IF(L186&lt;=Assumptions!$B$7,"A",IF(L186&lt;=Assumptions!$B$8,"B","C")))</f>
        <v>A</v>
      </c>
      <c r="N186" s="55" t="str">
        <f aca="false">IF($A186="","",IF(I186&lt;=Assumptions!$B$9,"X",IF(I186&lt;=Assumptions!$B$10,"Y","Z")))</f>
        <v>Z</v>
      </c>
      <c r="O186" s="56" t="str">
        <f aca="false">IF($A186="","",M186&amp;N186)</f>
        <v>AZ</v>
      </c>
      <c r="P186" s="57" t="n">
        <f aca="false">IF($A186="","",INDEX(Assumptions!$B$35:$B$37,MATCH(M186,Assumptions!$A$35:$A$37,0)))</f>
        <v>0.98</v>
      </c>
      <c r="Q186" s="58" t="n">
        <f aca="false">IF($A186="","",NORMSINV(P186))</f>
        <v>2.05374891063182</v>
      </c>
      <c r="R186" s="48" t="n">
        <f aca="false">IF($A186="","",ROUNDUP(Q186*H186*SQRT(D186),0))</f>
        <v>127</v>
      </c>
      <c r="S186" s="48" t="n">
        <f aca="false">IF($A186="","",ROUNDUP(G186*D186+R186,0))</f>
        <v>185</v>
      </c>
      <c r="T186" s="46" t="n">
        <f aca="false">IF($A186="","",IFERROR(ROUND(SQRT(2*F186*Assumptions!$B$4/(Assumptions!$B$5*C186)),0),0))</f>
        <v>356</v>
      </c>
      <c r="U186" s="53" t="n">
        <f aca="false">IF($A186="","",R186*C186)</f>
        <v>605.79</v>
      </c>
      <c r="V186" s="53" t="n">
        <f aca="false">IF($A186="","",E186*C186)</f>
        <v>1383.3</v>
      </c>
      <c r="W186" s="59" t="n">
        <f aca="false">IF($A186="","",IFERROR(E186/G186,0))</f>
        <v>10</v>
      </c>
      <c r="X186" s="48" t="n">
        <f aca="false">IF($A186="","",S186+T186)</f>
        <v>541</v>
      </c>
      <c r="Y186" s="48" t="n">
        <f aca="false">IF($A186="","",MAX(0,E186-X186))</f>
        <v>0</v>
      </c>
      <c r="Z186" s="53" t="n">
        <f aca="false">IF($A186="","",Y186*C186)</f>
        <v>0</v>
      </c>
      <c r="AA186" s="56" t="str">
        <f aca="false">IF($A186="","",IF(E186&lt;=R186,"Below Safety Stock",IF(E186&lt;=S186,"Reorder Now",IF(E186&gt;X186,"Excess","Healthy"))))</f>
        <v>Healthy</v>
      </c>
      <c r="AB186" s="48" t="n">
        <f aca="false">IF($A186="","",RANK(AF186,$AF$5:$AF$504,0)+COUNTIF($AF$5:AF186,AF186)-1)</f>
        <v>172</v>
      </c>
      <c r="AC186" s="44" t="str">
        <f aca="false">IF($A186="","",Weekly_Demand!B186)</f>
        <v>DOORMAT WELCOME TO OUR HOME</v>
      </c>
      <c r="AD186" s="59" t="n">
        <f aca="false">IF($A186="","",H186*SQRT(D186))</f>
        <v>61.7274210525916</v>
      </c>
      <c r="AE186" s="53" t="n">
        <f aca="false">IF($A186="","",AD186*C186)</f>
        <v>294.439798420862</v>
      </c>
      <c r="AF186" s="53" t="n">
        <f aca="false">IF($A186="","",ROUND(J186,2))</f>
        <v>7193.16</v>
      </c>
    </row>
    <row r="187" customFormat="false" ht="15" hidden="false" customHeight="false" outlineLevel="0" collapsed="false">
      <c r="A187" s="44" t="str">
        <f aca="false">IF(Weekly_Demand!A187="","",Weekly_Demand!A187)</f>
        <v>22188</v>
      </c>
      <c r="B187" s="44" t="str">
        <f aca="false">IF($A187="","",Weekly_Demand!C187)</f>
        <v>Cards/Gifts</v>
      </c>
      <c r="C187" s="45" t="n">
        <f aca="false">IF($A187="","",Weekly_Demand!D187)</f>
        <v>2.37</v>
      </c>
      <c r="D187" s="46" t="n">
        <f aca="false">IF($A187="","",Weekly_Demand!E187+Assumptions!$B$19)</f>
        <v>2</v>
      </c>
      <c r="E187" s="46" t="n">
        <f aca="false">IF($A187="","",Weekly_Demand!F187)</f>
        <v>343</v>
      </c>
      <c r="F187" s="46" t="n">
        <f aca="false">IF($A187="","",SUM(Weekly_Demand!G187:BF187))</f>
        <v>4458</v>
      </c>
      <c r="G187" s="51" t="n">
        <f aca="false">IF($A187="","",IFERROR(F187/Assumptions!$B$6,0))</f>
        <v>85.7307692307692</v>
      </c>
      <c r="H187" s="51" t="n">
        <f aca="false">IF($A187="","",STDEV(Weekly_Demand!G187:BF187))</f>
        <v>294.119497882563</v>
      </c>
      <c r="I187" s="52" t="n">
        <f aca="false">IF($A187="","",IFERROR(H187/G187,0))</f>
        <v>3.43073438535066</v>
      </c>
      <c r="J187" s="53" t="n">
        <f aca="false">IF($A187="","",F187*C187)</f>
        <v>10565.46</v>
      </c>
      <c r="K187" s="54" t="n">
        <f aca="false">IF($A187="","",IFERROR(J187/$J$505,0))</f>
        <v>0.00273383777490076</v>
      </c>
      <c r="L187" s="54" t="n">
        <f aca="false">IF($A187="","",IFERROR(SUMIFS($J$5:$J$504,$AB$5:$AB$504,"&lt;="&amp;AB187)/$J$505,0))</f>
        <v>0.460945799753027</v>
      </c>
      <c r="M187" s="55" t="str">
        <f aca="false">IF($A187="","",IF(L187&lt;=Assumptions!$B$7,"A",IF(L187&lt;=Assumptions!$B$8,"B","C")))</f>
        <v>A</v>
      </c>
      <c r="N187" s="55" t="str">
        <f aca="false">IF($A187="","",IF(I187&lt;=Assumptions!$B$9,"X",IF(I187&lt;=Assumptions!$B$10,"Y","Z")))</f>
        <v>Z</v>
      </c>
      <c r="O187" s="56" t="str">
        <f aca="false">IF($A187="","",M187&amp;N187)</f>
        <v>AZ</v>
      </c>
      <c r="P187" s="57" t="n">
        <f aca="false">IF($A187="","",INDEX(Assumptions!$B$35:$B$37,MATCH(M187,Assumptions!$A$35:$A$37,0)))</f>
        <v>0.98</v>
      </c>
      <c r="Q187" s="58" t="n">
        <f aca="false">IF($A187="","",NORMSINV(P187))</f>
        <v>2.05374891063182</v>
      </c>
      <c r="R187" s="48" t="n">
        <f aca="false">IF($A187="","",ROUNDUP(Q187*H187*SQRT(D187),0))</f>
        <v>855</v>
      </c>
      <c r="S187" s="48" t="n">
        <f aca="false">IF($A187="","",ROUNDUP(G187*D187+R187,0))</f>
        <v>1027</v>
      </c>
      <c r="T187" s="46" t="n">
        <f aca="false">IF($A187="","",IFERROR(ROUND(SQRT(2*F187*Assumptions!$B$4/(Assumptions!$B$5*C187)),0),0))</f>
        <v>867</v>
      </c>
      <c r="U187" s="53" t="n">
        <f aca="false">IF($A187="","",R187*C187)</f>
        <v>2026.35</v>
      </c>
      <c r="V187" s="53" t="n">
        <f aca="false">IF($A187="","",E187*C187)</f>
        <v>812.91</v>
      </c>
      <c r="W187" s="59" t="n">
        <f aca="false">IF($A187="","",IFERROR(E187/G187,0))</f>
        <v>4.00089726334679</v>
      </c>
      <c r="X187" s="48" t="n">
        <f aca="false">IF($A187="","",S187+T187)</f>
        <v>1894</v>
      </c>
      <c r="Y187" s="48" t="n">
        <f aca="false">IF($A187="","",MAX(0,E187-X187))</f>
        <v>0</v>
      </c>
      <c r="Z187" s="53" t="n">
        <f aca="false">IF($A187="","",Y187*C187)</f>
        <v>0</v>
      </c>
      <c r="AA187" s="56" t="str">
        <f aca="false">IF($A187="","",IF(E187&lt;=R187,"Below Safety Stock",IF(E187&lt;=S187,"Reorder Now",IF(E187&gt;X187,"Excess","Healthy"))))</f>
        <v>Below Safety Stock</v>
      </c>
      <c r="AB187" s="48" t="n">
        <f aca="false">IF($A187="","",RANK(AF187,$AF$5:$AF$504,0)+COUNTIF($AF$5:AF187,AF187)-1)</f>
        <v>98</v>
      </c>
      <c r="AC187" s="44" t="str">
        <f aca="false">IF($A187="","",Weekly_Demand!B187)</f>
        <v>BLACK HEART CARD HOLDER</v>
      </c>
      <c r="AD187" s="59" t="n">
        <f aca="false">IF($A187="","",H187*SQRT(D187))</f>
        <v>415.947782863885</v>
      </c>
      <c r="AE187" s="53" t="n">
        <f aca="false">IF($A187="","",AD187*C187)</f>
        <v>985.796245387408</v>
      </c>
      <c r="AF187" s="53" t="n">
        <f aca="false">IF($A187="","",ROUND(J187,2))</f>
        <v>10565.46</v>
      </c>
    </row>
    <row r="188" customFormat="false" ht="15" hidden="false" customHeight="false" outlineLevel="0" collapsed="false">
      <c r="A188" s="44" t="str">
        <f aca="false">IF(Weekly_Demand!A188="","",Weekly_Demand!A188)</f>
        <v>20749</v>
      </c>
      <c r="B188" s="44" t="str">
        <f aca="false">IF($A188="","",Weekly_Demand!C188)</f>
        <v>Other</v>
      </c>
      <c r="C188" s="45" t="n">
        <f aca="false">IF($A188="","",Weekly_Demand!D188)</f>
        <v>4.77</v>
      </c>
      <c r="D188" s="46" t="n">
        <f aca="false">IF($A188="","",Weekly_Demand!E188+Assumptions!$B$19)</f>
        <v>4</v>
      </c>
      <c r="E188" s="46" t="n">
        <f aca="false">IF($A188="","",Weekly_Demand!F188)</f>
        <v>244</v>
      </c>
      <c r="F188" s="46" t="n">
        <f aca="false">IF($A188="","",SUM(Weekly_Demand!G188:BF188))</f>
        <v>1589</v>
      </c>
      <c r="G188" s="51" t="n">
        <f aca="false">IF($A188="","",IFERROR(F188/Assumptions!$B$6,0))</f>
        <v>30.5576923076923</v>
      </c>
      <c r="H188" s="51" t="n">
        <f aca="false">IF($A188="","",STDEV(Weekly_Demand!G188:BF188))</f>
        <v>36.9798108466824</v>
      </c>
      <c r="I188" s="52" t="n">
        <f aca="false">IF($A188="","",IFERROR(H188/G188,0))</f>
        <v>1.2101637281482</v>
      </c>
      <c r="J188" s="53" t="n">
        <f aca="false">IF($A188="","",F188*C188)</f>
        <v>7579.53</v>
      </c>
      <c r="K188" s="54" t="n">
        <f aca="false">IF($A188="","",IFERROR(J188/$J$505,0))</f>
        <v>0.00196122132211882</v>
      </c>
      <c r="L188" s="54" t="n">
        <f aca="false">IF($A188="","",IFERROR(SUMIFS($J$5:$J$504,$AB$5:$AB$504,"&lt;="&amp;AB188)/$J$505,0))</f>
        <v>0.598520896747167</v>
      </c>
      <c r="M188" s="55" t="str">
        <f aca="false">IF($A188="","",IF(L188&lt;=Assumptions!$B$7,"A",IF(L188&lt;=Assumptions!$B$8,"B","C")))</f>
        <v>A</v>
      </c>
      <c r="N188" s="55" t="str">
        <f aca="false">IF($A188="","",IF(I188&lt;=Assumptions!$B$9,"X",IF(I188&lt;=Assumptions!$B$10,"Y","Z")))</f>
        <v>Z</v>
      </c>
      <c r="O188" s="56" t="str">
        <f aca="false">IF($A188="","",M188&amp;N188)</f>
        <v>AZ</v>
      </c>
      <c r="P188" s="57" t="n">
        <f aca="false">IF($A188="","",INDEX(Assumptions!$B$35:$B$37,MATCH(M188,Assumptions!$A$35:$A$37,0)))</f>
        <v>0.98</v>
      </c>
      <c r="Q188" s="58" t="n">
        <f aca="false">IF($A188="","",NORMSINV(P188))</f>
        <v>2.05374891063182</v>
      </c>
      <c r="R188" s="48" t="n">
        <f aca="false">IF($A188="","",ROUNDUP(Q188*H188*SQRT(D188),0))</f>
        <v>152</v>
      </c>
      <c r="S188" s="48" t="n">
        <f aca="false">IF($A188="","",ROUNDUP(G188*D188+R188,0))</f>
        <v>275</v>
      </c>
      <c r="T188" s="46" t="n">
        <f aca="false">IF($A188="","",IFERROR(ROUND(SQRT(2*F188*Assumptions!$B$4/(Assumptions!$B$5*C188)),0),0))</f>
        <v>365</v>
      </c>
      <c r="U188" s="53" t="n">
        <f aca="false">IF($A188="","",R188*C188)</f>
        <v>725.04</v>
      </c>
      <c r="V188" s="53" t="n">
        <f aca="false">IF($A188="","",E188*C188)</f>
        <v>1163.88</v>
      </c>
      <c r="W188" s="59" t="n">
        <f aca="false">IF($A188="","",IFERROR(E188/G188,0))</f>
        <v>7.98489616110762</v>
      </c>
      <c r="X188" s="48" t="n">
        <f aca="false">IF($A188="","",S188+T188)</f>
        <v>640</v>
      </c>
      <c r="Y188" s="48" t="n">
        <f aca="false">IF($A188="","",MAX(0,E188-X188))</f>
        <v>0</v>
      </c>
      <c r="Z188" s="53" t="n">
        <f aca="false">IF($A188="","",Y188*C188)</f>
        <v>0</v>
      </c>
      <c r="AA188" s="56" t="str">
        <f aca="false">IF($A188="","",IF(E188&lt;=R188,"Below Safety Stock",IF(E188&lt;=S188,"Reorder Now",IF(E188&gt;X188,"Excess","Healthy"))))</f>
        <v>Reorder Now</v>
      </c>
      <c r="AB188" s="48" t="n">
        <f aca="false">IF($A188="","",RANK(AF188,$AF$5:$AF$504,0)+COUNTIF($AF$5:AF188,AF188)-1)</f>
        <v>158</v>
      </c>
      <c r="AC188" s="44" t="str">
        <f aca="false">IF($A188="","",Weekly_Demand!B188)</f>
        <v>ASSORTED COLOUR MINI CASES</v>
      </c>
      <c r="AD188" s="59" t="n">
        <f aca="false">IF($A188="","",H188*SQRT(D188))</f>
        <v>73.9596216933648</v>
      </c>
      <c r="AE188" s="53" t="n">
        <f aca="false">IF($A188="","",AD188*C188)</f>
        <v>352.78739547735</v>
      </c>
      <c r="AF188" s="53" t="n">
        <f aca="false">IF($A188="","",ROUND(J188,2))</f>
        <v>7579.53</v>
      </c>
    </row>
    <row r="189" customFormat="false" ht="15" hidden="false" customHeight="false" outlineLevel="0" collapsed="false">
      <c r="A189" s="44" t="str">
        <f aca="false">IF(Weekly_Demand!A189="","",Weekly_Demand!A189)</f>
        <v>23300</v>
      </c>
      <c r="B189" s="44" t="str">
        <f aca="false">IF($A189="","",Weekly_Demand!C189)</f>
        <v>Other</v>
      </c>
      <c r="C189" s="45" t="n">
        <f aca="false">IF($A189="","",Weekly_Demand!D189)</f>
        <v>0.99</v>
      </c>
      <c r="D189" s="46" t="n">
        <f aca="false">IF($A189="","",Weekly_Demand!E189+Assumptions!$B$19)</f>
        <v>2</v>
      </c>
      <c r="E189" s="46" t="n">
        <f aca="false">IF($A189="","",Weekly_Demand!F189)</f>
        <v>752</v>
      </c>
      <c r="F189" s="46" t="n">
        <f aca="false">IF($A189="","",SUM(Weekly_Demand!G189:BF189))</f>
        <v>6515</v>
      </c>
      <c r="G189" s="51" t="n">
        <f aca="false">IF($A189="","",IFERROR(F189/Assumptions!$B$6,0))</f>
        <v>125.288461538462</v>
      </c>
      <c r="H189" s="51" t="n">
        <f aca="false">IF($A189="","",STDEV(Weekly_Demand!G189:BF189))</f>
        <v>162.858814897271</v>
      </c>
      <c r="I189" s="52" t="n">
        <f aca="false">IF($A189="","",IFERROR(H189/G189,0))</f>
        <v>1.29987081729211</v>
      </c>
      <c r="J189" s="53" t="n">
        <f aca="false">IF($A189="","",F189*C189)</f>
        <v>6449.85</v>
      </c>
      <c r="K189" s="54" t="n">
        <f aca="false">IF($A189="","",IFERROR(J189/$J$505,0))</f>
        <v>0.0016689139490797</v>
      </c>
      <c r="L189" s="54" t="n">
        <f aca="false">IF($A189="","",IFERROR(SUMIFS($J$5:$J$504,$AB$5:$AB$504,"&lt;="&amp;AB189)/$J$505,0))</f>
        <v>0.667510883004202</v>
      </c>
      <c r="M189" s="55" t="str">
        <f aca="false">IF($A189="","",IF(L189&lt;=Assumptions!$B$7,"A",IF(L189&lt;=Assumptions!$B$8,"B","C")))</f>
        <v>A</v>
      </c>
      <c r="N189" s="55" t="str">
        <f aca="false">IF($A189="","",IF(I189&lt;=Assumptions!$B$9,"X",IF(I189&lt;=Assumptions!$B$10,"Y","Z")))</f>
        <v>Z</v>
      </c>
      <c r="O189" s="56" t="str">
        <f aca="false">IF($A189="","",M189&amp;N189)</f>
        <v>AZ</v>
      </c>
      <c r="P189" s="57" t="n">
        <f aca="false">IF($A189="","",INDEX(Assumptions!$B$35:$B$37,MATCH(M189,Assumptions!$A$35:$A$37,0)))</f>
        <v>0.98</v>
      </c>
      <c r="Q189" s="58" t="n">
        <f aca="false">IF($A189="","",NORMSINV(P189))</f>
        <v>2.05374891063182</v>
      </c>
      <c r="R189" s="48" t="n">
        <f aca="false">IF($A189="","",ROUNDUP(Q189*H189*SQRT(D189),0))</f>
        <v>474</v>
      </c>
      <c r="S189" s="48" t="n">
        <f aca="false">IF($A189="","",ROUNDUP(G189*D189+R189,0))</f>
        <v>725</v>
      </c>
      <c r="T189" s="46" t="n">
        <f aca="false">IF($A189="","",IFERROR(ROUND(SQRT(2*F189*Assumptions!$B$4/(Assumptions!$B$5*C189)),0),0))</f>
        <v>1622</v>
      </c>
      <c r="U189" s="53" t="n">
        <f aca="false">IF($A189="","",R189*C189)</f>
        <v>469.26</v>
      </c>
      <c r="V189" s="53" t="n">
        <f aca="false">IF($A189="","",E189*C189)</f>
        <v>744.48</v>
      </c>
      <c r="W189" s="59" t="n">
        <f aca="false">IF($A189="","",IFERROR(E189/G189,0))</f>
        <v>6.00214888718342</v>
      </c>
      <c r="X189" s="48" t="n">
        <f aca="false">IF($A189="","",S189+T189)</f>
        <v>2347</v>
      </c>
      <c r="Y189" s="48" t="n">
        <f aca="false">IF($A189="","",MAX(0,E189-X189))</f>
        <v>0</v>
      </c>
      <c r="Z189" s="53" t="n">
        <f aca="false">IF($A189="","",Y189*C189)</f>
        <v>0</v>
      </c>
      <c r="AA189" s="56" t="str">
        <f aca="false">IF($A189="","",IF(E189&lt;=R189,"Below Safety Stock",IF(E189&lt;=S189,"Reorder Now",IF(E189&gt;X189,"Excess","Healthy"))))</f>
        <v>Healthy</v>
      </c>
      <c r="AB189" s="48" t="n">
        <f aca="false">IF($A189="","",RANK(AF189,$AF$5:$AF$504,0)+COUNTIF($AF$5:AF189,AF189)-1)</f>
        <v>196</v>
      </c>
      <c r="AC189" s="44" t="str">
        <f aca="false">IF($A189="","",Weekly_Demand!B189)</f>
        <v>GARDENERS KNEELING PAD CUP OF TEA</v>
      </c>
      <c r="AD189" s="59" t="n">
        <f aca="false">IF($A189="","",H189*SQRT(D189))</f>
        <v>230.31714477973</v>
      </c>
      <c r="AE189" s="53" t="n">
        <f aca="false">IF($A189="","",AD189*C189)</f>
        <v>228.013973331933</v>
      </c>
      <c r="AF189" s="53" t="n">
        <f aca="false">IF($A189="","",ROUND(J189,2))</f>
        <v>6449.85</v>
      </c>
    </row>
    <row r="190" customFormat="false" ht="15" hidden="false" customHeight="false" outlineLevel="0" collapsed="false">
      <c r="A190" s="44" t="str">
        <f aca="false">IF(Weekly_Demand!A190="","",Weekly_Demand!A190)</f>
        <v>21340</v>
      </c>
      <c r="B190" s="44" t="str">
        <f aca="false">IF($A190="","",Weekly_Demand!C190)</f>
        <v>Other</v>
      </c>
      <c r="C190" s="45" t="n">
        <f aca="false">IF($A190="","",Weekly_Demand!D190)</f>
        <v>7.65</v>
      </c>
      <c r="D190" s="46" t="n">
        <f aca="false">IF($A190="","",Weekly_Demand!E190+Assumptions!$B$19)</f>
        <v>2</v>
      </c>
      <c r="E190" s="46" t="n">
        <f aca="false">IF($A190="","",Weekly_Demand!F190)</f>
        <v>149</v>
      </c>
      <c r="F190" s="46" t="n">
        <f aca="false">IF($A190="","",SUM(Weekly_Demand!G190:BF190))</f>
        <v>966</v>
      </c>
      <c r="G190" s="51" t="n">
        <f aca="false">IF($A190="","",IFERROR(F190/Assumptions!$B$6,0))</f>
        <v>18.5769230769231</v>
      </c>
      <c r="H190" s="51" t="n">
        <f aca="false">IF($A190="","",STDEV(Weekly_Demand!G190:BF190))</f>
        <v>12.7546164711958</v>
      </c>
      <c r="I190" s="52" t="n">
        <f aca="false">IF($A190="","",IFERROR(H190/G190,0))</f>
        <v>0.68658390942255</v>
      </c>
      <c r="J190" s="53" t="n">
        <f aca="false">IF($A190="","",F190*C190)</f>
        <v>7389.9</v>
      </c>
      <c r="K190" s="54" t="n">
        <f aca="false">IF($A190="","",IFERROR(J190/$J$505,0))</f>
        <v>0.00191215411091795</v>
      </c>
      <c r="L190" s="54" t="n">
        <f aca="false">IF($A190="","",IFERROR(SUMIFS($J$5:$J$504,$AB$5:$AB$504,"&lt;="&amp;AB190)/$J$505,0))</f>
        <v>0.614025956947511</v>
      </c>
      <c r="M190" s="55" t="str">
        <f aca="false">IF($A190="","",IF(L190&lt;=Assumptions!$B$7,"A",IF(L190&lt;=Assumptions!$B$8,"B","C")))</f>
        <v>A</v>
      </c>
      <c r="N190" s="55" t="str">
        <f aca="false">IF($A190="","",IF(I190&lt;=Assumptions!$B$9,"X",IF(I190&lt;=Assumptions!$B$10,"Y","Z")))</f>
        <v>Y</v>
      </c>
      <c r="O190" s="56" t="str">
        <f aca="false">IF($A190="","",M190&amp;N190)</f>
        <v>AY</v>
      </c>
      <c r="P190" s="57" t="n">
        <f aca="false">IF($A190="","",INDEX(Assumptions!$B$35:$B$37,MATCH(M190,Assumptions!$A$35:$A$37,0)))</f>
        <v>0.98</v>
      </c>
      <c r="Q190" s="58" t="n">
        <f aca="false">IF($A190="","",NORMSINV(P190))</f>
        <v>2.05374891063182</v>
      </c>
      <c r="R190" s="48" t="n">
        <f aca="false">IF($A190="","",ROUNDUP(Q190*H190*SQRT(D190),0))</f>
        <v>38</v>
      </c>
      <c r="S190" s="48" t="n">
        <f aca="false">IF($A190="","",ROUNDUP(G190*D190+R190,0))</f>
        <v>76</v>
      </c>
      <c r="T190" s="46" t="n">
        <f aca="false">IF($A190="","",IFERROR(ROUND(SQRT(2*F190*Assumptions!$B$4/(Assumptions!$B$5*C190)),0),0))</f>
        <v>225</v>
      </c>
      <c r="U190" s="53" t="n">
        <f aca="false">IF($A190="","",R190*C190)</f>
        <v>290.7</v>
      </c>
      <c r="V190" s="53" t="n">
        <f aca="false">IF($A190="","",E190*C190)</f>
        <v>1139.85</v>
      </c>
      <c r="W190" s="59" t="n">
        <f aca="false">IF($A190="","",IFERROR(E190/G190,0))</f>
        <v>8.02070393374741</v>
      </c>
      <c r="X190" s="48" t="n">
        <f aca="false">IF($A190="","",S190+T190)</f>
        <v>301</v>
      </c>
      <c r="Y190" s="48" t="n">
        <f aca="false">IF($A190="","",MAX(0,E190-X190))</f>
        <v>0</v>
      </c>
      <c r="Z190" s="53" t="n">
        <f aca="false">IF($A190="","",Y190*C190)</f>
        <v>0</v>
      </c>
      <c r="AA190" s="56" t="str">
        <f aca="false">IF($A190="","",IF(E190&lt;=R190,"Below Safety Stock",IF(E190&lt;=S190,"Reorder Now",IF(E190&gt;X190,"Excess","Healthy"))))</f>
        <v>Healthy</v>
      </c>
      <c r="AB190" s="48" t="n">
        <f aca="false">IF($A190="","",RANK(AF190,$AF$5:$AF$504,0)+COUNTIF($AF$5:AF190,AF190)-1)</f>
        <v>166</v>
      </c>
      <c r="AC190" s="44" t="str">
        <f aca="false">IF($A190="","",Weekly_Demand!B190)</f>
        <v>CLASSIC METAL BIRDCAGE PLANT HOLDER</v>
      </c>
      <c r="AD190" s="59" t="n">
        <f aca="false">IF($A190="","",H190*SQRT(D190))</f>
        <v>18.0377515964324</v>
      </c>
      <c r="AE190" s="53" t="n">
        <f aca="false">IF($A190="","",AD190*C190)</f>
        <v>137.988799712708</v>
      </c>
      <c r="AF190" s="53" t="n">
        <f aca="false">IF($A190="","",ROUND(J190,2))</f>
        <v>7389.9</v>
      </c>
    </row>
    <row r="191" customFormat="false" ht="15" hidden="false" customHeight="false" outlineLevel="0" collapsed="false">
      <c r="A191" s="44" t="str">
        <f aca="false">IF(Weekly_Demand!A191="","",Weekly_Demand!A191)</f>
        <v>21216</v>
      </c>
      <c r="B191" s="44" t="str">
        <f aca="false">IF($A191="","",Weekly_Demand!C191)</f>
        <v>Other</v>
      </c>
      <c r="C191" s="45" t="n">
        <f aca="false">IF($A191="","",Weekly_Demand!D191)</f>
        <v>2.97</v>
      </c>
      <c r="D191" s="46" t="n">
        <f aca="false">IF($A191="","",Weekly_Demand!E191+Assumptions!$B$19)</f>
        <v>2</v>
      </c>
      <c r="E191" s="46" t="n">
        <f aca="false">IF($A191="","",Weekly_Demand!F191)</f>
        <v>357</v>
      </c>
      <c r="F191" s="46" t="n">
        <f aca="false">IF($A191="","",SUM(Weekly_Demand!G191:BF191))</f>
        <v>2061</v>
      </c>
      <c r="G191" s="51" t="n">
        <f aca="false">IF($A191="","",IFERROR(F191/Assumptions!$B$6,0))</f>
        <v>39.6346153846154</v>
      </c>
      <c r="H191" s="51" t="n">
        <f aca="false">IF($A191="","",STDEV(Weekly_Demand!G191:BF191))</f>
        <v>31.9914380985581</v>
      </c>
      <c r="I191" s="52" t="n">
        <f aca="false">IF($A191="","",IFERROR(H191/G191,0))</f>
        <v>0.807159039847173</v>
      </c>
      <c r="J191" s="53" t="n">
        <f aca="false">IF($A191="","",F191*C191)</f>
        <v>6121.17</v>
      </c>
      <c r="K191" s="54" t="n">
        <f aca="false">IF($A191="","",IFERROR(J191/$J$505,0))</f>
        <v>0.00158386722135991</v>
      </c>
      <c r="L191" s="54" t="n">
        <f aca="false">IF($A191="","",IFERROR(SUMIFS($J$5:$J$504,$AB$5:$AB$504,"&lt;="&amp;AB191)/$J$505,0))</f>
        <v>0.688630036368282</v>
      </c>
      <c r="M191" s="55" t="str">
        <f aca="false">IF($A191="","",IF(L191&lt;=Assumptions!$B$7,"A",IF(L191&lt;=Assumptions!$B$8,"B","C")))</f>
        <v>A</v>
      </c>
      <c r="N191" s="55" t="str">
        <f aca="false">IF($A191="","",IF(I191&lt;=Assumptions!$B$9,"X",IF(I191&lt;=Assumptions!$B$10,"Y","Z")))</f>
        <v>Y</v>
      </c>
      <c r="O191" s="56" t="str">
        <f aca="false">IF($A191="","",M191&amp;N191)</f>
        <v>AY</v>
      </c>
      <c r="P191" s="57" t="n">
        <f aca="false">IF($A191="","",INDEX(Assumptions!$B$35:$B$37,MATCH(M191,Assumptions!$A$35:$A$37,0)))</f>
        <v>0.98</v>
      </c>
      <c r="Q191" s="58" t="n">
        <f aca="false">IF($A191="","",NORMSINV(P191))</f>
        <v>2.05374891063182</v>
      </c>
      <c r="R191" s="48" t="n">
        <f aca="false">IF($A191="","",ROUNDUP(Q191*H191*SQRT(D191),0))</f>
        <v>93</v>
      </c>
      <c r="S191" s="48" t="n">
        <f aca="false">IF($A191="","",ROUNDUP(G191*D191+R191,0))</f>
        <v>173</v>
      </c>
      <c r="T191" s="46" t="n">
        <f aca="false">IF($A191="","",IFERROR(ROUND(SQRT(2*F191*Assumptions!$B$4/(Assumptions!$B$5*C191)),0),0))</f>
        <v>527</v>
      </c>
      <c r="U191" s="53" t="n">
        <f aca="false">IF($A191="","",R191*C191)</f>
        <v>276.21</v>
      </c>
      <c r="V191" s="53" t="n">
        <f aca="false">IF($A191="","",E191*C191)</f>
        <v>1060.29</v>
      </c>
      <c r="W191" s="59" t="n">
        <f aca="false">IF($A191="","",IFERROR(E191/G191,0))</f>
        <v>9.00727802037846</v>
      </c>
      <c r="X191" s="48" t="n">
        <f aca="false">IF($A191="","",S191+T191)</f>
        <v>700</v>
      </c>
      <c r="Y191" s="48" t="n">
        <f aca="false">IF($A191="","",MAX(0,E191-X191))</f>
        <v>0</v>
      </c>
      <c r="Z191" s="53" t="n">
        <f aca="false">IF($A191="","",Y191*C191)</f>
        <v>0</v>
      </c>
      <c r="AA191" s="56" t="str">
        <f aca="false">IF($A191="","",IF(E191&lt;=R191,"Below Safety Stock",IF(E191&lt;=S191,"Reorder Now",IF(E191&gt;X191,"Excess","Healthy"))))</f>
        <v>Healthy</v>
      </c>
      <c r="AB191" s="48" t="n">
        <f aca="false">IF($A191="","",RANK(AF191,$AF$5:$AF$504,0)+COUNTIF($AF$5:AF191,AF191)-1)</f>
        <v>209</v>
      </c>
      <c r="AC191" s="44" t="str">
        <f aca="false">IF($A191="","",Weekly_Demand!B191)</f>
        <v>SET 3 RETROSPOT TEA,COFFEE,SUGAR</v>
      </c>
      <c r="AD191" s="59" t="n">
        <f aca="false">IF($A191="","",H191*SQRT(D191))</f>
        <v>45.2427256388003</v>
      </c>
      <c r="AE191" s="53" t="n">
        <f aca="false">IF($A191="","",AD191*C191)</f>
        <v>134.370895147237</v>
      </c>
      <c r="AF191" s="53" t="n">
        <f aca="false">IF($A191="","",ROUND(J191,2))</f>
        <v>6121.17</v>
      </c>
    </row>
    <row r="192" customFormat="false" ht="15" hidden="false" customHeight="false" outlineLevel="0" collapsed="false">
      <c r="A192" s="44" t="str">
        <f aca="false">IF(Weekly_Demand!A192="","",Weekly_Demand!A192)</f>
        <v>22570</v>
      </c>
      <c r="B192" s="44" t="str">
        <f aca="false">IF($A192="","",Weekly_Demand!C192)</f>
        <v>Other</v>
      </c>
      <c r="C192" s="45" t="n">
        <f aca="false">IF($A192="","",Weekly_Demand!D192)</f>
        <v>2.25</v>
      </c>
      <c r="D192" s="46" t="n">
        <f aca="false">IF($A192="","",Weekly_Demand!E192+Assumptions!$B$19)</f>
        <v>6</v>
      </c>
      <c r="E192" s="46" t="n">
        <f aca="false">IF($A192="","",Weekly_Demand!F192)</f>
        <v>409</v>
      </c>
      <c r="F192" s="46" t="n">
        <f aca="false">IF($A192="","",SUM(Weekly_Demand!G192:BF192))</f>
        <v>3035</v>
      </c>
      <c r="G192" s="51" t="n">
        <f aca="false">IF($A192="","",IFERROR(F192/Assumptions!$B$6,0))</f>
        <v>58.3653846153846</v>
      </c>
      <c r="H192" s="51" t="n">
        <f aca="false">IF($A192="","",STDEV(Weekly_Demand!G192:BF192))</f>
        <v>78.745066162568</v>
      </c>
      <c r="I192" s="52" t="n">
        <f aca="false">IF($A192="","",IFERROR(H192/G192,0))</f>
        <v>1.34917411547069</v>
      </c>
      <c r="J192" s="53" t="n">
        <f aca="false">IF($A192="","",F192*C192)</f>
        <v>6828.75</v>
      </c>
      <c r="K192" s="54" t="n">
        <f aca="false">IF($A192="","",IFERROR(J192/$J$505,0))</f>
        <v>0.00176695522062963</v>
      </c>
      <c r="L192" s="54" t="n">
        <f aca="false">IF($A192="","",IFERROR(SUMIFS($J$5:$J$504,$AB$5:$AB$504,"&lt;="&amp;AB192)/$J$505,0))</f>
        <v>0.648736553932644</v>
      </c>
      <c r="M192" s="55" t="str">
        <f aca="false">IF($A192="","",IF(L192&lt;=Assumptions!$B$7,"A",IF(L192&lt;=Assumptions!$B$8,"B","C")))</f>
        <v>A</v>
      </c>
      <c r="N192" s="55" t="str">
        <f aca="false">IF($A192="","",IF(I192&lt;=Assumptions!$B$9,"X",IF(I192&lt;=Assumptions!$B$10,"Y","Z")))</f>
        <v>Z</v>
      </c>
      <c r="O192" s="56" t="str">
        <f aca="false">IF($A192="","",M192&amp;N192)</f>
        <v>AZ</v>
      </c>
      <c r="P192" s="57" t="n">
        <f aca="false">IF($A192="","",INDEX(Assumptions!$B$35:$B$37,MATCH(M192,Assumptions!$A$35:$A$37,0)))</f>
        <v>0.98</v>
      </c>
      <c r="Q192" s="58" t="n">
        <f aca="false">IF($A192="","",NORMSINV(P192))</f>
        <v>2.05374891063182</v>
      </c>
      <c r="R192" s="48" t="n">
        <f aca="false">IF($A192="","",ROUNDUP(Q192*H192*SQRT(D192),0))</f>
        <v>397</v>
      </c>
      <c r="S192" s="48" t="n">
        <f aca="false">IF($A192="","",ROUNDUP(G192*D192+R192,0))</f>
        <v>748</v>
      </c>
      <c r="T192" s="46" t="n">
        <f aca="false">IF($A192="","",IFERROR(ROUND(SQRT(2*F192*Assumptions!$B$4/(Assumptions!$B$5*C192)),0),0))</f>
        <v>735</v>
      </c>
      <c r="U192" s="53" t="n">
        <f aca="false">IF($A192="","",R192*C192)</f>
        <v>893.25</v>
      </c>
      <c r="V192" s="53" t="n">
        <f aca="false">IF($A192="","",E192*C192)</f>
        <v>920.25</v>
      </c>
      <c r="W192" s="59" t="n">
        <f aca="false">IF($A192="","",IFERROR(E192/G192,0))</f>
        <v>7.00757825370676</v>
      </c>
      <c r="X192" s="48" t="n">
        <f aca="false">IF($A192="","",S192+T192)</f>
        <v>1483</v>
      </c>
      <c r="Y192" s="48" t="n">
        <f aca="false">IF($A192="","",MAX(0,E192-X192))</f>
        <v>0</v>
      </c>
      <c r="Z192" s="53" t="n">
        <f aca="false">IF($A192="","",Y192*C192)</f>
        <v>0</v>
      </c>
      <c r="AA192" s="56" t="str">
        <f aca="false">IF($A192="","",IF(E192&lt;=R192,"Below Safety Stock",IF(E192&lt;=S192,"Reorder Now",IF(E192&gt;X192,"Excess","Healthy"))))</f>
        <v>Reorder Now</v>
      </c>
      <c r="AB192" s="48" t="n">
        <f aca="false">IF($A192="","",RANK(AF192,$AF$5:$AF$504,0)+COUNTIF($AF$5:AF192,AF192)-1)</f>
        <v>185</v>
      </c>
      <c r="AC192" s="44" t="str">
        <f aca="false">IF($A192="","",Weekly_Demand!B192)</f>
        <v>FELTCRAFT CUSHION RABBIT</v>
      </c>
      <c r="AD192" s="59" t="n">
        <f aca="false">IF($A192="","",H192*SQRT(D192))</f>
        <v>192.885231859993</v>
      </c>
      <c r="AE192" s="53" t="n">
        <f aca="false">IF($A192="","",AD192*C192)</f>
        <v>433.991771684984</v>
      </c>
      <c r="AF192" s="53" t="n">
        <f aca="false">IF($A192="","",ROUND(J192,2))</f>
        <v>6828.75</v>
      </c>
    </row>
    <row r="193" customFormat="false" ht="15" hidden="false" customHeight="false" outlineLevel="0" collapsed="false">
      <c r="A193" s="44" t="str">
        <f aca="false">IF(Weekly_Demand!A193="","",Weekly_Demand!A193)</f>
        <v>85014B</v>
      </c>
      <c r="B193" s="44" t="str">
        <f aca="false">IF($A193="","",Weekly_Demand!C193)</f>
        <v>Other</v>
      </c>
      <c r="C193" s="45" t="n">
        <f aca="false">IF($A193="","",Weekly_Demand!D193)</f>
        <v>3.57</v>
      </c>
      <c r="D193" s="46" t="n">
        <f aca="false">IF($A193="","",Weekly_Demand!E193+Assumptions!$B$19)</f>
        <v>6</v>
      </c>
      <c r="E193" s="46" t="n">
        <f aca="false">IF($A193="","",Weekly_Demand!F193)</f>
        <v>1059</v>
      </c>
      <c r="F193" s="46" t="n">
        <f aca="false">IF($A193="","",SUM(Weekly_Demand!G193:BF193))</f>
        <v>1898</v>
      </c>
      <c r="G193" s="51" t="n">
        <f aca="false">IF($A193="","",IFERROR(F193/Assumptions!$B$6,0))</f>
        <v>36.5</v>
      </c>
      <c r="H193" s="51" t="n">
        <f aca="false">IF($A193="","",STDEV(Weekly_Demand!G193:BF193))</f>
        <v>38.9023412773929</v>
      </c>
      <c r="I193" s="52" t="n">
        <f aca="false">IF($A193="","",IFERROR(H193/G193,0))</f>
        <v>1.06581756924364</v>
      </c>
      <c r="J193" s="53" t="n">
        <f aca="false">IF($A193="","",F193*C193)</f>
        <v>6775.86</v>
      </c>
      <c r="K193" s="54" t="n">
        <f aca="false">IF($A193="","",IFERROR(J193/$J$505,0))</f>
        <v>0.00175326980798177</v>
      </c>
      <c r="L193" s="54" t="n">
        <f aca="false">IF($A193="","",IFERROR(SUMIFS($J$5:$J$504,$AB$5:$AB$504,"&lt;="&amp;AB193)/$J$505,0))</f>
        <v>0.650489823740626</v>
      </c>
      <c r="M193" s="55" t="str">
        <f aca="false">IF($A193="","",IF(L193&lt;=Assumptions!$B$7,"A",IF(L193&lt;=Assumptions!$B$8,"B","C")))</f>
        <v>A</v>
      </c>
      <c r="N193" s="55" t="str">
        <f aca="false">IF($A193="","",IF(I193&lt;=Assumptions!$B$9,"X",IF(I193&lt;=Assumptions!$B$10,"Y","Z")))</f>
        <v>Z</v>
      </c>
      <c r="O193" s="56" t="str">
        <f aca="false">IF($A193="","",M193&amp;N193)</f>
        <v>AZ</v>
      </c>
      <c r="P193" s="57" t="n">
        <f aca="false">IF($A193="","",INDEX(Assumptions!$B$35:$B$37,MATCH(M193,Assumptions!$A$35:$A$37,0)))</f>
        <v>0.98</v>
      </c>
      <c r="Q193" s="58" t="n">
        <f aca="false">IF($A193="","",NORMSINV(P193))</f>
        <v>2.05374891063182</v>
      </c>
      <c r="R193" s="48" t="n">
        <f aca="false">IF($A193="","",ROUNDUP(Q193*H193*SQRT(D193),0))</f>
        <v>196</v>
      </c>
      <c r="S193" s="48" t="n">
        <f aca="false">IF($A193="","",ROUNDUP(G193*D193+R193,0))</f>
        <v>415</v>
      </c>
      <c r="T193" s="46" t="n">
        <f aca="false">IF($A193="","",IFERROR(ROUND(SQRT(2*F193*Assumptions!$B$4/(Assumptions!$B$5*C193)),0),0))</f>
        <v>461</v>
      </c>
      <c r="U193" s="53" t="n">
        <f aca="false">IF($A193="","",R193*C193)</f>
        <v>699.72</v>
      </c>
      <c r="V193" s="53" t="n">
        <f aca="false">IF($A193="","",E193*C193)</f>
        <v>3780.63</v>
      </c>
      <c r="W193" s="59" t="n">
        <f aca="false">IF($A193="","",IFERROR(E193/G193,0))</f>
        <v>29.013698630137</v>
      </c>
      <c r="X193" s="48" t="n">
        <f aca="false">IF($A193="","",S193+T193)</f>
        <v>876</v>
      </c>
      <c r="Y193" s="48" t="n">
        <f aca="false">IF($A193="","",MAX(0,E193-X193))</f>
        <v>183</v>
      </c>
      <c r="Z193" s="53" t="n">
        <f aca="false">IF($A193="","",Y193*C193)</f>
        <v>653.31</v>
      </c>
      <c r="AA193" s="56" t="str">
        <f aca="false">IF($A193="","",IF(E193&lt;=R193,"Below Safety Stock",IF(E193&lt;=S193,"Reorder Now",IF(E193&gt;X193,"Excess","Healthy"))))</f>
        <v>Excess</v>
      </c>
      <c r="AB193" s="48" t="n">
        <f aca="false">IF($A193="","",RANK(AF193,$AF$5:$AF$504,0)+COUNTIF($AF$5:AF193,AF193)-1)</f>
        <v>186</v>
      </c>
      <c r="AC193" s="44" t="str">
        <f aca="false">IF($A193="","",Weekly_Demand!B193)</f>
        <v>RED RETROSPOT UMBRELLA</v>
      </c>
      <c r="AD193" s="59" t="n">
        <f aca="false">IF($A193="","",H193*SQRT(D193))</f>
        <v>95.2908859292245</v>
      </c>
      <c r="AE193" s="53" t="n">
        <f aca="false">IF($A193="","",AD193*C193)</f>
        <v>340.188462767331</v>
      </c>
      <c r="AF193" s="53" t="n">
        <f aca="false">IF($A193="","",ROUND(J193,2))</f>
        <v>6775.86</v>
      </c>
    </row>
    <row r="194" customFormat="false" ht="15" hidden="false" customHeight="false" outlineLevel="0" collapsed="false">
      <c r="A194" s="44" t="str">
        <f aca="false">IF(Weekly_Demand!A194="","",Weekly_Demand!A194)</f>
        <v>22605</v>
      </c>
      <c r="B194" s="44" t="str">
        <f aca="false">IF($A194="","",Weekly_Demand!C194)</f>
        <v>Other</v>
      </c>
      <c r="C194" s="45" t="n">
        <f aca="false">IF($A194="","",Weekly_Demand!D194)</f>
        <v>8.97</v>
      </c>
      <c r="D194" s="46" t="n">
        <f aca="false">IF($A194="","",Weekly_Demand!E194+Assumptions!$B$19)</f>
        <v>4</v>
      </c>
      <c r="E194" s="46" t="n">
        <f aca="false">IF($A194="","",Weekly_Demand!F194)</f>
        <v>191</v>
      </c>
      <c r="F194" s="46" t="n">
        <f aca="false">IF($A194="","",SUM(Weekly_Demand!G194:BF194))</f>
        <v>764</v>
      </c>
      <c r="G194" s="51" t="n">
        <f aca="false">IF($A194="","",IFERROR(F194/Assumptions!$B$6,0))</f>
        <v>14.6923076923077</v>
      </c>
      <c r="H194" s="51" t="n">
        <f aca="false">IF($A194="","",STDEV(Weekly_Demand!G194:BF194))</f>
        <v>11.2816673457228</v>
      </c>
      <c r="I194" s="52" t="n">
        <f aca="false">IF($A194="","",IFERROR(H194/G194,0))</f>
        <v>0.76786217536333</v>
      </c>
      <c r="J194" s="53" t="n">
        <f aca="false">IF($A194="","",F194*C194)</f>
        <v>6853.08</v>
      </c>
      <c r="K194" s="54" t="n">
        <f aca="false">IF($A194="","",IFERROR(J194/$J$505,0))</f>
        <v>0.00177325066569907</v>
      </c>
      <c r="L194" s="54" t="n">
        <f aca="false">IF($A194="","",IFERROR(SUMIFS($J$5:$J$504,$AB$5:$AB$504,"&lt;="&amp;AB194)/$J$505,0))</f>
        <v>0.646969598712014</v>
      </c>
      <c r="M194" s="55" t="str">
        <f aca="false">IF($A194="","",IF(L194&lt;=Assumptions!$B$7,"A",IF(L194&lt;=Assumptions!$B$8,"B","C")))</f>
        <v>A</v>
      </c>
      <c r="N194" s="55" t="str">
        <f aca="false">IF($A194="","",IF(I194&lt;=Assumptions!$B$9,"X",IF(I194&lt;=Assumptions!$B$10,"Y","Z")))</f>
        <v>Y</v>
      </c>
      <c r="O194" s="56" t="str">
        <f aca="false">IF($A194="","",M194&amp;N194)</f>
        <v>AY</v>
      </c>
      <c r="P194" s="57" t="n">
        <f aca="false">IF($A194="","",INDEX(Assumptions!$B$35:$B$37,MATCH(M194,Assumptions!$A$35:$A$37,0)))</f>
        <v>0.98</v>
      </c>
      <c r="Q194" s="58" t="n">
        <f aca="false">IF($A194="","",NORMSINV(P194))</f>
        <v>2.05374891063182</v>
      </c>
      <c r="R194" s="48" t="n">
        <f aca="false">IF($A194="","",ROUNDUP(Q194*H194*SQRT(D194),0))</f>
        <v>47</v>
      </c>
      <c r="S194" s="48" t="n">
        <f aca="false">IF($A194="","",ROUNDUP(G194*D194+R194,0))</f>
        <v>106</v>
      </c>
      <c r="T194" s="46" t="n">
        <f aca="false">IF($A194="","",IFERROR(ROUND(SQRT(2*F194*Assumptions!$B$4/(Assumptions!$B$5*C194)),0),0))</f>
        <v>185</v>
      </c>
      <c r="U194" s="53" t="n">
        <f aca="false">IF($A194="","",R194*C194)</f>
        <v>421.59</v>
      </c>
      <c r="V194" s="53" t="n">
        <f aca="false">IF($A194="","",E194*C194)</f>
        <v>1713.27</v>
      </c>
      <c r="W194" s="59" t="n">
        <f aca="false">IF($A194="","",IFERROR(E194/G194,0))</f>
        <v>13</v>
      </c>
      <c r="X194" s="48" t="n">
        <f aca="false">IF($A194="","",S194+T194)</f>
        <v>291</v>
      </c>
      <c r="Y194" s="48" t="n">
        <f aca="false">IF($A194="","",MAX(0,E194-X194))</f>
        <v>0</v>
      </c>
      <c r="Z194" s="53" t="n">
        <f aca="false">IF($A194="","",Y194*C194)</f>
        <v>0</v>
      </c>
      <c r="AA194" s="56" t="str">
        <f aca="false">IF($A194="","",IF(E194&lt;=R194,"Below Safety Stock",IF(E194&lt;=S194,"Reorder Now",IF(E194&gt;X194,"Excess","Healthy"))))</f>
        <v>Healthy</v>
      </c>
      <c r="AB194" s="48" t="n">
        <f aca="false">IF($A194="","",RANK(AF194,$AF$5:$AF$504,0)+COUNTIF($AF$5:AF194,AF194)-1)</f>
        <v>184</v>
      </c>
      <c r="AC194" s="44" t="str">
        <f aca="false">IF($A194="","",Weekly_Demand!B194)</f>
        <v>WOODEN CROQUET GARDEN SET</v>
      </c>
      <c r="AD194" s="59" t="n">
        <f aca="false">IF($A194="","",H194*SQRT(D194))</f>
        <v>22.5633346914455</v>
      </c>
      <c r="AE194" s="53" t="n">
        <f aca="false">IF($A194="","",AD194*C194)</f>
        <v>202.393112182267</v>
      </c>
      <c r="AF194" s="53" t="n">
        <f aca="false">IF($A194="","",ROUND(J194,2))</f>
        <v>6853.08</v>
      </c>
    </row>
    <row r="195" customFormat="false" ht="15" hidden="false" customHeight="false" outlineLevel="0" collapsed="false">
      <c r="A195" s="44" t="str">
        <f aca="false">IF(Weekly_Demand!A195="","",Weekly_Demand!A195)</f>
        <v>23170</v>
      </c>
      <c r="B195" s="44" t="str">
        <f aca="false">IF($A195="","",Weekly_Demand!C195)</f>
        <v>Other</v>
      </c>
      <c r="C195" s="45" t="n">
        <f aca="false">IF($A195="","",Weekly_Demand!D195)</f>
        <v>0.99</v>
      </c>
      <c r="D195" s="46" t="n">
        <f aca="false">IF($A195="","",Weekly_Demand!E195+Assumptions!$B$19)</f>
        <v>6</v>
      </c>
      <c r="E195" s="46" t="n">
        <f aca="false">IF($A195="","",Weekly_Demand!F195)</f>
        <v>910</v>
      </c>
      <c r="F195" s="46" t="n">
        <f aca="false">IF($A195="","",SUM(Weekly_Demand!G195:BF195))</f>
        <v>6761</v>
      </c>
      <c r="G195" s="51" t="n">
        <f aca="false">IF($A195="","",IFERROR(F195/Assumptions!$B$6,0))</f>
        <v>130.019230769231</v>
      </c>
      <c r="H195" s="51" t="n">
        <f aca="false">IF($A195="","",STDEV(Weekly_Demand!G195:BF195))</f>
        <v>181.784346527785</v>
      </c>
      <c r="I195" s="52" t="n">
        <f aca="false">IF($A195="","",IFERROR(H195/G195,0))</f>
        <v>1.39813430253584</v>
      </c>
      <c r="J195" s="53" t="n">
        <f aca="false">IF($A195="","",F195*C195)</f>
        <v>6693.39</v>
      </c>
      <c r="K195" s="54" t="n">
        <f aca="false">IF($A195="","",IFERROR(J195/$J$505,0))</f>
        <v>0.00173193050034196</v>
      </c>
      <c r="L195" s="54" t="n">
        <f aca="false">IF($A195="","",IFERROR(SUMIFS($J$5:$J$504,$AB$5:$AB$504,"&lt;="&amp;AB195)/$J$505,0))</f>
        <v>0.653968029972491</v>
      </c>
      <c r="M195" s="55" t="str">
        <f aca="false">IF($A195="","",IF(L195&lt;=Assumptions!$B$7,"A",IF(L195&lt;=Assumptions!$B$8,"B","C")))</f>
        <v>A</v>
      </c>
      <c r="N195" s="55" t="str">
        <f aca="false">IF($A195="","",IF(I195&lt;=Assumptions!$B$9,"X",IF(I195&lt;=Assumptions!$B$10,"Y","Z")))</f>
        <v>Z</v>
      </c>
      <c r="O195" s="56" t="str">
        <f aca="false">IF($A195="","",M195&amp;N195)</f>
        <v>AZ</v>
      </c>
      <c r="P195" s="57" t="n">
        <f aca="false">IF($A195="","",INDEX(Assumptions!$B$35:$B$37,MATCH(M195,Assumptions!$A$35:$A$37,0)))</f>
        <v>0.98</v>
      </c>
      <c r="Q195" s="58" t="n">
        <f aca="false">IF($A195="","",NORMSINV(P195))</f>
        <v>2.05374891063182</v>
      </c>
      <c r="R195" s="48" t="n">
        <f aca="false">IF($A195="","",ROUNDUP(Q195*H195*SQRT(D195),0))</f>
        <v>915</v>
      </c>
      <c r="S195" s="48" t="n">
        <f aca="false">IF($A195="","",ROUNDUP(G195*D195+R195,0))</f>
        <v>1696</v>
      </c>
      <c r="T195" s="46" t="n">
        <f aca="false">IF($A195="","",IFERROR(ROUND(SQRT(2*F195*Assumptions!$B$4/(Assumptions!$B$5*C195)),0),0))</f>
        <v>1653</v>
      </c>
      <c r="U195" s="53" t="n">
        <f aca="false">IF($A195="","",R195*C195)</f>
        <v>905.85</v>
      </c>
      <c r="V195" s="53" t="n">
        <f aca="false">IF($A195="","",E195*C195)</f>
        <v>900.9</v>
      </c>
      <c r="W195" s="59" t="n">
        <f aca="false">IF($A195="","",IFERROR(E195/G195,0))</f>
        <v>6.99896465019967</v>
      </c>
      <c r="X195" s="48" t="n">
        <f aca="false">IF($A195="","",S195+T195)</f>
        <v>3349</v>
      </c>
      <c r="Y195" s="48" t="n">
        <f aca="false">IF($A195="","",MAX(0,E195-X195))</f>
        <v>0</v>
      </c>
      <c r="Z195" s="53" t="n">
        <f aca="false">IF($A195="","",Y195*C195)</f>
        <v>0</v>
      </c>
      <c r="AA195" s="56" t="str">
        <f aca="false">IF($A195="","",IF(E195&lt;=R195,"Below Safety Stock",IF(E195&lt;=S195,"Reorder Now",IF(E195&gt;X195,"Excess","Healthy"))))</f>
        <v>Below Safety Stock</v>
      </c>
      <c r="AB195" s="48" t="n">
        <f aca="false">IF($A195="","",RANK(AF195,$AF$5:$AF$504,0)+COUNTIF($AF$5:AF195,AF195)-1)</f>
        <v>188</v>
      </c>
      <c r="AC195" s="44" t="str">
        <f aca="false">IF($A195="","",Weekly_Demand!B195)</f>
        <v>REGENCY TEA PLATE ROSES</v>
      </c>
      <c r="AD195" s="59" t="n">
        <f aca="false">IF($A195="","",H195*SQRT(D195))</f>
        <v>445.278892218353</v>
      </c>
      <c r="AE195" s="53" t="n">
        <f aca="false">IF($A195="","",AD195*C195)</f>
        <v>440.826103296169</v>
      </c>
      <c r="AF195" s="53" t="n">
        <f aca="false">IF($A195="","",ROUND(J195,2))</f>
        <v>6693.39</v>
      </c>
    </row>
    <row r="196" customFormat="false" ht="15" hidden="false" customHeight="false" outlineLevel="0" collapsed="false">
      <c r="A196" s="44" t="str">
        <f aca="false">IF(Weekly_Demand!A196="","",Weekly_Demand!A196)</f>
        <v>22662</v>
      </c>
      <c r="B196" s="44" t="str">
        <f aca="false">IF($A196="","",Weekly_Demand!C196)</f>
        <v>Bags</v>
      </c>
      <c r="C196" s="45" t="n">
        <f aca="false">IF($A196="","",Weekly_Demand!D196)</f>
        <v>0.99</v>
      </c>
      <c r="D196" s="46" t="n">
        <f aca="false">IF($A196="","",Weekly_Demand!E196+Assumptions!$B$19)</f>
        <v>6</v>
      </c>
      <c r="E196" s="46" t="n">
        <f aca="false">IF($A196="","",Weekly_Demand!F196)</f>
        <v>1399</v>
      </c>
      <c r="F196" s="46" t="n">
        <f aca="false">IF($A196="","",SUM(Weekly_Demand!G196:BF196))</f>
        <v>6613</v>
      </c>
      <c r="G196" s="51" t="n">
        <f aca="false">IF($A196="","",IFERROR(F196/Assumptions!$B$6,0))</f>
        <v>127.173076923077</v>
      </c>
      <c r="H196" s="51" t="n">
        <f aca="false">IF($A196="","",STDEV(Weekly_Demand!G196:BF196))</f>
        <v>90.1834124902475</v>
      </c>
      <c r="I196" s="52" t="n">
        <f aca="false">IF($A196="","",IFERROR(H196/G196,0))</f>
        <v>0.709139187886416</v>
      </c>
      <c r="J196" s="53" t="n">
        <f aca="false">IF($A196="","",F196*C196)</f>
        <v>6546.87</v>
      </c>
      <c r="K196" s="54" t="n">
        <f aca="false">IF($A196="","",IFERROR(J196/$J$505,0))</f>
        <v>0.0016940181036476</v>
      </c>
      <c r="L196" s="54" t="n">
        <f aca="false">IF($A196="","",IFERROR(SUMIFS($J$5:$J$504,$AB$5:$AB$504,"&lt;="&amp;AB196)/$J$505,0))</f>
        <v>0.660796282389248</v>
      </c>
      <c r="M196" s="55" t="str">
        <f aca="false">IF($A196="","",IF(L196&lt;=Assumptions!$B$7,"A",IF(L196&lt;=Assumptions!$B$8,"B","C")))</f>
        <v>A</v>
      </c>
      <c r="N196" s="55" t="str">
        <f aca="false">IF($A196="","",IF(I196&lt;=Assumptions!$B$9,"X",IF(I196&lt;=Assumptions!$B$10,"Y","Z")))</f>
        <v>Y</v>
      </c>
      <c r="O196" s="56" t="str">
        <f aca="false">IF($A196="","",M196&amp;N196)</f>
        <v>AY</v>
      </c>
      <c r="P196" s="57" t="n">
        <f aca="false">IF($A196="","",INDEX(Assumptions!$B$35:$B$37,MATCH(M196,Assumptions!$A$35:$A$37,0)))</f>
        <v>0.98</v>
      </c>
      <c r="Q196" s="58" t="n">
        <f aca="false">IF($A196="","",NORMSINV(P196))</f>
        <v>2.05374891063182</v>
      </c>
      <c r="R196" s="48" t="n">
        <f aca="false">IF($A196="","",ROUNDUP(Q196*H196*SQRT(D196),0))</f>
        <v>454</v>
      </c>
      <c r="S196" s="48" t="n">
        <f aca="false">IF($A196="","",ROUNDUP(G196*D196+R196,0))</f>
        <v>1218</v>
      </c>
      <c r="T196" s="46" t="n">
        <f aca="false">IF($A196="","",IFERROR(ROUND(SQRT(2*F196*Assumptions!$B$4/(Assumptions!$B$5*C196)),0),0))</f>
        <v>1635</v>
      </c>
      <c r="U196" s="53" t="n">
        <f aca="false">IF($A196="","",R196*C196)</f>
        <v>449.46</v>
      </c>
      <c r="V196" s="53" t="n">
        <f aca="false">IF($A196="","",E196*C196)</f>
        <v>1385.01</v>
      </c>
      <c r="W196" s="59" t="n">
        <f aca="false">IF($A196="","",IFERROR(E196/G196,0))</f>
        <v>11.0007560864963</v>
      </c>
      <c r="X196" s="48" t="n">
        <f aca="false">IF($A196="","",S196+T196)</f>
        <v>2853</v>
      </c>
      <c r="Y196" s="48" t="n">
        <f aca="false">IF($A196="","",MAX(0,E196-X196))</f>
        <v>0</v>
      </c>
      <c r="Z196" s="53" t="n">
        <f aca="false">IF($A196="","",Y196*C196)</f>
        <v>0</v>
      </c>
      <c r="AA196" s="56" t="str">
        <f aca="false">IF($A196="","",IF(E196&lt;=R196,"Below Safety Stock",IF(E196&lt;=S196,"Reorder Now",IF(E196&gt;X196,"Excess","Healthy"))))</f>
        <v>Healthy</v>
      </c>
      <c r="AB196" s="48" t="n">
        <f aca="false">IF($A196="","",RANK(AF196,$AF$5:$AF$504,0)+COUNTIF($AF$5:AF196,AF196)-1)</f>
        <v>192</v>
      </c>
      <c r="AC196" s="44" t="str">
        <f aca="false">IF($A196="","",Weekly_Demand!B196)</f>
        <v>LUNCH BAG DOLLY GIRL DESIGN</v>
      </c>
      <c r="AD196" s="59" t="n">
        <f aca="false">IF($A196="","",H196*SQRT(D196))</f>
        <v>220.903343864046</v>
      </c>
      <c r="AE196" s="53" t="n">
        <f aca="false">IF($A196="","",AD196*C196)</f>
        <v>218.694310425405</v>
      </c>
      <c r="AF196" s="53" t="n">
        <f aca="false">IF($A196="","",ROUND(J196,2))</f>
        <v>6546.87</v>
      </c>
    </row>
    <row r="197" customFormat="false" ht="15" hidden="false" customHeight="false" outlineLevel="0" collapsed="false">
      <c r="A197" s="44" t="str">
        <f aca="false">IF(Weekly_Demand!A197="","",Weekly_Demand!A197)</f>
        <v>20711</v>
      </c>
      <c r="B197" s="44" t="str">
        <f aca="false">IF($A197="","",Weekly_Demand!C197)</f>
        <v>Bags</v>
      </c>
      <c r="C197" s="45" t="n">
        <f aca="false">IF($A197="","",Weekly_Demand!D197)</f>
        <v>2.478</v>
      </c>
      <c r="D197" s="46" t="n">
        <f aca="false">IF($A197="","",Weekly_Demand!E197+Assumptions!$B$19)</f>
        <v>8</v>
      </c>
      <c r="E197" s="46" t="n">
        <f aca="false">IF($A197="","",Weekly_Demand!F197)</f>
        <v>1242</v>
      </c>
      <c r="F197" s="46" t="n">
        <f aca="false">IF($A197="","",SUM(Weekly_Demand!G197:BF197))</f>
        <v>4967</v>
      </c>
      <c r="G197" s="51" t="n">
        <f aca="false">IF($A197="","",IFERROR(F197/Assumptions!$B$6,0))</f>
        <v>95.5192307692308</v>
      </c>
      <c r="H197" s="51" t="n">
        <f aca="false">IF($A197="","",STDEV(Weekly_Demand!G197:BF197))</f>
        <v>113.802114178751</v>
      </c>
      <c r="I197" s="52" t="n">
        <f aca="false">IF($A197="","",IFERROR(H197/G197,0))</f>
        <v>1.19140526218946</v>
      </c>
      <c r="J197" s="53" t="n">
        <f aca="false">IF($A197="","",F197*C197)</f>
        <v>12308.226</v>
      </c>
      <c r="K197" s="54" t="n">
        <f aca="false">IF($A197="","",IFERROR(J197/$J$505,0))</f>
        <v>0.00318478260111871</v>
      </c>
      <c r="L197" s="54" t="n">
        <f aca="false">IF($A197="","",IFERROR(SUMIFS($J$5:$J$504,$AB$5:$AB$504,"&lt;="&amp;AB197)/$J$505,0))</f>
        <v>0.400950554451957</v>
      </c>
      <c r="M197" s="55" t="str">
        <f aca="false">IF($A197="","",IF(L197&lt;=Assumptions!$B$7,"A",IF(L197&lt;=Assumptions!$B$8,"B","C")))</f>
        <v>A</v>
      </c>
      <c r="N197" s="55" t="str">
        <f aca="false">IF($A197="","",IF(I197&lt;=Assumptions!$B$9,"X",IF(I197&lt;=Assumptions!$B$10,"Y","Z")))</f>
        <v>Z</v>
      </c>
      <c r="O197" s="56" t="str">
        <f aca="false">IF($A197="","",M197&amp;N197)</f>
        <v>AZ</v>
      </c>
      <c r="P197" s="57" t="n">
        <f aca="false">IF($A197="","",INDEX(Assumptions!$B$35:$B$37,MATCH(M197,Assumptions!$A$35:$A$37,0)))</f>
        <v>0.98</v>
      </c>
      <c r="Q197" s="58" t="n">
        <f aca="false">IF($A197="","",NORMSINV(P197))</f>
        <v>2.05374891063182</v>
      </c>
      <c r="R197" s="48" t="n">
        <f aca="false">IF($A197="","",ROUNDUP(Q197*H197*SQRT(D197),0))</f>
        <v>662</v>
      </c>
      <c r="S197" s="48" t="n">
        <f aca="false">IF($A197="","",ROUNDUP(G197*D197+R197,0))</f>
        <v>1427</v>
      </c>
      <c r="T197" s="46" t="n">
        <f aca="false">IF($A197="","",IFERROR(ROUND(SQRT(2*F197*Assumptions!$B$4/(Assumptions!$B$5*C197)),0),0))</f>
        <v>895</v>
      </c>
      <c r="U197" s="53" t="n">
        <f aca="false">IF($A197="","",R197*C197)</f>
        <v>1640.436</v>
      </c>
      <c r="V197" s="53" t="n">
        <f aca="false">IF($A197="","",E197*C197)</f>
        <v>3077.676</v>
      </c>
      <c r="W197" s="59" t="n">
        <f aca="false">IF($A197="","",IFERROR(E197/G197,0))</f>
        <v>13.0026172740085</v>
      </c>
      <c r="X197" s="48" t="n">
        <f aca="false">IF($A197="","",S197+T197)</f>
        <v>2322</v>
      </c>
      <c r="Y197" s="48" t="n">
        <f aca="false">IF($A197="","",MAX(0,E197-X197))</f>
        <v>0</v>
      </c>
      <c r="Z197" s="53" t="n">
        <f aca="false">IF($A197="","",Y197*C197)</f>
        <v>0</v>
      </c>
      <c r="AA197" s="56" t="str">
        <f aca="false">IF($A197="","",IF(E197&lt;=R197,"Below Safety Stock",IF(E197&lt;=S197,"Reorder Now",IF(E197&gt;X197,"Excess","Healthy"))))</f>
        <v>Reorder Now</v>
      </c>
      <c r="AB197" s="48" t="n">
        <f aca="false">IF($A197="","",RANK(AF197,$AF$5:$AF$504,0)+COUNTIF($AF$5:AF197,AF197)-1)</f>
        <v>78</v>
      </c>
      <c r="AC197" s="44" t="str">
        <f aca="false">IF($A197="","",Weekly_Demand!B197)</f>
        <v>JUMBO BAG TOYS</v>
      </c>
      <c r="AD197" s="59" t="n">
        <f aca="false">IF($A197="","",H197*SQRT(D197))</f>
        <v>321.880986596643</v>
      </c>
      <c r="AE197" s="53" t="n">
        <f aca="false">IF($A197="","",AD197*C197)</f>
        <v>797.621084786482</v>
      </c>
      <c r="AF197" s="53" t="n">
        <f aca="false">IF($A197="","",ROUND(J197,2))</f>
        <v>12308.23</v>
      </c>
    </row>
    <row r="198" customFormat="false" ht="15" hidden="false" customHeight="false" outlineLevel="0" collapsed="false">
      <c r="A198" s="44" t="str">
        <f aca="false">IF(Weekly_Demand!A198="","",Weekly_Demand!A198)</f>
        <v>22356</v>
      </c>
      <c r="B198" s="44" t="str">
        <f aca="false">IF($A198="","",Weekly_Demand!C198)</f>
        <v>Bags</v>
      </c>
      <c r="C198" s="45" t="n">
        <f aca="false">IF($A198="","",Weekly_Demand!D198)</f>
        <v>0.51</v>
      </c>
      <c r="D198" s="46" t="n">
        <f aca="false">IF($A198="","",Weekly_Demand!E198+Assumptions!$B$19)</f>
        <v>2</v>
      </c>
      <c r="E198" s="46" t="n">
        <f aca="false">IF($A198="","",Weekly_Demand!F198)</f>
        <v>1993</v>
      </c>
      <c r="F198" s="46" t="n">
        <f aca="false">IF($A198="","",SUM(Weekly_Demand!G198:BF198))</f>
        <v>9423</v>
      </c>
      <c r="G198" s="51" t="n">
        <f aca="false">IF($A198="","",IFERROR(F198/Assumptions!$B$6,0))</f>
        <v>181.211538461538</v>
      </c>
      <c r="H198" s="51" t="n">
        <f aca="false">IF($A198="","",STDEV(Weekly_Demand!G198:BF198))</f>
        <v>99.1869568707146</v>
      </c>
      <c r="I198" s="52" t="n">
        <f aca="false">IF($A198="","",IFERROR(H198/G198,0))</f>
        <v>0.547354532237839</v>
      </c>
      <c r="J198" s="53" t="n">
        <f aca="false">IF($A198="","",F198*C198)</f>
        <v>4805.73</v>
      </c>
      <c r="K198" s="54" t="n">
        <f aca="false">IF($A198="","",IFERROR(J198/$J$505,0))</f>
        <v>0.00124349400877707</v>
      </c>
      <c r="L198" s="54" t="n">
        <f aca="false">IF($A198="","",IFERROR(SUMIFS($J$5:$J$504,$AB$5:$AB$504,"&lt;="&amp;AB198)/$J$505,0))</f>
        <v>0.786382523199883</v>
      </c>
      <c r="M198" s="55" t="str">
        <f aca="false">IF($A198="","",IF(L198&lt;=Assumptions!$B$7,"A",IF(L198&lt;=Assumptions!$B$8,"B","C")))</f>
        <v>A</v>
      </c>
      <c r="N198" s="55" t="str">
        <f aca="false">IF($A198="","",IF(I198&lt;=Assumptions!$B$9,"X",IF(I198&lt;=Assumptions!$B$10,"Y","Z")))</f>
        <v>Y</v>
      </c>
      <c r="O198" s="56" t="str">
        <f aca="false">IF($A198="","",M198&amp;N198)</f>
        <v>AY</v>
      </c>
      <c r="P198" s="57" t="n">
        <f aca="false">IF($A198="","",INDEX(Assumptions!$B$35:$B$37,MATCH(M198,Assumptions!$A$35:$A$37,0)))</f>
        <v>0.98</v>
      </c>
      <c r="Q198" s="58" t="n">
        <f aca="false">IF($A198="","",NORMSINV(P198))</f>
        <v>2.05374891063182</v>
      </c>
      <c r="R198" s="48" t="n">
        <f aca="false">IF($A198="","",ROUNDUP(Q198*H198*SQRT(D198),0))</f>
        <v>289</v>
      </c>
      <c r="S198" s="48" t="n">
        <f aca="false">IF($A198="","",ROUNDUP(G198*D198+R198,0))</f>
        <v>652</v>
      </c>
      <c r="T198" s="46" t="n">
        <f aca="false">IF($A198="","",IFERROR(ROUND(SQRT(2*F198*Assumptions!$B$4/(Assumptions!$B$5*C198)),0),0))</f>
        <v>2719</v>
      </c>
      <c r="U198" s="53" t="n">
        <f aca="false">IF($A198="","",R198*C198)</f>
        <v>147.39</v>
      </c>
      <c r="V198" s="53" t="n">
        <f aca="false">IF($A198="","",E198*C198)</f>
        <v>1016.43</v>
      </c>
      <c r="W198" s="59" t="n">
        <f aca="false">IF($A198="","",IFERROR(E198/G198,0))</f>
        <v>10.99819590364</v>
      </c>
      <c r="X198" s="48" t="n">
        <f aca="false">IF($A198="","",S198+T198)</f>
        <v>3371</v>
      </c>
      <c r="Y198" s="48" t="n">
        <f aca="false">IF($A198="","",MAX(0,E198-X198))</f>
        <v>0</v>
      </c>
      <c r="Z198" s="53" t="n">
        <f aca="false">IF($A198="","",Y198*C198)</f>
        <v>0</v>
      </c>
      <c r="AA198" s="56" t="str">
        <f aca="false">IF($A198="","",IF(E198&lt;=R198,"Below Safety Stock",IF(E198&lt;=S198,"Reorder Now",IF(E198&gt;X198,"Excess","Healthy"))))</f>
        <v>Healthy</v>
      </c>
      <c r="AB198" s="48" t="n">
        <f aca="false">IF($A198="","",RANK(AF198,$AF$5:$AF$504,0)+COUNTIF($AF$5:AF198,AF198)-1)</f>
        <v>279</v>
      </c>
      <c r="AC198" s="44" t="str">
        <f aca="false">IF($A198="","",Weekly_Demand!B198)</f>
        <v>CHARLOTTE BAG PINK POLKADOT</v>
      </c>
      <c r="AD198" s="59" t="n">
        <f aca="false">IF($A198="","",H198*SQRT(D198))</f>
        <v>140.27153961708</v>
      </c>
      <c r="AE198" s="53" t="n">
        <f aca="false">IF($A198="","",AD198*C198)</f>
        <v>71.5384852047107</v>
      </c>
      <c r="AF198" s="53" t="n">
        <f aca="false">IF($A198="","",ROUND(J198,2))</f>
        <v>4805.73</v>
      </c>
    </row>
    <row r="199" customFormat="false" ht="15" hidden="false" customHeight="false" outlineLevel="0" collapsed="false">
      <c r="A199" s="44" t="str">
        <f aca="false">IF(Weekly_Demand!A199="","",Weekly_Demand!A199)</f>
        <v>22730</v>
      </c>
      <c r="B199" s="44" t="str">
        <f aca="false">IF($A199="","",Weekly_Demand!C199)</f>
        <v>Other</v>
      </c>
      <c r="C199" s="45" t="n">
        <f aca="false">IF($A199="","",Weekly_Demand!D199)</f>
        <v>2.25</v>
      </c>
      <c r="D199" s="46" t="n">
        <f aca="false">IF($A199="","",Weekly_Demand!E199+Assumptions!$B$19)</f>
        <v>6</v>
      </c>
      <c r="E199" s="46" t="n">
        <f aca="false">IF($A199="","",Weekly_Demand!F199)</f>
        <v>843</v>
      </c>
      <c r="F199" s="46" t="n">
        <f aca="false">IF($A199="","",SUM(Weekly_Demand!G199:BF199))</f>
        <v>2740</v>
      </c>
      <c r="G199" s="51" t="n">
        <f aca="false">IF($A199="","",IFERROR(F199/Assumptions!$B$6,0))</f>
        <v>52.6923076923077</v>
      </c>
      <c r="H199" s="51" t="n">
        <f aca="false">IF($A199="","",STDEV(Weekly_Demand!G199:BF199))</f>
        <v>54.8325574037258</v>
      </c>
      <c r="I199" s="52" t="n">
        <f aca="false">IF($A199="","",IFERROR(H199/G199,0))</f>
        <v>1.04061787773494</v>
      </c>
      <c r="J199" s="53" t="n">
        <f aca="false">IF($A199="","",F199*C199)</f>
        <v>6165</v>
      </c>
      <c r="K199" s="54" t="n">
        <f aca="false">IF($A199="","",IFERROR(J199/$J$505,0))</f>
        <v>0.00159520833757008</v>
      </c>
      <c r="L199" s="54" t="n">
        <f aca="false">IF($A199="","",IFERROR(SUMIFS($J$5:$J$504,$AB$5:$AB$504,"&lt;="&amp;AB199)/$J$505,0))</f>
        <v>0.683871836518864</v>
      </c>
      <c r="M199" s="55" t="str">
        <f aca="false">IF($A199="","",IF(L199&lt;=Assumptions!$B$7,"A",IF(L199&lt;=Assumptions!$B$8,"B","C")))</f>
        <v>A</v>
      </c>
      <c r="N199" s="55" t="str">
        <f aca="false">IF($A199="","",IF(I199&lt;=Assumptions!$B$9,"X",IF(I199&lt;=Assumptions!$B$10,"Y","Z")))</f>
        <v>Z</v>
      </c>
      <c r="O199" s="56" t="str">
        <f aca="false">IF($A199="","",M199&amp;N199)</f>
        <v>AZ</v>
      </c>
      <c r="P199" s="57" t="n">
        <f aca="false">IF($A199="","",INDEX(Assumptions!$B$35:$B$37,MATCH(M199,Assumptions!$A$35:$A$37,0)))</f>
        <v>0.98</v>
      </c>
      <c r="Q199" s="58" t="n">
        <f aca="false">IF($A199="","",NORMSINV(P199))</f>
        <v>2.05374891063182</v>
      </c>
      <c r="R199" s="48" t="n">
        <f aca="false">IF($A199="","",ROUNDUP(Q199*H199*SQRT(D199),0))</f>
        <v>276</v>
      </c>
      <c r="S199" s="48" t="n">
        <f aca="false">IF($A199="","",ROUNDUP(G199*D199+R199,0))</f>
        <v>593</v>
      </c>
      <c r="T199" s="46" t="n">
        <f aca="false">IF($A199="","",IFERROR(ROUND(SQRT(2*F199*Assumptions!$B$4/(Assumptions!$B$5*C199)),0),0))</f>
        <v>698</v>
      </c>
      <c r="U199" s="53" t="n">
        <f aca="false">IF($A199="","",R199*C199)</f>
        <v>621</v>
      </c>
      <c r="V199" s="53" t="n">
        <f aca="false">IF($A199="","",E199*C199)</f>
        <v>1896.75</v>
      </c>
      <c r="W199" s="59" t="n">
        <f aca="false">IF($A199="","",IFERROR(E199/G199,0))</f>
        <v>15.9985401459854</v>
      </c>
      <c r="X199" s="48" t="n">
        <f aca="false">IF($A199="","",S199+T199)</f>
        <v>1291</v>
      </c>
      <c r="Y199" s="48" t="n">
        <f aca="false">IF($A199="","",MAX(0,E199-X199))</f>
        <v>0</v>
      </c>
      <c r="Z199" s="53" t="n">
        <f aca="false">IF($A199="","",Y199*C199)</f>
        <v>0</v>
      </c>
      <c r="AA199" s="56" t="str">
        <f aca="false">IF($A199="","",IF(E199&lt;=R199,"Below Safety Stock",IF(E199&lt;=S199,"Reorder Now",IF(E199&gt;X199,"Excess","Healthy"))))</f>
        <v>Healthy</v>
      </c>
      <c r="AB199" s="48" t="n">
        <f aca="false">IF($A199="","",RANK(AF199,$AF$5:$AF$504,0)+COUNTIF($AF$5:AF199,AF199)-1)</f>
        <v>206</v>
      </c>
      <c r="AC199" s="44" t="str">
        <f aca="false">IF($A199="","",Weekly_Demand!B199)</f>
        <v>ALARM CLOCK BAKELIKE IVORY</v>
      </c>
      <c r="AD199" s="59" t="n">
        <f aca="false">IF($A199="","",H199*SQRT(D199))</f>
        <v>134.311786930996</v>
      </c>
      <c r="AE199" s="53" t="n">
        <f aca="false">IF($A199="","",AD199*C199)</f>
        <v>302.201520594741</v>
      </c>
      <c r="AF199" s="53" t="n">
        <f aca="false">IF($A199="","",ROUND(J199,2))</f>
        <v>6165</v>
      </c>
    </row>
    <row r="200" customFormat="false" ht="15" hidden="false" customHeight="false" outlineLevel="0" collapsed="false">
      <c r="A200" s="44" t="str">
        <f aca="false">IF(Weekly_Demand!A200="","",Weekly_Demand!A200)</f>
        <v>21080</v>
      </c>
      <c r="B200" s="44" t="str">
        <f aca="false">IF($A200="","",Weekly_Demand!C200)</f>
        <v>Other</v>
      </c>
      <c r="C200" s="45" t="n">
        <f aca="false">IF($A200="","",Weekly_Demand!D200)</f>
        <v>0.51</v>
      </c>
      <c r="D200" s="46" t="n">
        <f aca="false">IF($A200="","",Weekly_Demand!E200+Assumptions!$B$19)</f>
        <v>2</v>
      </c>
      <c r="E200" s="46" t="n">
        <f aca="false">IF($A200="","",Weekly_Demand!F200)</f>
        <v>972</v>
      </c>
      <c r="F200" s="46" t="n">
        <f aca="false">IF($A200="","",SUM(Weekly_Demand!G200:BF200))</f>
        <v>12638</v>
      </c>
      <c r="G200" s="51" t="n">
        <f aca="false">IF($A200="","",IFERROR(F200/Assumptions!$B$6,0))</f>
        <v>243.038461538462</v>
      </c>
      <c r="H200" s="51" t="n">
        <f aca="false">IF($A200="","",STDEV(Weekly_Demand!G200:BF200))</f>
        <v>131.065611699392</v>
      </c>
      <c r="I200" s="52" t="n">
        <f aca="false">IF($A200="","",IFERROR(H200/G200,0))</f>
        <v>0.539279301184394</v>
      </c>
      <c r="J200" s="53" t="n">
        <f aca="false">IF($A200="","",F200*C200)</f>
        <v>6445.38</v>
      </c>
      <c r="K200" s="54" t="n">
        <f aca="false">IF($A200="","",IFERROR(J200/$J$505,0))</f>
        <v>0.00166775732600283</v>
      </c>
      <c r="L200" s="54" t="n">
        <f aca="false">IF($A200="","",IFERROR(SUMIFS($J$5:$J$504,$AB$5:$AB$504,"&lt;="&amp;AB200)/$J$505,0))</f>
        <v>0.669178640330205</v>
      </c>
      <c r="M200" s="55" t="str">
        <f aca="false">IF($A200="","",IF(L200&lt;=Assumptions!$B$7,"A",IF(L200&lt;=Assumptions!$B$8,"B","C")))</f>
        <v>A</v>
      </c>
      <c r="N200" s="55" t="str">
        <f aca="false">IF($A200="","",IF(I200&lt;=Assumptions!$B$9,"X",IF(I200&lt;=Assumptions!$B$10,"Y","Z")))</f>
        <v>Y</v>
      </c>
      <c r="O200" s="56" t="str">
        <f aca="false">IF($A200="","",M200&amp;N200)</f>
        <v>AY</v>
      </c>
      <c r="P200" s="57" t="n">
        <f aca="false">IF($A200="","",INDEX(Assumptions!$B$35:$B$37,MATCH(M200,Assumptions!$A$35:$A$37,0)))</f>
        <v>0.98</v>
      </c>
      <c r="Q200" s="58" t="n">
        <f aca="false">IF($A200="","",NORMSINV(P200))</f>
        <v>2.05374891063182</v>
      </c>
      <c r="R200" s="48" t="n">
        <f aca="false">IF($A200="","",ROUNDUP(Q200*H200*SQRT(D200),0))</f>
        <v>381</v>
      </c>
      <c r="S200" s="48" t="n">
        <f aca="false">IF($A200="","",ROUNDUP(G200*D200+R200,0))</f>
        <v>868</v>
      </c>
      <c r="T200" s="46" t="n">
        <f aca="false">IF($A200="","",IFERROR(ROUND(SQRT(2*F200*Assumptions!$B$4/(Assumptions!$B$5*C200)),0),0))</f>
        <v>3148</v>
      </c>
      <c r="U200" s="53" t="n">
        <f aca="false">IF($A200="","",R200*C200)</f>
        <v>194.31</v>
      </c>
      <c r="V200" s="53" t="n">
        <f aca="false">IF($A200="","",E200*C200)</f>
        <v>495.72</v>
      </c>
      <c r="W200" s="59" t="n">
        <f aca="false">IF($A200="","",IFERROR(E200/G200,0))</f>
        <v>3.99936698844754</v>
      </c>
      <c r="X200" s="48" t="n">
        <f aca="false">IF($A200="","",S200+T200)</f>
        <v>4016</v>
      </c>
      <c r="Y200" s="48" t="n">
        <f aca="false">IF($A200="","",MAX(0,E200-X200))</f>
        <v>0</v>
      </c>
      <c r="Z200" s="53" t="n">
        <f aca="false">IF($A200="","",Y200*C200)</f>
        <v>0</v>
      </c>
      <c r="AA200" s="56" t="str">
        <f aca="false">IF($A200="","",IF(E200&lt;=R200,"Below Safety Stock",IF(E200&lt;=S200,"Reorder Now",IF(E200&gt;X200,"Excess","Healthy"))))</f>
        <v>Healthy</v>
      </c>
      <c r="AB200" s="48" t="n">
        <f aca="false">IF($A200="","",RANK(AF200,$AF$5:$AF$504,0)+COUNTIF($AF$5:AF200,AF200)-1)</f>
        <v>197</v>
      </c>
      <c r="AC200" s="44" t="str">
        <f aca="false">IF($A200="","",Weekly_Demand!B200)</f>
        <v>SET/20 RED RETROSPOT PAPER NAPKINS</v>
      </c>
      <c r="AD200" s="59" t="n">
        <f aca="false">IF($A200="","",H200*SQRT(D200))</f>
        <v>185.354765626006</v>
      </c>
      <c r="AE200" s="53" t="n">
        <f aca="false">IF($A200="","",AD200*C200)</f>
        <v>94.5309304692629</v>
      </c>
      <c r="AF200" s="53" t="n">
        <f aca="false">IF($A200="","",ROUND(J200,2))</f>
        <v>6445.38</v>
      </c>
    </row>
    <row r="201" customFormat="false" ht="15" hidden="false" customHeight="false" outlineLevel="0" collapsed="false">
      <c r="A201" s="44" t="str">
        <f aca="false">IF(Weekly_Demand!A201="","",Weekly_Demand!A201)</f>
        <v>23581</v>
      </c>
      <c r="B201" s="44" t="str">
        <f aca="false">IF($A201="","",Weekly_Demand!C201)</f>
        <v>Bags</v>
      </c>
      <c r="C201" s="45" t="n">
        <f aca="false">IF($A201="","",Weekly_Demand!D201)</f>
        <v>1.248</v>
      </c>
      <c r="D201" s="46" t="n">
        <f aca="false">IF($A201="","",Weekly_Demand!E201+Assumptions!$B$19)</f>
        <v>4</v>
      </c>
      <c r="E201" s="46" t="n">
        <f aca="false">IF($A201="","",Weekly_Demand!F201)</f>
        <v>1250</v>
      </c>
      <c r="F201" s="46" t="n">
        <f aca="false">IF($A201="","",SUM(Weekly_Demand!G201:BF201))</f>
        <v>4644</v>
      </c>
      <c r="G201" s="51" t="n">
        <f aca="false">IF($A201="","",IFERROR(F201/Assumptions!$B$6,0))</f>
        <v>89.3076923076923</v>
      </c>
      <c r="H201" s="51" t="n">
        <f aca="false">IF($A201="","",STDEV(Weekly_Demand!G201:BF201))</f>
        <v>269.36945533798</v>
      </c>
      <c r="I201" s="52" t="n">
        <f aca="false">IF($A201="","",IFERROR(H201/G201,0))</f>
        <v>3.01619545167419</v>
      </c>
      <c r="J201" s="53" t="n">
        <f aca="false">IF($A201="","",F201*C201)</f>
        <v>5795.712</v>
      </c>
      <c r="K201" s="54" t="n">
        <f aca="false">IF($A201="","",IFERROR(J201/$J$505,0))</f>
        <v>0.00149965419376398</v>
      </c>
      <c r="L201" s="54" t="n">
        <f aca="false">IF($A201="","",IFERROR(SUMIFS($J$5:$J$504,$AB$5:$AB$504,"&lt;="&amp;AB201)/$J$505,0))</f>
        <v>0.713302113814993</v>
      </c>
      <c r="M201" s="55" t="str">
        <f aca="false">IF($A201="","",IF(L201&lt;=Assumptions!$B$7,"A",IF(L201&lt;=Assumptions!$B$8,"B","C")))</f>
        <v>A</v>
      </c>
      <c r="N201" s="55" t="str">
        <f aca="false">IF($A201="","",IF(I201&lt;=Assumptions!$B$9,"X",IF(I201&lt;=Assumptions!$B$10,"Y","Z")))</f>
        <v>Z</v>
      </c>
      <c r="O201" s="56" t="str">
        <f aca="false">IF($A201="","",M201&amp;N201)</f>
        <v>AZ</v>
      </c>
      <c r="P201" s="57" t="n">
        <f aca="false">IF($A201="","",INDEX(Assumptions!$B$35:$B$37,MATCH(M201,Assumptions!$A$35:$A$37,0)))</f>
        <v>0.98</v>
      </c>
      <c r="Q201" s="58" t="n">
        <f aca="false">IF($A201="","",NORMSINV(P201))</f>
        <v>2.05374891063182</v>
      </c>
      <c r="R201" s="48" t="n">
        <f aca="false">IF($A201="","",ROUNDUP(Q201*H201*SQRT(D201),0))</f>
        <v>1107</v>
      </c>
      <c r="S201" s="48" t="n">
        <f aca="false">IF($A201="","",ROUNDUP(G201*D201+R201,0))</f>
        <v>1465</v>
      </c>
      <c r="T201" s="46" t="n">
        <f aca="false">IF($A201="","",IFERROR(ROUND(SQRT(2*F201*Assumptions!$B$4/(Assumptions!$B$5*C201)),0),0))</f>
        <v>1220</v>
      </c>
      <c r="U201" s="53" t="n">
        <f aca="false">IF($A201="","",R201*C201)</f>
        <v>1381.536</v>
      </c>
      <c r="V201" s="53" t="n">
        <f aca="false">IF($A201="","",E201*C201)</f>
        <v>1560</v>
      </c>
      <c r="W201" s="59" t="n">
        <f aca="false">IF($A201="","",IFERROR(E201/G201,0))</f>
        <v>13.9965546942291</v>
      </c>
      <c r="X201" s="48" t="n">
        <f aca="false">IF($A201="","",S201+T201)</f>
        <v>2685</v>
      </c>
      <c r="Y201" s="48" t="n">
        <f aca="false">IF($A201="","",MAX(0,E201-X201))</f>
        <v>0</v>
      </c>
      <c r="Z201" s="53" t="n">
        <f aca="false">IF($A201="","",Y201*C201)</f>
        <v>0</v>
      </c>
      <c r="AA201" s="56" t="str">
        <f aca="false">IF($A201="","",IF(E201&lt;=R201,"Below Safety Stock",IF(E201&lt;=S201,"Reorder Now",IF(E201&gt;X201,"Excess","Healthy"))))</f>
        <v>Reorder Now</v>
      </c>
      <c r="AB201" s="48" t="n">
        <f aca="false">IF($A201="","",RANK(AF201,$AF$5:$AF$504,0)+COUNTIF($AF$5:AF201,AF201)-1)</f>
        <v>225</v>
      </c>
      <c r="AC201" s="44" t="str">
        <f aca="false">IF($A201="","",Weekly_Demand!B201)</f>
        <v>JUMBO BAG PAISLEY PARK</v>
      </c>
      <c r="AD201" s="59" t="n">
        <f aca="false">IF($A201="","",H201*SQRT(D201))</f>
        <v>538.73891067596</v>
      </c>
      <c r="AE201" s="53" t="n">
        <f aca="false">IF($A201="","",AD201*C201)</f>
        <v>672.346160523598</v>
      </c>
      <c r="AF201" s="53" t="n">
        <f aca="false">IF($A201="","",ROUND(J201,2))</f>
        <v>5795.71</v>
      </c>
    </row>
    <row r="202" customFormat="false" ht="15" hidden="false" customHeight="false" outlineLevel="0" collapsed="false">
      <c r="A202" s="44" t="str">
        <f aca="false">IF(Weekly_Demand!A202="","",Weekly_Demand!A202)</f>
        <v>21217</v>
      </c>
      <c r="B202" s="44" t="str">
        <f aca="false">IF($A202="","",Weekly_Demand!C202)</f>
        <v>Kitchen</v>
      </c>
      <c r="C202" s="45" t="n">
        <f aca="false">IF($A202="","",Weekly_Demand!D202)</f>
        <v>5.97</v>
      </c>
      <c r="D202" s="46" t="n">
        <f aca="false">IF($A202="","",Weekly_Demand!E202+Assumptions!$B$19)</f>
        <v>4</v>
      </c>
      <c r="E202" s="46" t="n">
        <f aca="false">IF($A202="","",Weekly_Demand!F202)</f>
        <v>573</v>
      </c>
      <c r="F202" s="46" t="n">
        <f aca="false">IF($A202="","",SUM(Weekly_Demand!G202:BF202))</f>
        <v>1027</v>
      </c>
      <c r="G202" s="51" t="n">
        <f aca="false">IF($A202="","",IFERROR(F202/Assumptions!$B$6,0))</f>
        <v>19.75</v>
      </c>
      <c r="H202" s="51" t="n">
        <f aca="false">IF($A202="","",STDEV(Weekly_Demand!G202:BF202))</f>
        <v>22.5213406420161</v>
      </c>
      <c r="I202" s="52" t="n">
        <f aca="false">IF($A202="","",IFERROR(H202/G202,0))</f>
        <v>1.14032104516537</v>
      </c>
      <c r="J202" s="53" t="n">
        <f aca="false">IF($A202="","",F202*C202)</f>
        <v>6131.19</v>
      </c>
      <c r="K202" s="54" t="n">
        <f aca="false">IF($A202="","",IFERROR(J202/$J$505,0))</f>
        <v>0.00158645992006915</v>
      </c>
      <c r="L202" s="54" t="n">
        <f aca="false">IF($A202="","",IFERROR(SUMIFS($J$5:$J$504,$AB$5:$AB$504,"&lt;="&amp;AB202)/$J$505,0))</f>
        <v>0.687046169146922</v>
      </c>
      <c r="M202" s="55" t="str">
        <f aca="false">IF($A202="","",IF(L202&lt;=Assumptions!$B$7,"A",IF(L202&lt;=Assumptions!$B$8,"B","C")))</f>
        <v>A</v>
      </c>
      <c r="N202" s="55" t="str">
        <f aca="false">IF($A202="","",IF(I202&lt;=Assumptions!$B$9,"X",IF(I202&lt;=Assumptions!$B$10,"Y","Z")))</f>
        <v>Z</v>
      </c>
      <c r="O202" s="56" t="str">
        <f aca="false">IF($A202="","",M202&amp;N202)</f>
        <v>AZ</v>
      </c>
      <c r="P202" s="57" t="n">
        <f aca="false">IF($A202="","",INDEX(Assumptions!$B$35:$B$37,MATCH(M202,Assumptions!$A$35:$A$37,0)))</f>
        <v>0.98</v>
      </c>
      <c r="Q202" s="58" t="n">
        <f aca="false">IF($A202="","",NORMSINV(P202))</f>
        <v>2.05374891063182</v>
      </c>
      <c r="R202" s="48" t="n">
        <f aca="false">IF($A202="","",ROUNDUP(Q202*H202*SQRT(D202),0))</f>
        <v>93</v>
      </c>
      <c r="S202" s="48" t="n">
        <f aca="false">IF($A202="","",ROUNDUP(G202*D202+R202,0))</f>
        <v>172</v>
      </c>
      <c r="T202" s="46" t="n">
        <f aca="false">IF($A202="","",IFERROR(ROUND(SQRT(2*F202*Assumptions!$B$4/(Assumptions!$B$5*C202)),0),0))</f>
        <v>262</v>
      </c>
      <c r="U202" s="53" t="n">
        <f aca="false">IF($A202="","",R202*C202)</f>
        <v>555.21</v>
      </c>
      <c r="V202" s="53" t="n">
        <f aca="false">IF($A202="","",E202*C202)</f>
        <v>3420.81</v>
      </c>
      <c r="W202" s="59" t="n">
        <f aca="false">IF($A202="","",IFERROR(E202/G202,0))</f>
        <v>29.0126582278481</v>
      </c>
      <c r="X202" s="48" t="n">
        <f aca="false">IF($A202="","",S202+T202)</f>
        <v>434</v>
      </c>
      <c r="Y202" s="48" t="n">
        <f aca="false">IF($A202="","",MAX(0,E202-X202))</f>
        <v>139</v>
      </c>
      <c r="Z202" s="53" t="n">
        <f aca="false">IF($A202="","",Y202*C202)</f>
        <v>829.83</v>
      </c>
      <c r="AA202" s="56" t="str">
        <f aca="false">IF($A202="","",IF(E202&lt;=R202,"Below Safety Stock",IF(E202&lt;=S202,"Reorder Now",IF(E202&gt;X202,"Excess","Healthy"))))</f>
        <v>Excess</v>
      </c>
      <c r="AB202" s="48" t="n">
        <f aca="false">IF($A202="","",RANK(AF202,$AF$5:$AF$504,0)+COUNTIF($AF$5:AF202,AF202)-1)</f>
        <v>208</v>
      </c>
      <c r="AC202" s="44" t="str">
        <f aca="false">IF($A202="","",Weekly_Demand!B202)</f>
        <v>RED RETROSPOT ROUND CAKE TINS</v>
      </c>
      <c r="AD202" s="59" t="n">
        <f aca="false">IF($A202="","",H202*SQRT(D202))</f>
        <v>45.0426812840322</v>
      </c>
      <c r="AE202" s="53" t="n">
        <f aca="false">IF($A202="","",AD202*C202)</f>
        <v>268.904807265672</v>
      </c>
      <c r="AF202" s="53" t="n">
        <f aca="false">IF($A202="","",ROUND(J202,2))</f>
        <v>6131.19</v>
      </c>
    </row>
    <row r="203" customFormat="false" ht="15" hidden="false" customHeight="false" outlineLevel="0" collapsed="false">
      <c r="A203" s="44" t="str">
        <f aca="false">IF(Weekly_Demand!A203="","",Weekly_Demand!A203)</f>
        <v>21481</v>
      </c>
      <c r="B203" s="44" t="str">
        <f aca="false">IF($A203="","",Weekly_Demand!C203)</f>
        <v>Other</v>
      </c>
      <c r="C203" s="45" t="n">
        <f aca="false">IF($A203="","",Weekly_Demand!D203)</f>
        <v>2.25</v>
      </c>
      <c r="D203" s="46" t="n">
        <f aca="false">IF($A203="","",Weekly_Demand!E203+Assumptions!$B$19)</f>
        <v>4</v>
      </c>
      <c r="E203" s="46" t="n">
        <f aca="false">IF($A203="","",Weekly_Demand!F203)</f>
        <v>830</v>
      </c>
      <c r="F203" s="46" t="n">
        <f aca="false">IF($A203="","",SUM(Weekly_Demand!G203:BF203))</f>
        <v>3083</v>
      </c>
      <c r="G203" s="51" t="n">
        <f aca="false">IF($A203="","",IFERROR(F203/Assumptions!$B$6,0))</f>
        <v>59.2884615384615</v>
      </c>
      <c r="H203" s="51" t="n">
        <f aca="false">IF($A203="","",STDEV(Weekly_Demand!G203:BF203))</f>
        <v>74.8730524414522</v>
      </c>
      <c r="I203" s="52" t="n">
        <f aca="false">IF($A203="","",IFERROR(H203/G203,0))</f>
        <v>1.26286043689767</v>
      </c>
      <c r="J203" s="53" t="n">
        <f aca="false">IF($A203="","",F203*C203)</f>
        <v>6936.75</v>
      </c>
      <c r="K203" s="54" t="n">
        <f aca="false">IF($A203="","",IFERROR(J203/$J$505,0))</f>
        <v>0.00179490047617831</v>
      </c>
      <c r="L203" s="54" t="n">
        <f aca="false">IF($A203="","",IFERROR(SUMIFS($J$5:$J$504,$AB$5:$AB$504,"&lt;="&amp;AB203)/$J$505,0))</f>
        <v>0.6380398196076</v>
      </c>
      <c r="M203" s="55" t="str">
        <f aca="false">IF($A203="","",IF(L203&lt;=Assumptions!$B$7,"A",IF(L203&lt;=Assumptions!$B$8,"B","C")))</f>
        <v>A</v>
      </c>
      <c r="N203" s="55" t="str">
        <f aca="false">IF($A203="","",IF(I203&lt;=Assumptions!$B$9,"X",IF(I203&lt;=Assumptions!$B$10,"Y","Z")))</f>
        <v>Z</v>
      </c>
      <c r="O203" s="56" t="str">
        <f aca="false">IF($A203="","",M203&amp;N203)</f>
        <v>AZ</v>
      </c>
      <c r="P203" s="57" t="n">
        <f aca="false">IF($A203="","",INDEX(Assumptions!$B$35:$B$37,MATCH(M203,Assumptions!$A$35:$A$37,0)))</f>
        <v>0.98</v>
      </c>
      <c r="Q203" s="58" t="n">
        <f aca="false">IF($A203="","",NORMSINV(P203))</f>
        <v>2.05374891063182</v>
      </c>
      <c r="R203" s="48" t="n">
        <f aca="false">IF($A203="","",ROUNDUP(Q203*H203*SQRT(D203),0))</f>
        <v>308</v>
      </c>
      <c r="S203" s="48" t="n">
        <f aca="false">IF($A203="","",ROUNDUP(G203*D203+R203,0))</f>
        <v>546</v>
      </c>
      <c r="T203" s="46" t="n">
        <f aca="false">IF($A203="","",IFERROR(ROUND(SQRT(2*F203*Assumptions!$B$4/(Assumptions!$B$5*C203)),0),0))</f>
        <v>740</v>
      </c>
      <c r="U203" s="53" t="n">
        <f aca="false">IF($A203="","",R203*C203)</f>
        <v>693</v>
      </c>
      <c r="V203" s="53" t="n">
        <f aca="false">IF($A203="","",E203*C203)</f>
        <v>1867.5</v>
      </c>
      <c r="W203" s="59" t="n">
        <f aca="false">IF($A203="","",IFERROR(E203/G203,0))</f>
        <v>13.9993512812196</v>
      </c>
      <c r="X203" s="48" t="n">
        <f aca="false">IF($A203="","",S203+T203)</f>
        <v>1286</v>
      </c>
      <c r="Y203" s="48" t="n">
        <f aca="false">IF($A203="","",MAX(0,E203-X203))</f>
        <v>0</v>
      </c>
      <c r="Z203" s="53" t="n">
        <f aca="false">IF($A203="","",Y203*C203)</f>
        <v>0</v>
      </c>
      <c r="AA203" s="56" t="str">
        <f aca="false">IF($A203="","",IF(E203&lt;=R203,"Below Safety Stock",IF(E203&lt;=S203,"Reorder Now",IF(E203&gt;X203,"Excess","Healthy"))))</f>
        <v>Healthy</v>
      </c>
      <c r="AB203" s="48" t="n">
        <f aca="false">IF($A203="","",RANK(AF203,$AF$5:$AF$504,0)+COUNTIF($AF$5:AF203,AF203)-1)</f>
        <v>179</v>
      </c>
      <c r="AC203" s="44" t="str">
        <f aca="false">IF($A203="","",Weekly_Demand!B203)</f>
        <v>FAWN BLUE HOT WATER BOTTLE</v>
      </c>
      <c r="AD203" s="59" t="n">
        <f aca="false">IF($A203="","",H203*SQRT(D203))</f>
        <v>149.746104882904</v>
      </c>
      <c r="AE203" s="53" t="n">
        <f aca="false">IF($A203="","",AD203*C203)</f>
        <v>336.928735986535</v>
      </c>
      <c r="AF203" s="53" t="n">
        <f aca="false">IF($A203="","",ROUND(J203,2))</f>
        <v>6936.75</v>
      </c>
    </row>
    <row r="204" customFormat="false" ht="15" hidden="false" customHeight="false" outlineLevel="0" collapsed="false">
      <c r="A204" s="44" t="str">
        <f aca="false">IF(Weekly_Demand!A204="","",Weekly_Demand!A204)</f>
        <v>22041</v>
      </c>
      <c r="B204" s="44" t="str">
        <f aca="false">IF($A204="","",Weekly_Demand!C204)</f>
        <v>Other</v>
      </c>
      <c r="C204" s="45" t="n">
        <f aca="false">IF($A204="","",Weekly_Demand!D204)</f>
        <v>1.53</v>
      </c>
      <c r="D204" s="46" t="n">
        <f aca="false">IF($A204="","",Weekly_Demand!E204+Assumptions!$B$19)</f>
        <v>4</v>
      </c>
      <c r="E204" s="46" t="n">
        <f aca="false">IF($A204="","",Weekly_Demand!F204)</f>
        <v>940</v>
      </c>
      <c r="F204" s="46" t="n">
        <f aca="false">IF($A204="","",SUM(Weekly_Demand!G204:BF204))</f>
        <v>4073</v>
      </c>
      <c r="G204" s="51" t="n">
        <f aca="false">IF($A204="","",IFERROR(F204/Assumptions!$B$6,0))</f>
        <v>78.3269230769231</v>
      </c>
      <c r="H204" s="51" t="n">
        <f aca="false">IF($A204="","",STDEV(Weekly_Demand!G204:BF204))</f>
        <v>49.0048901736872</v>
      </c>
      <c r="I204" s="52" t="n">
        <f aca="false">IF($A204="","",IFERROR(H204/G204,0))</f>
        <v>0.625645541132269</v>
      </c>
      <c r="J204" s="53" t="n">
        <f aca="false">IF($A204="","",F204*C204)</f>
        <v>6231.69</v>
      </c>
      <c r="K204" s="54" t="n">
        <f aca="false">IF($A204="","",IFERROR(J204/$J$505,0))</f>
        <v>0.00161246453287139</v>
      </c>
      <c r="L204" s="54" t="n">
        <f aca="false">IF($A204="","",IFERROR(SUMIFS($J$5:$J$504,$AB$5:$AB$504,"&lt;="&amp;AB204)/$J$505,0))</f>
        <v>0.680669636260968</v>
      </c>
      <c r="M204" s="55" t="str">
        <f aca="false">IF($A204="","",IF(L204&lt;=Assumptions!$B$7,"A",IF(L204&lt;=Assumptions!$B$8,"B","C")))</f>
        <v>A</v>
      </c>
      <c r="N204" s="55" t="str">
        <f aca="false">IF($A204="","",IF(I204&lt;=Assumptions!$B$9,"X",IF(I204&lt;=Assumptions!$B$10,"Y","Z")))</f>
        <v>Y</v>
      </c>
      <c r="O204" s="56" t="str">
        <f aca="false">IF($A204="","",M204&amp;N204)</f>
        <v>AY</v>
      </c>
      <c r="P204" s="57" t="n">
        <f aca="false">IF($A204="","",INDEX(Assumptions!$B$35:$B$37,MATCH(M204,Assumptions!$A$35:$A$37,0)))</f>
        <v>0.98</v>
      </c>
      <c r="Q204" s="58" t="n">
        <f aca="false">IF($A204="","",NORMSINV(P204))</f>
        <v>2.05374891063182</v>
      </c>
      <c r="R204" s="48" t="n">
        <f aca="false">IF($A204="","",ROUNDUP(Q204*H204*SQRT(D204),0))</f>
        <v>202</v>
      </c>
      <c r="S204" s="48" t="n">
        <f aca="false">IF($A204="","",ROUNDUP(G204*D204+R204,0))</f>
        <v>516</v>
      </c>
      <c r="T204" s="46" t="n">
        <f aca="false">IF($A204="","",IFERROR(ROUND(SQRT(2*F204*Assumptions!$B$4/(Assumptions!$B$5*C204)),0),0))</f>
        <v>1032</v>
      </c>
      <c r="U204" s="53" t="n">
        <f aca="false">IF($A204="","",R204*C204)</f>
        <v>309.06</v>
      </c>
      <c r="V204" s="53" t="n">
        <f aca="false">IF($A204="","",E204*C204)</f>
        <v>1438.2</v>
      </c>
      <c r="W204" s="59" t="n">
        <f aca="false">IF($A204="","",IFERROR(E204/G204,0))</f>
        <v>12.0009820770931</v>
      </c>
      <c r="X204" s="48" t="n">
        <f aca="false">IF($A204="","",S204+T204)</f>
        <v>1548</v>
      </c>
      <c r="Y204" s="48" t="n">
        <f aca="false">IF($A204="","",MAX(0,E204-X204))</f>
        <v>0</v>
      </c>
      <c r="Z204" s="53" t="n">
        <f aca="false">IF($A204="","",Y204*C204)</f>
        <v>0</v>
      </c>
      <c r="AA204" s="56" t="str">
        <f aca="false">IF($A204="","",IF(E204&lt;=R204,"Below Safety Stock",IF(E204&lt;=S204,"Reorder Now",IF(E204&gt;X204,"Excess","Healthy"))))</f>
        <v>Healthy</v>
      </c>
      <c r="AB204" s="48" t="n">
        <f aca="false">IF($A204="","",RANK(AF204,$AF$5:$AF$504,0)+COUNTIF($AF$5:AF204,AF204)-1)</f>
        <v>204</v>
      </c>
      <c r="AC204" s="44" t="str">
        <f aca="false">IF($A204="","",Weekly_Demand!B204)</f>
        <v>RECORD FRAME 7" SINGLE SIZE</v>
      </c>
      <c r="AD204" s="59" t="n">
        <f aca="false">IF($A204="","",H204*SQRT(D204))</f>
        <v>98.0097803473744</v>
      </c>
      <c r="AE204" s="53" t="n">
        <f aca="false">IF($A204="","",AD204*C204)</f>
        <v>149.954963931483</v>
      </c>
      <c r="AF204" s="53" t="n">
        <f aca="false">IF($A204="","",ROUND(J204,2))</f>
        <v>6231.69</v>
      </c>
    </row>
    <row r="205" customFormat="false" ht="15" hidden="false" customHeight="false" outlineLevel="0" collapsed="false">
      <c r="A205" s="44" t="str">
        <f aca="false">IF(Weekly_Demand!A205="","",Weekly_Demand!A205)</f>
        <v>71459</v>
      </c>
      <c r="B205" s="44" t="str">
        <f aca="false">IF($A205="","",Weekly_Demand!C205)</f>
        <v>Lighting</v>
      </c>
      <c r="C205" s="45" t="n">
        <f aca="false">IF($A205="","",Weekly_Demand!D205)</f>
        <v>0.51</v>
      </c>
      <c r="D205" s="46" t="n">
        <f aca="false">IF($A205="","",Weekly_Demand!E205+Assumptions!$B$19)</f>
        <v>8</v>
      </c>
      <c r="E205" s="46" t="n">
        <f aca="false">IF($A205="","",Weekly_Demand!F205)</f>
        <v>2799</v>
      </c>
      <c r="F205" s="46" t="n">
        <f aca="false">IF($A205="","",SUM(Weekly_Demand!G205:BF205))</f>
        <v>13233</v>
      </c>
      <c r="G205" s="51" t="n">
        <f aca="false">IF($A205="","",IFERROR(F205/Assumptions!$B$6,0))</f>
        <v>254.480769230769</v>
      </c>
      <c r="H205" s="51" t="n">
        <f aca="false">IF($A205="","",STDEV(Weekly_Demand!G205:BF205))</f>
        <v>179.290922572906</v>
      </c>
      <c r="I205" s="52" t="n">
        <f aca="false">IF($A205="","",IFERROR(H205/G205,0))</f>
        <v>0.704536233189081</v>
      </c>
      <c r="J205" s="53" t="n">
        <f aca="false">IF($A205="","",F205*C205)</f>
        <v>6748.83</v>
      </c>
      <c r="K205" s="54" t="n">
        <f aca="false">IF($A205="","",IFERROR(J205/$J$505,0))</f>
        <v>0.00174627573152361</v>
      </c>
      <c r="L205" s="54" t="n">
        <f aca="false">IF($A205="","",IFERROR(SUMIFS($J$5:$J$504,$AB$5:$AB$504,"&lt;="&amp;AB205)/$J$505,0))</f>
        <v>0.652236099472149</v>
      </c>
      <c r="M205" s="55" t="str">
        <f aca="false">IF($A205="","",IF(L205&lt;=Assumptions!$B$7,"A",IF(L205&lt;=Assumptions!$B$8,"B","C")))</f>
        <v>A</v>
      </c>
      <c r="N205" s="55" t="str">
        <f aca="false">IF($A205="","",IF(I205&lt;=Assumptions!$B$9,"X",IF(I205&lt;=Assumptions!$B$10,"Y","Z")))</f>
        <v>Y</v>
      </c>
      <c r="O205" s="56" t="str">
        <f aca="false">IF($A205="","",M205&amp;N205)</f>
        <v>AY</v>
      </c>
      <c r="P205" s="57" t="n">
        <f aca="false">IF($A205="","",INDEX(Assumptions!$B$35:$B$37,MATCH(M205,Assumptions!$A$35:$A$37,0)))</f>
        <v>0.98</v>
      </c>
      <c r="Q205" s="58" t="n">
        <f aca="false">IF($A205="","",NORMSINV(P205))</f>
        <v>2.05374891063182</v>
      </c>
      <c r="R205" s="48" t="n">
        <f aca="false">IF($A205="","",ROUNDUP(Q205*H205*SQRT(D205),0))</f>
        <v>1042</v>
      </c>
      <c r="S205" s="48" t="n">
        <f aca="false">IF($A205="","",ROUNDUP(G205*D205+R205,0))</f>
        <v>3078</v>
      </c>
      <c r="T205" s="46" t="n">
        <f aca="false">IF($A205="","",IFERROR(ROUND(SQRT(2*F205*Assumptions!$B$4/(Assumptions!$B$5*C205)),0),0))</f>
        <v>3222</v>
      </c>
      <c r="U205" s="53" t="n">
        <f aca="false">IF($A205="","",R205*C205)</f>
        <v>531.42</v>
      </c>
      <c r="V205" s="53" t="n">
        <f aca="false">IF($A205="","",E205*C205)</f>
        <v>1427.49</v>
      </c>
      <c r="W205" s="59" t="n">
        <f aca="false">IF($A205="","",IFERROR(E205/G205,0))</f>
        <v>10.9988664701882</v>
      </c>
      <c r="X205" s="48" t="n">
        <f aca="false">IF($A205="","",S205+T205)</f>
        <v>6300</v>
      </c>
      <c r="Y205" s="48" t="n">
        <f aca="false">IF($A205="","",MAX(0,E205-X205))</f>
        <v>0</v>
      </c>
      <c r="Z205" s="53" t="n">
        <f aca="false">IF($A205="","",Y205*C205)</f>
        <v>0</v>
      </c>
      <c r="AA205" s="56" t="str">
        <f aca="false">IF($A205="","",IF(E205&lt;=R205,"Below Safety Stock",IF(E205&lt;=S205,"Reorder Now",IF(E205&gt;X205,"Excess","Healthy"))))</f>
        <v>Reorder Now</v>
      </c>
      <c r="AB205" s="48" t="n">
        <f aca="false">IF($A205="","",RANK(AF205,$AF$5:$AF$504,0)+COUNTIF($AF$5:AF205,AF205)-1)</f>
        <v>187</v>
      </c>
      <c r="AC205" s="44" t="str">
        <f aca="false">IF($A205="","",Weekly_Demand!B205)</f>
        <v>HANGING JAM JAR T-LIGHT HOLDER</v>
      </c>
      <c r="AD205" s="59" t="n">
        <f aca="false">IF($A205="","",H205*SQRT(D205))</f>
        <v>507.111308625976</v>
      </c>
      <c r="AE205" s="53" t="n">
        <f aca="false">IF($A205="","",AD205*C205)</f>
        <v>258.626767399248</v>
      </c>
      <c r="AF205" s="53" t="n">
        <f aca="false">IF($A205="","",ROUND(J205,2))</f>
        <v>6748.83</v>
      </c>
    </row>
    <row r="206" customFormat="false" ht="15" hidden="false" customHeight="false" outlineLevel="0" collapsed="false">
      <c r="A206" s="44" t="str">
        <f aca="false">IF(Weekly_Demand!A206="","",Weekly_Demand!A206)</f>
        <v>84997A</v>
      </c>
      <c r="B206" s="44" t="str">
        <f aca="false">IF($A206="","",Weekly_Demand!C206)</f>
        <v>Other</v>
      </c>
      <c r="C206" s="45" t="n">
        <f aca="false">IF($A206="","",Weekly_Demand!D206)</f>
        <v>2.49</v>
      </c>
      <c r="D206" s="46" t="n">
        <f aca="false">IF($A206="","",Weekly_Demand!E206+Assumptions!$B$19)</f>
        <v>4</v>
      </c>
      <c r="E206" s="46" t="n">
        <f aca="false">IF($A206="","",Weekly_Demand!F206)</f>
        <v>302</v>
      </c>
      <c r="F206" s="46" t="n">
        <f aca="false">IF($A206="","",SUM(Weekly_Demand!G206:BF206))</f>
        <v>2613</v>
      </c>
      <c r="G206" s="51" t="n">
        <f aca="false">IF($A206="","",IFERROR(F206/Assumptions!$B$6,0))</f>
        <v>50.25</v>
      </c>
      <c r="H206" s="51" t="n">
        <f aca="false">IF($A206="","",STDEV(Weekly_Demand!G206:BF206))</f>
        <v>55.101644045079</v>
      </c>
      <c r="I206" s="52" t="n">
        <f aca="false">IF($A206="","",IFERROR(H206/G206,0))</f>
        <v>1.09655013025033</v>
      </c>
      <c r="J206" s="53" t="n">
        <f aca="false">IF($A206="","",F206*C206)</f>
        <v>6506.37</v>
      </c>
      <c r="K206" s="54" t="n">
        <f aca="false">IF($A206="","",IFERROR(J206/$J$505,0))</f>
        <v>0.00168353863281684</v>
      </c>
      <c r="L206" s="54" t="n">
        <f aca="false">IF($A206="","",IFERROR(SUMIFS($J$5:$J$504,$AB$5:$AB$504,"&lt;="&amp;AB206)/$J$505,0))</f>
        <v>0.664166689797834</v>
      </c>
      <c r="M206" s="55" t="str">
        <f aca="false">IF($A206="","",IF(L206&lt;=Assumptions!$B$7,"A",IF(L206&lt;=Assumptions!$B$8,"B","C")))</f>
        <v>A</v>
      </c>
      <c r="N206" s="55" t="str">
        <f aca="false">IF($A206="","",IF(I206&lt;=Assumptions!$B$9,"X",IF(I206&lt;=Assumptions!$B$10,"Y","Z")))</f>
        <v>Z</v>
      </c>
      <c r="O206" s="56" t="str">
        <f aca="false">IF($A206="","",M206&amp;N206)</f>
        <v>AZ</v>
      </c>
      <c r="P206" s="57" t="n">
        <f aca="false">IF($A206="","",INDEX(Assumptions!$B$35:$B$37,MATCH(M206,Assumptions!$A$35:$A$37,0)))</f>
        <v>0.98</v>
      </c>
      <c r="Q206" s="58" t="n">
        <f aca="false">IF($A206="","",NORMSINV(P206))</f>
        <v>2.05374891063182</v>
      </c>
      <c r="R206" s="48" t="n">
        <f aca="false">IF($A206="","",ROUNDUP(Q206*H206*SQRT(D206),0))</f>
        <v>227</v>
      </c>
      <c r="S206" s="48" t="n">
        <f aca="false">IF($A206="","",ROUNDUP(G206*D206+R206,0))</f>
        <v>428</v>
      </c>
      <c r="T206" s="46" t="n">
        <f aca="false">IF($A206="","",IFERROR(ROUND(SQRT(2*F206*Assumptions!$B$4/(Assumptions!$B$5*C206)),0),0))</f>
        <v>648</v>
      </c>
      <c r="U206" s="53" t="n">
        <f aca="false">IF($A206="","",R206*C206)</f>
        <v>565.23</v>
      </c>
      <c r="V206" s="53" t="n">
        <f aca="false">IF($A206="","",E206*C206)</f>
        <v>751.98</v>
      </c>
      <c r="W206" s="59" t="n">
        <f aca="false">IF($A206="","",IFERROR(E206/G206,0))</f>
        <v>6.00995024875622</v>
      </c>
      <c r="X206" s="48" t="n">
        <f aca="false">IF($A206="","",S206+T206)</f>
        <v>1076</v>
      </c>
      <c r="Y206" s="48" t="n">
        <f aca="false">IF($A206="","",MAX(0,E206-X206))</f>
        <v>0</v>
      </c>
      <c r="Z206" s="53" t="n">
        <f aca="false">IF($A206="","",Y206*C206)</f>
        <v>0</v>
      </c>
      <c r="AA206" s="56" t="str">
        <f aca="false">IF($A206="","",IF(E206&lt;=R206,"Below Safety Stock",IF(E206&lt;=S206,"Reorder Now",IF(E206&gt;X206,"Excess","Healthy"))))</f>
        <v>Reorder Now</v>
      </c>
      <c r="AB206" s="48" t="n">
        <f aca="false">IF($A206="","",RANK(AF206,$AF$5:$AF$504,0)+COUNTIF($AF$5:AF206,AF206)-1)</f>
        <v>194</v>
      </c>
      <c r="AC206" s="44" t="str">
        <f aca="false">IF($A206="","",Weekly_Demand!B206)</f>
        <v>CHILDRENS CUTLERY POLKADOT GREEN</v>
      </c>
      <c r="AD206" s="59" t="n">
        <f aca="false">IF($A206="","",H206*SQRT(D206))</f>
        <v>110.203288090158</v>
      </c>
      <c r="AE206" s="53" t="n">
        <f aca="false">IF($A206="","",AD206*C206)</f>
        <v>274.406187344493</v>
      </c>
      <c r="AF206" s="53" t="n">
        <f aca="false">IF($A206="","",ROUND(J206,2))</f>
        <v>6506.37</v>
      </c>
    </row>
    <row r="207" customFormat="false" ht="15" hidden="false" customHeight="false" outlineLevel="0" collapsed="false">
      <c r="A207" s="44" t="str">
        <f aca="false">IF(Weekly_Demand!A207="","",Weekly_Demand!A207)</f>
        <v>84755</v>
      </c>
      <c r="B207" s="44" t="str">
        <f aca="false">IF($A207="","",Weekly_Demand!C207)</f>
        <v>Lighting</v>
      </c>
      <c r="C207" s="45" t="n">
        <f aca="false">IF($A207="","",Weekly_Demand!D207)</f>
        <v>0.39</v>
      </c>
      <c r="D207" s="46" t="n">
        <f aca="false">IF($A207="","",Weekly_Demand!E207+Assumptions!$B$19)</f>
        <v>8</v>
      </c>
      <c r="E207" s="46" t="n">
        <f aca="false">IF($A207="","",Weekly_Demand!F207)</f>
        <v>10880</v>
      </c>
      <c r="F207" s="46" t="n">
        <f aca="false">IF($A207="","",SUM(Weekly_Demand!G207:BF207))</f>
        <v>16165</v>
      </c>
      <c r="G207" s="51" t="n">
        <f aca="false">IF($A207="","",IFERROR(F207/Assumptions!$B$6,0))</f>
        <v>310.865384615385</v>
      </c>
      <c r="H207" s="51" t="n">
        <f aca="false">IF($A207="","",STDEV(Weekly_Demand!G207:BF207))</f>
        <v>213.573060360182</v>
      </c>
      <c r="I207" s="52" t="n">
        <f aca="false">IF($A207="","",IFERROR(H207/G207,0))</f>
        <v>0.687027475331237</v>
      </c>
      <c r="J207" s="53" t="n">
        <f aca="false">IF($A207="","",F207*C207)</f>
        <v>6304.35</v>
      </c>
      <c r="K207" s="54" t="n">
        <f aca="false">IF($A207="","",IFERROR(J207/$J$505,0))</f>
        <v>0.00163126547979885</v>
      </c>
      <c r="L207" s="54" t="n">
        <f aca="false">IF($A207="","",IFERROR(SUMIFS($J$5:$J$504,$AB$5:$AB$504,"&lt;="&amp;AB207)/$J$505,0))</f>
        <v>0.675808007915736</v>
      </c>
      <c r="M207" s="55" t="str">
        <f aca="false">IF($A207="","",IF(L207&lt;=Assumptions!$B$7,"A",IF(L207&lt;=Assumptions!$B$8,"B","C")))</f>
        <v>A</v>
      </c>
      <c r="N207" s="55" t="str">
        <f aca="false">IF($A207="","",IF(I207&lt;=Assumptions!$B$9,"X",IF(I207&lt;=Assumptions!$B$10,"Y","Z")))</f>
        <v>Y</v>
      </c>
      <c r="O207" s="56" t="str">
        <f aca="false">IF($A207="","",M207&amp;N207)</f>
        <v>AY</v>
      </c>
      <c r="P207" s="57" t="n">
        <f aca="false">IF($A207="","",INDEX(Assumptions!$B$35:$B$37,MATCH(M207,Assumptions!$A$35:$A$37,0)))</f>
        <v>0.98</v>
      </c>
      <c r="Q207" s="58" t="n">
        <f aca="false">IF($A207="","",NORMSINV(P207))</f>
        <v>2.05374891063182</v>
      </c>
      <c r="R207" s="48" t="n">
        <f aca="false">IF($A207="","",ROUNDUP(Q207*H207*SQRT(D207),0))</f>
        <v>1241</v>
      </c>
      <c r="S207" s="48" t="n">
        <f aca="false">IF($A207="","",ROUNDUP(G207*D207+R207,0))</f>
        <v>3728</v>
      </c>
      <c r="T207" s="46" t="n">
        <f aca="false">IF($A207="","",IFERROR(ROUND(SQRT(2*F207*Assumptions!$B$4/(Assumptions!$B$5*C207)),0),0))</f>
        <v>4072</v>
      </c>
      <c r="U207" s="53" t="n">
        <f aca="false">IF($A207="","",R207*C207)</f>
        <v>483.99</v>
      </c>
      <c r="V207" s="53" t="n">
        <f aca="false">IF($A207="","",E207*C207)</f>
        <v>4243.2</v>
      </c>
      <c r="W207" s="59" t="n">
        <f aca="false">IF($A207="","",IFERROR(E207/G207,0))</f>
        <v>34.9990720692855</v>
      </c>
      <c r="X207" s="48" t="n">
        <f aca="false">IF($A207="","",S207+T207)</f>
        <v>7800</v>
      </c>
      <c r="Y207" s="48" t="n">
        <f aca="false">IF($A207="","",MAX(0,E207-X207))</f>
        <v>3080</v>
      </c>
      <c r="Z207" s="53" t="n">
        <f aca="false">IF($A207="","",Y207*C207)</f>
        <v>1201.2</v>
      </c>
      <c r="AA207" s="56" t="str">
        <f aca="false">IF($A207="","",IF(E207&lt;=R207,"Below Safety Stock",IF(E207&lt;=S207,"Reorder Now",IF(E207&gt;X207,"Excess","Healthy"))))</f>
        <v>Excess</v>
      </c>
      <c r="AB207" s="48" t="n">
        <f aca="false">IF($A207="","",RANK(AF207,$AF$5:$AF$504,0)+COUNTIF($AF$5:AF207,AF207)-1)</f>
        <v>201</v>
      </c>
      <c r="AC207" s="44" t="str">
        <f aca="false">IF($A207="","",Weekly_Demand!B207)</f>
        <v>COLOUR GLASS T-LIGHT HOLDER HANGING</v>
      </c>
      <c r="AD207" s="59" t="n">
        <f aca="false">IF($A207="","",H207*SQRT(D207))</f>
        <v>604.075837037794</v>
      </c>
      <c r="AE207" s="53" t="n">
        <f aca="false">IF($A207="","",AD207*C207)</f>
        <v>235.58957644474</v>
      </c>
      <c r="AF207" s="53" t="n">
        <f aca="false">IF($A207="","",ROUND(J207,2))</f>
        <v>6304.35</v>
      </c>
    </row>
    <row r="208" customFormat="false" ht="15" hidden="false" customHeight="false" outlineLevel="0" collapsed="false">
      <c r="A208" s="44" t="str">
        <f aca="false">IF(Weekly_Demand!A208="","",Weekly_Demand!A208)</f>
        <v>85048</v>
      </c>
      <c r="B208" s="44" t="str">
        <f aca="false">IF($A208="","",Weekly_Demand!C208)</f>
        <v>Lighting</v>
      </c>
      <c r="C208" s="45" t="n">
        <f aca="false">IF($A208="","",Weekly_Demand!D208)</f>
        <v>4.77</v>
      </c>
      <c r="D208" s="46" t="n">
        <f aca="false">IF($A208="","",Weekly_Demand!E208+Assumptions!$B$19)</f>
        <v>2</v>
      </c>
      <c r="E208" s="46" t="n">
        <f aca="false">IF($A208="","",Weekly_Demand!F208)</f>
        <v>376</v>
      </c>
      <c r="F208" s="46" t="n">
        <f aca="false">IF($A208="","",SUM(Weekly_Demand!G208:BF208))</f>
        <v>1302</v>
      </c>
      <c r="G208" s="51" t="n">
        <f aca="false">IF($A208="","",IFERROR(F208/Assumptions!$B$6,0))</f>
        <v>25.0384615384615</v>
      </c>
      <c r="H208" s="51" t="n">
        <f aca="false">IF($A208="","",STDEV(Weekly_Demand!G208:BF208))</f>
        <v>46.1752677788605</v>
      </c>
      <c r="I208" s="52" t="n">
        <f aca="false">IF($A208="","",IFERROR(H208/G208,0))</f>
        <v>1.84417352112192</v>
      </c>
      <c r="J208" s="53" t="n">
        <f aca="false">IF($A208="","",F208*C208)</f>
        <v>6210.54</v>
      </c>
      <c r="K208" s="54" t="n">
        <f aca="false">IF($A208="","",IFERROR(J208/$J$505,0))</f>
        <v>0.00160699192032644</v>
      </c>
      <c r="L208" s="54" t="n">
        <f aca="false">IF($A208="","",IFERROR(SUMIFS($J$5:$J$504,$AB$5:$AB$504,"&lt;="&amp;AB208)/$J$505,0))</f>
        <v>0.682276628181294</v>
      </c>
      <c r="M208" s="55" t="str">
        <f aca="false">IF($A208="","",IF(L208&lt;=Assumptions!$B$7,"A",IF(L208&lt;=Assumptions!$B$8,"B","C")))</f>
        <v>A</v>
      </c>
      <c r="N208" s="55" t="str">
        <f aca="false">IF($A208="","",IF(I208&lt;=Assumptions!$B$9,"X",IF(I208&lt;=Assumptions!$B$10,"Y","Z")))</f>
        <v>Z</v>
      </c>
      <c r="O208" s="56" t="str">
        <f aca="false">IF($A208="","",M208&amp;N208)</f>
        <v>AZ</v>
      </c>
      <c r="P208" s="57" t="n">
        <f aca="false">IF($A208="","",INDEX(Assumptions!$B$35:$B$37,MATCH(M208,Assumptions!$A$35:$A$37,0)))</f>
        <v>0.98</v>
      </c>
      <c r="Q208" s="58" t="n">
        <f aca="false">IF($A208="","",NORMSINV(P208))</f>
        <v>2.05374891063182</v>
      </c>
      <c r="R208" s="48" t="n">
        <f aca="false">IF($A208="","",ROUNDUP(Q208*H208*SQRT(D208),0))</f>
        <v>135</v>
      </c>
      <c r="S208" s="48" t="n">
        <f aca="false">IF($A208="","",ROUNDUP(G208*D208+R208,0))</f>
        <v>186</v>
      </c>
      <c r="T208" s="46" t="n">
        <f aca="false">IF($A208="","",IFERROR(ROUND(SQRT(2*F208*Assumptions!$B$4/(Assumptions!$B$5*C208)),0),0))</f>
        <v>330</v>
      </c>
      <c r="U208" s="53" t="n">
        <f aca="false">IF($A208="","",R208*C208)</f>
        <v>643.95</v>
      </c>
      <c r="V208" s="53" t="n">
        <f aca="false">IF($A208="","",E208*C208)</f>
        <v>1793.52</v>
      </c>
      <c r="W208" s="59" t="n">
        <f aca="false">IF($A208="","",IFERROR(E208/G208,0))</f>
        <v>15.0168970814132</v>
      </c>
      <c r="X208" s="48" t="n">
        <f aca="false">IF($A208="","",S208+T208)</f>
        <v>516</v>
      </c>
      <c r="Y208" s="48" t="n">
        <f aca="false">IF($A208="","",MAX(0,E208-X208))</f>
        <v>0</v>
      </c>
      <c r="Z208" s="53" t="n">
        <f aca="false">IF($A208="","",Y208*C208)</f>
        <v>0</v>
      </c>
      <c r="AA208" s="56" t="str">
        <f aca="false">IF($A208="","",IF(E208&lt;=R208,"Below Safety Stock",IF(E208&lt;=S208,"Reorder Now",IF(E208&gt;X208,"Excess","Healthy"))))</f>
        <v>Healthy</v>
      </c>
      <c r="AB208" s="48" t="n">
        <f aca="false">IF($A208="","",RANK(AF208,$AF$5:$AF$504,0)+COUNTIF($AF$5:AF208,AF208)-1)</f>
        <v>205</v>
      </c>
      <c r="AC208" s="44" t="str">
        <f aca="false">IF($A208="","",Weekly_Demand!B208)</f>
        <v>15CM CHRISTMAS GLASS BALL 20 LIGHTS</v>
      </c>
      <c r="AD208" s="59" t="n">
        <f aca="false">IF($A208="","",H208*SQRT(D208))</f>
        <v>65.3016899390739</v>
      </c>
      <c r="AE208" s="53" t="n">
        <f aca="false">IF($A208="","",AD208*C208)</f>
        <v>311.489061009382</v>
      </c>
      <c r="AF208" s="53" t="n">
        <f aca="false">IF($A208="","",ROUND(J208,2))</f>
        <v>6210.54</v>
      </c>
    </row>
    <row r="209" customFormat="false" ht="15" hidden="false" customHeight="false" outlineLevel="0" collapsed="false">
      <c r="A209" s="44" t="str">
        <f aca="false">IF(Weekly_Demand!A209="","",Weekly_Demand!A209)</f>
        <v>22988</v>
      </c>
      <c r="B209" s="44" t="str">
        <f aca="false">IF($A209="","",Weekly_Demand!C209)</f>
        <v>Other</v>
      </c>
      <c r="C209" s="45" t="n">
        <f aca="false">IF($A209="","",Weekly_Demand!D209)</f>
        <v>0.75</v>
      </c>
      <c r="D209" s="46" t="n">
        <f aca="false">IF($A209="","",Weekly_Demand!E209+Assumptions!$B$19)</f>
        <v>2</v>
      </c>
      <c r="E209" s="46" t="n">
        <f aca="false">IF($A209="","",Weekly_Demand!F209)</f>
        <v>660</v>
      </c>
      <c r="F209" s="46" t="n">
        <f aca="false">IF($A209="","",SUM(Weekly_Demand!G209:BF209))</f>
        <v>8583</v>
      </c>
      <c r="G209" s="51" t="n">
        <f aca="false">IF($A209="","",IFERROR(F209/Assumptions!$B$6,0))</f>
        <v>165.057692307692</v>
      </c>
      <c r="H209" s="51" t="n">
        <f aca="false">IF($A209="","",STDEV(Weekly_Demand!G209:BF209))</f>
        <v>180.562781809991</v>
      </c>
      <c r="I209" s="52" t="n">
        <f aca="false">IF($A209="","",IFERROR(H209/G209,0))</f>
        <v>1.09393739416515</v>
      </c>
      <c r="J209" s="53" t="n">
        <f aca="false">IF($A209="","",F209*C209)</f>
        <v>6437.25</v>
      </c>
      <c r="K209" s="54" t="n">
        <f aca="false">IF($A209="","",IFERROR(J209/$J$505,0))</f>
        <v>0.00166565366926569</v>
      </c>
      <c r="L209" s="54" t="n">
        <f aca="false">IF($A209="","",IFERROR(SUMIFS($J$5:$J$504,$AB$5:$AB$504,"&lt;="&amp;AB209)/$J$505,0))</f>
        <v>0.674176742435937</v>
      </c>
      <c r="M209" s="55" t="str">
        <f aca="false">IF($A209="","",IF(L209&lt;=Assumptions!$B$7,"A",IF(L209&lt;=Assumptions!$B$8,"B","C")))</f>
        <v>A</v>
      </c>
      <c r="N209" s="55" t="str">
        <f aca="false">IF($A209="","",IF(I209&lt;=Assumptions!$B$9,"X",IF(I209&lt;=Assumptions!$B$10,"Y","Z")))</f>
        <v>Z</v>
      </c>
      <c r="O209" s="56" t="str">
        <f aca="false">IF($A209="","",M209&amp;N209)</f>
        <v>AZ</v>
      </c>
      <c r="P209" s="57" t="n">
        <f aca="false">IF($A209="","",INDEX(Assumptions!$B$35:$B$37,MATCH(M209,Assumptions!$A$35:$A$37,0)))</f>
        <v>0.98</v>
      </c>
      <c r="Q209" s="58" t="n">
        <f aca="false">IF($A209="","",NORMSINV(P209))</f>
        <v>2.05374891063182</v>
      </c>
      <c r="R209" s="48" t="n">
        <f aca="false">IF($A209="","",ROUNDUP(Q209*H209*SQRT(D209),0))</f>
        <v>525</v>
      </c>
      <c r="S209" s="48" t="n">
        <f aca="false">IF($A209="","",ROUNDUP(G209*D209+R209,0))</f>
        <v>856</v>
      </c>
      <c r="T209" s="46" t="n">
        <f aca="false">IF($A209="","",IFERROR(ROUND(SQRT(2*F209*Assumptions!$B$4/(Assumptions!$B$5*C209)),0),0))</f>
        <v>2140</v>
      </c>
      <c r="U209" s="53" t="n">
        <f aca="false">IF($A209="","",R209*C209)</f>
        <v>393.75</v>
      </c>
      <c r="V209" s="53" t="n">
        <f aca="false">IF($A209="","",E209*C209)</f>
        <v>495</v>
      </c>
      <c r="W209" s="59" t="n">
        <f aca="false">IF($A209="","",IFERROR(E209/G209,0))</f>
        <v>3.99860188745194</v>
      </c>
      <c r="X209" s="48" t="n">
        <f aca="false">IF($A209="","",S209+T209)</f>
        <v>2996</v>
      </c>
      <c r="Y209" s="48" t="n">
        <f aca="false">IF($A209="","",MAX(0,E209-X209))</f>
        <v>0</v>
      </c>
      <c r="Z209" s="53" t="n">
        <f aca="false">IF($A209="","",Y209*C209)</f>
        <v>0</v>
      </c>
      <c r="AA209" s="56" t="str">
        <f aca="false">IF($A209="","",IF(E209&lt;=R209,"Below Safety Stock",IF(E209&lt;=S209,"Reorder Now",IF(E209&gt;X209,"Excess","Healthy"))))</f>
        <v>Reorder Now</v>
      </c>
      <c r="AB209" s="48" t="n">
        <f aca="false">IF($A209="","",RANK(AF209,$AF$5:$AF$504,0)+COUNTIF($AF$5:AF209,AF209)-1)</f>
        <v>200</v>
      </c>
      <c r="AC209" s="44" t="str">
        <f aca="false">IF($A209="","",Weekly_Demand!B209)</f>
        <v>SOLDIERS EGG CUP</v>
      </c>
      <c r="AD209" s="59" t="n">
        <f aca="false">IF($A209="","",H209*SQRT(D209))</f>
        <v>255.354334895503</v>
      </c>
      <c r="AE209" s="53" t="n">
        <f aca="false">IF($A209="","",AD209*C209)</f>
        <v>191.515751171627</v>
      </c>
      <c r="AF209" s="53" t="n">
        <f aca="false">IF($A209="","",ROUND(J209,2))</f>
        <v>6437.25</v>
      </c>
    </row>
    <row r="210" customFormat="false" ht="15" hidden="false" customHeight="false" outlineLevel="0" collapsed="false">
      <c r="A210" s="44" t="str">
        <f aca="false">IF(Weekly_Demand!A210="","",Weekly_Demand!A210)</f>
        <v>21891</v>
      </c>
      <c r="B210" s="44" t="str">
        <f aca="false">IF($A210="","",Weekly_Demand!C210)</f>
        <v>Other</v>
      </c>
      <c r="C210" s="45" t="n">
        <f aca="false">IF($A210="","",Weekly_Demand!D210)</f>
        <v>0.87</v>
      </c>
      <c r="D210" s="46" t="n">
        <f aca="false">IF($A210="","",Weekly_Demand!E210+Assumptions!$B$19)</f>
        <v>8</v>
      </c>
      <c r="E210" s="46" t="n">
        <f aca="false">IF($A210="","",Weekly_Demand!F210)</f>
        <v>918</v>
      </c>
      <c r="F210" s="46" t="n">
        <f aca="false">IF($A210="","",SUM(Weekly_Demand!G210:BF210))</f>
        <v>7958</v>
      </c>
      <c r="G210" s="51" t="n">
        <f aca="false">IF($A210="","",IFERROR(F210/Assumptions!$B$6,0))</f>
        <v>153.038461538462</v>
      </c>
      <c r="H210" s="51" t="n">
        <f aca="false">IF($A210="","",STDEV(Weekly_Demand!G210:BF210))</f>
        <v>194.197490092872</v>
      </c>
      <c r="I210" s="52" t="n">
        <f aca="false">IF($A210="","",IFERROR(H210/G210,0))</f>
        <v>1.26894565026757</v>
      </c>
      <c r="J210" s="53" t="n">
        <f aca="false">IF($A210="","",F210*C210)</f>
        <v>6923.46</v>
      </c>
      <c r="K210" s="54" t="n">
        <f aca="false">IF($A210="","",IFERROR(J210/$J$505,0))</f>
        <v>0.00179146165723162</v>
      </c>
      <c r="L210" s="54" t="n">
        <f aca="false">IF($A210="","",IFERROR(SUMIFS($J$5:$J$504,$AB$5:$AB$504,"&lt;="&amp;AB210)/$J$505,0))</f>
        <v>0.641625087218501</v>
      </c>
      <c r="M210" s="55" t="str">
        <f aca="false">IF($A210="","",IF(L210&lt;=Assumptions!$B$7,"A",IF(L210&lt;=Assumptions!$B$8,"B","C")))</f>
        <v>A</v>
      </c>
      <c r="N210" s="55" t="str">
        <f aca="false">IF($A210="","",IF(I210&lt;=Assumptions!$B$9,"X",IF(I210&lt;=Assumptions!$B$10,"Y","Z")))</f>
        <v>Z</v>
      </c>
      <c r="O210" s="56" t="str">
        <f aca="false">IF($A210="","",M210&amp;N210)</f>
        <v>AZ</v>
      </c>
      <c r="P210" s="57" t="n">
        <f aca="false">IF($A210="","",INDEX(Assumptions!$B$35:$B$37,MATCH(M210,Assumptions!$A$35:$A$37,0)))</f>
        <v>0.98</v>
      </c>
      <c r="Q210" s="58" t="n">
        <f aca="false">IF($A210="","",NORMSINV(P210))</f>
        <v>2.05374891063182</v>
      </c>
      <c r="R210" s="48" t="n">
        <f aca="false">IF($A210="","",ROUNDUP(Q210*H210*SQRT(D210),0))</f>
        <v>1129</v>
      </c>
      <c r="S210" s="48" t="n">
        <f aca="false">IF($A210="","",ROUNDUP(G210*D210+R210,0))</f>
        <v>2354</v>
      </c>
      <c r="T210" s="46" t="n">
        <f aca="false">IF($A210="","",IFERROR(ROUND(SQRT(2*F210*Assumptions!$B$4/(Assumptions!$B$5*C210)),0),0))</f>
        <v>1913</v>
      </c>
      <c r="U210" s="53" t="n">
        <f aca="false">IF($A210="","",R210*C210)</f>
        <v>982.23</v>
      </c>
      <c r="V210" s="53" t="n">
        <f aca="false">IF($A210="","",E210*C210)</f>
        <v>798.66</v>
      </c>
      <c r="W210" s="59" t="n">
        <f aca="false">IF($A210="","",IFERROR(E210/G210,0))</f>
        <v>5.99849208343805</v>
      </c>
      <c r="X210" s="48" t="n">
        <f aca="false">IF($A210="","",S210+T210)</f>
        <v>4267</v>
      </c>
      <c r="Y210" s="48" t="n">
        <f aca="false">IF($A210="","",MAX(0,E210-X210))</f>
        <v>0</v>
      </c>
      <c r="Z210" s="53" t="n">
        <f aca="false">IF($A210="","",Y210*C210)</f>
        <v>0</v>
      </c>
      <c r="AA210" s="56" t="str">
        <f aca="false">IF($A210="","",IF(E210&lt;=R210,"Below Safety Stock",IF(E210&lt;=S210,"Reorder Now",IF(E210&gt;X210,"Excess","Healthy"))))</f>
        <v>Below Safety Stock</v>
      </c>
      <c r="AB210" s="48" t="n">
        <f aca="false">IF($A210="","",RANK(AF210,$AF$5:$AF$504,0)+COUNTIF($AF$5:AF210,AF210)-1)</f>
        <v>181</v>
      </c>
      <c r="AC210" s="44" t="str">
        <f aca="false">IF($A210="","",Weekly_Demand!B210)</f>
        <v>TRADITIONAL WOODEN SKIPPING ROPE</v>
      </c>
      <c r="AD210" s="59" t="n">
        <f aca="false">IF($A210="","",H210*SQRT(D210))</f>
        <v>549.273448536308</v>
      </c>
      <c r="AE210" s="53" t="n">
        <f aca="false">IF($A210="","",AD210*C210)</f>
        <v>477.867900226588</v>
      </c>
      <c r="AF210" s="53" t="n">
        <f aca="false">IF($A210="","",ROUND(J210,2))</f>
        <v>6923.46</v>
      </c>
    </row>
    <row r="211" customFormat="false" ht="15" hidden="false" customHeight="false" outlineLevel="0" collapsed="false">
      <c r="A211" s="44" t="str">
        <f aca="false">IF(Weekly_Demand!A211="","",Weekly_Demand!A211)</f>
        <v>22992</v>
      </c>
      <c r="B211" s="44" t="str">
        <f aca="false">IF($A211="","",Weekly_Demand!C211)</f>
        <v>Other</v>
      </c>
      <c r="C211" s="45" t="n">
        <f aca="false">IF($A211="","",Weekly_Demand!D211)</f>
        <v>1.17</v>
      </c>
      <c r="D211" s="46" t="n">
        <f aca="false">IF($A211="","",Weekly_Demand!E211+Assumptions!$B$19)</f>
        <v>2</v>
      </c>
      <c r="E211" s="46" t="n">
        <f aca="false">IF($A211="","",Weekly_Demand!F211)</f>
        <v>993</v>
      </c>
      <c r="F211" s="46" t="n">
        <f aca="false">IF($A211="","",SUM(Weekly_Demand!G211:BF211))</f>
        <v>5164</v>
      </c>
      <c r="G211" s="51" t="n">
        <f aca="false">IF($A211="","",IFERROR(F211/Assumptions!$B$6,0))</f>
        <v>99.3076923076923</v>
      </c>
      <c r="H211" s="51" t="n">
        <f aca="false">IF($A211="","",STDEV(Weekly_Demand!G211:BF211))</f>
        <v>134.147349255277</v>
      </c>
      <c r="I211" s="52" t="n">
        <f aca="false">IF($A211="","",IFERROR(H211/G211,0))</f>
        <v>1.35082536043269</v>
      </c>
      <c r="J211" s="53" t="n">
        <f aca="false">IF($A211="","",F211*C211)</f>
        <v>6041.88</v>
      </c>
      <c r="K211" s="54" t="n">
        <f aca="false">IF($A211="","",IFERROR(J211/$J$505,0))</f>
        <v>0.00156335074624459</v>
      </c>
      <c r="L211" s="54" t="n">
        <f aca="false">IF($A211="","",IFERROR(SUMIFS($J$5:$J$504,$AB$5:$AB$504,"&lt;="&amp;AB211)/$J$505,0))</f>
        <v>0.696471684664656</v>
      </c>
      <c r="M211" s="55" t="str">
        <f aca="false">IF($A211="","",IF(L211&lt;=Assumptions!$B$7,"A",IF(L211&lt;=Assumptions!$B$8,"B","C")))</f>
        <v>A</v>
      </c>
      <c r="N211" s="55" t="str">
        <f aca="false">IF($A211="","",IF(I211&lt;=Assumptions!$B$9,"X",IF(I211&lt;=Assumptions!$B$10,"Y","Z")))</f>
        <v>Z</v>
      </c>
      <c r="O211" s="56" t="str">
        <f aca="false">IF($A211="","",M211&amp;N211)</f>
        <v>AZ</v>
      </c>
      <c r="P211" s="57" t="n">
        <f aca="false">IF($A211="","",INDEX(Assumptions!$B$35:$B$37,MATCH(M211,Assumptions!$A$35:$A$37,0)))</f>
        <v>0.98</v>
      </c>
      <c r="Q211" s="58" t="n">
        <f aca="false">IF($A211="","",NORMSINV(P211))</f>
        <v>2.05374891063182</v>
      </c>
      <c r="R211" s="48" t="n">
        <f aca="false">IF($A211="","",ROUNDUP(Q211*H211*SQRT(D211),0))</f>
        <v>390</v>
      </c>
      <c r="S211" s="48" t="n">
        <f aca="false">IF($A211="","",ROUNDUP(G211*D211+R211,0))</f>
        <v>589</v>
      </c>
      <c r="T211" s="46" t="n">
        <f aca="false">IF($A211="","",IFERROR(ROUND(SQRT(2*F211*Assumptions!$B$4/(Assumptions!$B$5*C211)),0),0))</f>
        <v>1329</v>
      </c>
      <c r="U211" s="53" t="n">
        <f aca="false">IF($A211="","",R211*C211)</f>
        <v>456.3</v>
      </c>
      <c r="V211" s="53" t="n">
        <f aca="false">IF($A211="","",E211*C211)</f>
        <v>1161.81</v>
      </c>
      <c r="W211" s="59" t="n">
        <f aca="false">IF($A211="","",IFERROR(E211/G211,0))</f>
        <v>9.9992254066615</v>
      </c>
      <c r="X211" s="48" t="n">
        <f aca="false">IF($A211="","",S211+T211)</f>
        <v>1918</v>
      </c>
      <c r="Y211" s="48" t="n">
        <f aca="false">IF($A211="","",MAX(0,E211-X211))</f>
        <v>0</v>
      </c>
      <c r="Z211" s="53" t="n">
        <f aca="false">IF($A211="","",Y211*C211)</f>
        <v>0</v>
      </c>
      <c r="AA211" s="56" t="str">
        <f aca="false">IF($A211="","",IF(E211&lt;=R211,"Below Safety Stock",IF(E211&lt;=S211,"Reorder Now",IF(E211&gt;X211,"Excess","Healthy"))))</f>
        <v>Healthy</v>
      </c>
      <c r="AB211" s="48" t="n">
        <f aca="false">IF($A211="","",RANK(AF211,$AF$5:$AF$504,0)+COUNTIF($AF$5:AF211,AF211)-1)</f>
        <v>214</v>
      </c>
      <c r="AC211" s="44" t="str">
        <f aca="false">IF($A211="","",Weekly_Demand!B211)</f>
        <v>REVOLVER WOODEN RULER</v>
      </c>
      <c r="AD211" s="59" t="n">
        <f aca="false">IF($A211="","",H211*SQRT(D211))</f>
        <v>189.713000673213</v>
      </c>
      <c r="AE211" s="53" t="n">
        <f aca="false">IF($A211="","",AD211*C211)</f>
        <v>221.964210787659</v>
      </c>
      <c r="AF211" s="53" t="n">
        <f aca="false">IF($A211="","",ROUND(J211,2))</f>
        <v>6041.88</v>
      </c>
    </row>
    <row r="212" customFormat="false" ht="15" hidden="false" customHeight="false" outlineLevel="0" collapsed="false">
      <c r="A212" s="44" t="str">
        <f aca="false">IF(Weekly_Demand!A212="","",Weekly_Demand!A212)</f>
        <v>48173C</v>
      </c>
      <c r="B212" s="44" t="str">
        <f aca="false">IF($A212="","",Weekly_Demand!C212)</f>
        <v>Other</v>
      </c>
      <c r="C212" s="45" t="n">
        <f aca="false">IF($A212="","",Weekly_Demand!D212)</f>
        <v>4.77</v>
      </c>
      <c r="D212" s="46" t="n">
        <f aca="false">IF($A212="","",Weekly_Demand!E212+Assumptions!$B$19)</f>
        <v>4</v>
      </c>
      <c r="E212" s="46" t="n">
        <f aca="false">IF($A212="","",Weekly_Demand!F212)</f>
        <v>244</v>
      </c>
      <c r="F212" s="46" t="n">
        <f aca="false">IF($A212="","",SUM(Weekly_Demand!G212:BF212))</f>
        <v>1810</v>
      </c>
      <c r="G212" s="51" t="n">
        <f aca="false">IF($A212="","",IFERROR(F212/Assumptions!$B$6,0))</f>
        <v>34.8076923076923</v>
      </c>
      <c r="H212" s="51" t="n">
        <f aca="false">IF($A212="","",STDEV(Weekly_Demand!G212:BF212))</f>
        <v>99.5781373086696</v>
      </c>
      <c r="I212" s="52" t="n">
        <f aca="false">IF($A212="","",IFERROR(H212/G212,0))</f>
        <v>2.86080836466896</v>
      </c>
      <c r="J212" s="53" t="n">
        <f aca="false">IF($A212="","",F212*C212)</f>
        <v>8633.7</v>
      </c>
      <c r="K212" s="54" t="n">
        <f aca="false">IF($A212="","",IFERROR(J212/$J$505,0))</f>
        <v>0.00223399030398683</v>
      </c>
      <c r="L212" s="54" t="n">
        <f aca="false">IF($A212="","",IFERROR(SUMIFS($J$5:$J$504,$AB$5:$AB$504,"&lt;="&amp;AB212)/$J$505,0))</f>
        <v>0.551372408344774</v>
      </c>
      <c r="M212" s="55" t="str">
        <f aca="false">IF($A212="","",IF(L212&lt;=Assumptions!$B$7,"A",IF(L212&lt;=Assumptions!$B$8,"B","C")))</f>
        <v>A</v>
      </c>
      <c r="N212" s="55" t="str">
        <f aca="false">IF($A212="","",IF(I212&lt;=Assumptions!$B$9,"X",IF(I212&lt;=Assumptions!$B$10,"Y","Z")))</f>
        <v>Z</v>
      </c>
      <c r="O212" s="56" t="str">
        <f aca="false">IF($A212="","",M212&amp;N212)</f>
        <v>AZ</v>
      </c>
      <c r="P212" s="57" t="n">
        <f aca="false">IF($A212="","",INDEX(Assumptions!$B$35:$B$37,MATCH(M212,Assumptions!$A$35:$A$37,0)))</f>
        <v>0.98</v>
      </c>
      <c r="Q212" s="58" t="n">
        <f aca="false">IF($A212="","",NORMSINV(P212))</f>
        <v>2.05374891063182</v>
      </c>
      <c r="R212" s="48" t="n">
        <f aca="false">IF($A212="","",ROUNDUP(Q212*H212*SQRT(D212),0))</f>
        <v>410</v>
      </c>
      <c r="S212" s="48" t="n">
        <f aca="false">IF($A212="","",ROUNDUP(G212*D212+R212,0))</f>
        <v>550</v>
      </c>
      <c r="T212" s="46" t="n">
        <f aca="false">IF($A212="","",IFERROR(ROUND(SQRT(2*F212*Assumptions!$B$4/(Assumptions!$B$5*C212)),0),0))</f>
        <v>390</v>
      </c>
      <c r="U212" s="53" t="n">
        <f aca="false">IF($A212="","",R212*C212)</f>
        <v>1955.7</v>
      </c>
      <c r="V212" s="53" t="n">
        <f aca="false">IF($A212="","",E212*C212)</f>
        <v>1163.88</v>
      </c>
      <c r="W212" s="59" t="n">
        <f aca="false">IF($A212="","",IFERROR(E212/G212,0))</f>
        <v>7.00994475138122</v>
      </c>
      <c r="X212" s="48" t="n">
        <f aca="false">IF($A212="","",S212+T212)</f>
        <v>940</v>
      </c>
      <c r="Y212" s="48" t="n">
        <f aca="false">IF($A212="","",MAX(0,E212-X212))</f>
        <v>0</v>
      </c>
      <c r="Z212" s="53" t="n">
        <f aca="false">IF($A212="","",Y212*C212)</f>
        <v>0</v>
      </c>
      <c r="AA212" s="56" t="str">
        <f aca="false">IF($A212="","",IF(E212&lt;=R212,"Below Safety Stock",IF(E212&lt;=S212,"Reorder Now",IF(E212&gt;X212,"Excess","Healthy"))))</f>
        <v>Below Safety Stock</v>
      </c>
      <c r="AB212" s="48" t="n">
        <f aca="false">IF($A212="","",RANK(AF212,$AF$5:$AF$504,0)+COUNTIF($AF$5:AF212,AF212)-1)</f>
        <v>135</v>
      </c>
      <c r="AC212" s="44" t="str">
        <f aca="false">IF($A212="","",Weekly_Demand!B212)</f>
        <v>DOORMAT BLACK FLOCK</v>
      </c>
      <c r="AD212" s="59" t="n">
        <f aca="false">IF($A212="","",H212*SQRT(D212))</f>
        <v>199.156274617339</v>
      </c>
      <c r="AE212" s="53" t="n">
        <f aca="false">IF($A212="","",AD212*C212)</f>
        <v>949.975429924708</v>
      </c>
      <c r="AF212" s="53" t="n">
        <f aca="false">IF($A212="","",ROUND(J212,2))</f>
        <v>8633.7</v>
      </c>
    </row>
    <row r="213" customFormat="false" ht="15" hidden="false" customHeight="false" outlineLevel="0" collapsed="false">
      <c r="A213" s="44" t="str">
        <f aca="false">IF(Weekly_Demand!A213="","",Weekly_Demand!A213)</f>
        <v>47590A</v>
      </c>
      <c r="B213" s="44" t="str">
        <f aca="false">IF($A213="","",Weekly_Demand!C213)</f>
        <v>Other</v>
      </c>
      <c r="C213" s="45" t="n">
        <f aca="false">IF($A213="","",Weekly_Demand!D213)</f>
        <v>3.27</v>
      </c>
      <c r="D213" s="46" t="n">
        <f aca="false">IF($A213="","",Weekly_Demand!E213+Assumptions!$B$19)</f>
        <v>6</v>
      </c>
      <c r="E213" s="46" t="n">
        <f aca="false">IF($A213="","",Weekly_Demand!F213)</f>
        <v>1519</v>
      </c>
      <c r="F213" s="46" t="n">
        <f aca="false">IF($A213="","",SUM(Weekly_Demand!G213:BF213))</f>
        <v>1927</v>
      </c>
      <c r="G213" s="51" t="n">
        <f aca="false">IF($A213="","",IFERROR(F213/Assumptions!$B$6,0))</f>
        <v>37.0576923076923</v>
      </c>
      <c r="H213" s="51" t="n">
        <f aca="false">IF($A213="","",STDEV(Weekly_Demand!G213:BF213))</f>
        <v>34.6157696475988</v>
      </c>
      <c r="I213" s="52" t="n">
        <f aca="false">IF($A213="","",IFERROR(H213/G213,0))</f>
        <v>0.934104837402771</v>
      </c>
      <c r="J213" s="53" t="n">
        <f aca="false">IF($A213="","",F213*C213)</f>
        <v>6301.29</v>
      </c>
      <c r="K213" s="54" t="n">
        <f aca="false">IF($A213="","",IFERROR(J213/$J$505,0))</f>
        <v>0.00163047369755831</v>
      </c>
      <c r="L213" s="54" t="n">
        <f aca="false">IF($A213="","",IFERROR(SUMIFS($J$5:$J$504,$AB$5:$AB$504,"&lt;="&amp;AB213)/$J$505,0))</f>
        <v>0.677438481613294</v>
      </c>
      <c r="M213" s="55" t="str">
        <f aca="false">IF($A213="","",IF(L213&lt;=Assumptions!$B$7,"A",IF(L213&lt;=Assumptions!$B$8,"B","C")))</f>
        <v>A</v>
      </c>
      <c r="N213" s="55" t="str">
        <f aca="false">IF($A213="","",IF(I213&lt;=Assumptions!$B$9,"X",IF(I213&lt;=Assumptions!$B$10,"Y","Z")))</f>
        <v>Y</v>
      </c>
      <c r="O213" s="56" t="str">
        <f aca="false">IF($A213="","",M213&amp;N213)</f>
        <v>AY</v>
      </c>
      <c r="P213" s="57" t="n">
        <f aca="false">IF($A213="","",INDEX(Assumptions!$B$35:$B$37,MATCH(M213,Assumptions!$A$35:$A$37,0)))</f>
        <v>0.98</v>
      </c>
      <c r="Q213" s="58" t="n">
        <f aca="false">IF($A213="","",NORMSINV(P213))</f>
        <v>2.05374891063182</v>
      </c>
      <c r="R213" s="48" t="n">
        <f aca="false">IF($A213="","",ROUNDUP(Q213*H213*SQRT(D213),0))</f>
        <v>175</v>
      </c>
      <c r="S213" s="48" t="n">
        <f aca="false">IF($A213="","",ROUNDUP(G213*D213+R213,0))</f>
        <v>398</v>
      </c>
      <c r="T213" s="46" t="n">
        <f aca="false">IF($A213="","",IFERROR(ROUND(SQRT(2*F213*Assumptions!$B$4/(Assumptions!$B$5*C213)),0),0))</f>
        <v>486</v>
      </c>
      <c r="U213" s="53" t="n">
        <f aca="false">IF($A213="","",R213*C213)</f>
        <v>572.25</v>
      </c>
      <c r="V213" s="53" t="n">
        <f aca="false">IF($A213="","",E213*C213)</f>
        <v>4967.13</v>
      </c>
      <c r="W213" s="59" t="n">
        <f aca="false">IF($A213="","",IFERROR(E213/G213,0))</f>
        <v>40.9901401141671</v>
      </c>
      <c r="X213" s="48" t="n">
        <f aca="false">IF($A213="","",S213+T213)</f>
        <v>884</v>
      </c>
      <c r="Y213" s="48" t="n">
        <f aca="false">IF($A213="","",MAX(0,E213-X213))</f>
        <v>635</v>
      </c>
      <c r="Z213" s="53" t="n">
        <f aca="false">IF($A213="","",Y213*C213)</f>
        <v>2076.45</v>
      </c>
      <c r="AA213" s="56" t="str">
        <f aca="false">IF($A213="","",IF(E213&lt;=R213,"Below Safety Stock",IF(E213&lt;=S213,"Reorder Now",IF(E213&gt;X213,"Excess","Healthy"))))</f>
        <v>Excess</v>
      </c>
      <c r="AB213" s="48" t="n">
        <f aca="false">IF($A213="","",RANK(AF213,$AF$5:$AF$504,0)+COUNTIF($AF$5:AF213,AF213)-1)</f>
        <v>202</v>
      </c>
      <c r="AC213" s="44" t="str">
        <f aca="false">IF($A213="","",Weekly_Demand!B213)</f>
        <v>BLUE HAPPY BIRTHDAY BUNTING</v>
      </c>
      <c r="AD213" s="59" t="n">
        <f aca="false">IF($A213="","",H213*SQRT(D213))</f>
        <v>84.7909726903386</v>
      </c>
      <c r="AE213" s="53" t="n">
        <f aca="false">IF($A213="","",AD213*C213)</f>
        <v>277.266480697407</v>
      </c>
      <c r="AF213" s="53" t="n">
        <f aca="false">IF($A213="","",ROUND(J213,2))</f>
        <v>6301.29</v>
      </c>
    </row>
    <row r="214" customFormat="false" ht="15" hidden="false" customHeight="false" outlineLevel="0" collapsed="false">
      <c r="A214" s="44" t="str">
        <f aca="false">IF(Weekly_Demand!A214="","",Weekly_Demand!A214)</f>
        <v>22734</v>
      </c>
      <c r="B214" s="44" t="str">
        <f aca="false">IF($A214="","",Weekly_Demand!C214)</f>
        <v>Other</v>
      </c>
      <c r="C214" s="45" t="n">
        <f aca="false">IF($A214="","",Weekly_Demand!D214)</f>
        <v>1.734</v>
      </c>
      <c r="D214" s="46" t="n">
        <f aca="false">IF($A214="","",Weekly_Demand!E214+Assumptions!$B$19)</f>
        <v>6</v>
      </c>
      <c r="E214" s="46" t="n">
        <f aca="false">IF($A214="","",Weekly_Demand!F214)</f>
        <v>122</v>
      </c>
      <c r="F214" s="46" t="n">
        <f aca="false">IF($A214="","",SUM(Weekly_Demand!G214:BF214))</f>
        <v>3162</v>
      </c>
      <c r="G214" s="51" t="n">
        <f aca="false">IF($A214="","",IFERROR(F214/Assumptions!$B$6,0))</f>
        <v>60.8076923076923</v>
      </c>
      <c r="H214" s="51" t="n">
        <f aca="false">IF($A214="","",STDEV(Weekly_Demand!G214:BF214))</f>
        <v>105.878035356918</v>
      </c>
      <c r="I214" s="52" t="n">
        <f aca="false">IF($A214="","",IFERROR(H214/G214,0))</f>
        <v>1.74119476235285</v>
      </c>
      <c r="J214" s="53" t="n">
        <f aca="false">IF($A214="","",F214*C214)</f>
        <v>5482.908</v>
      </c>
      <c r="K214" s="54" t="n">
        <f aca="false">IF($A214="","",IFERROR(J214/$J$505,0))</f>
        <v>0.00141871541860984</v>
      </c>
      <c r="L214" s="54" t="n">
        <f aca="false">IF($A214="","",IFERROR(SUMIFS($J$5:$J$504,$AB$5:$AB$504,"&lt;="&amp;AB214)/$J$505,0))</f>
        <v>0.727865338172609</v>
      </c>
      <c r="M214" s="55" t="str">
        <f aca="false">IF($A214="","",IF(L214&lt;=Assumptions!$B$7,"A",IF(L214&lt;=Assumptions!$B$8,"B","C")))</f>
        <v>A</v>
      </c>
      <c r="N214" s="55" t="str">
        <f aca="false">IF($A214="","",IF(I214&lt;=Assumptions!$B$9,"X",IF(I214&lt;=Assumptions!$B$10,"Y","Z")))</f>
        <v>Z</v>
      </c>
      <c r="O214" s="56" t="str">
        <f aca="false">IF($A214="","",M214&amp;N214)</f>
        <v>AZ</v>
      </c>
      <c r="P214" s="57" t="n">
        <f aca="false">IF($A214="","",INDEX(Assumptions!$B$35:$B$37,MATCH(M214,Assumptions!$A$35:$A$37,0)))</f>
        <v>0.98</v>
      </c>
      <c r="Q214" s="58" t="n">
        <f aca="false">IF($A214="","",NORMSINV(P214))</f>
        <v>2.05374891063182</v>
      </c>
      <c r="R214" s="48" t="n">
        <f aca="false">IF($A214="","",ROUNDUP(Q214*H214*SQRT(D214),0))</f>
        <v>533</v>
      </c>
      <c r="S214" s="48" t="n">
        <f aca="false">IF($A214="","",ROUNDUP(G214*D214+R214,0))</f>
        <v>898</v>
      </c>
      <c r="T214" s="46" t="n">
        <f aca="false">IF($A214="","",IFERROR(ROUND(SQRT(2*F214*Assumptions!$B$4/(Assumptions!$B$5*C214)),0),0))</f>
        <v>854</v>
      </c>
      <c r="U214" s="53" t="n">
        <f aca="false">IF($A214="","",R214*C214)</f>
        <v>924.222</v>
      </c>
      <c r="V214" s="53" t="n">
        <f aca="false">IF($A214="","",E214*C214)</f>
        <v>211.548</v>
      </c>
      <c r="W214" s="59" t="n">
        <f aca="false">IF($A214="","",IFERROR(E214/G214,0))</f>
        <v>2.00632511068944</v>
      </c>
      <c r="X214" s="48" t="n">
        <f aca="false">IF($A214="","",S214+T214)</f>
        <v>1752</v>
      </c>
      <c r="Y214" s="48" t="n">
        <f aca="false">IF($A214="","",MAX(0,E214-X214))</f>
        <v>0</v>
      </c>
      <c r="Z214" s="53" t="n">
        <f aca="false">IF($A214="","",Y214*C214)</f>
        <v>0</v>
      </c>
      <c r="AA214" s="56" t="str">
        <f aca="false">IF($A214="","",IF(E214&lt;=R214,"Below Safety Stock",IF(E214&lt;=S214,"Reorder Now",IF(E214&gt;X214,"Excess","Healthy"))))</f>
        <v>Below Safety Stock</v>
      </c>
      <c r="AB214" s="48" t="n">
        <f aca="false">IF($A214="","",RANK(AF214,$AF$5:$AF$504,0)+COUNTIF($AF$5:AF214,AF214)-1)</f>
        <v>235</v>
      </c>
      <c r="AC214" s="44" t="str">
        <f aca="false">IF($A214="","",Weekly_Demand!B214)</f>
        <v>SET OF 6 RIBBONS VINTAGE CHRISTMAS</v>
      </c>
      <c r="AD214" s="59" t="n">
        <f aca="false">IF($A214="","",H214*SQRT(D214))</f>
        <v>259.347161592805</v>
      </c>
      <c r="AE214" s="53" t="n">
        <f aca="false">IF($A214="","",AD214*C214)</f>
        <v>449.707978201923</v>
      </c>
      <c r="AF214" s="53" t="n">
        <f aca="false">IF($A214="","",ROUND(J214,2))</f>
        <v>5482.91</v>
      </c>
    </row>
    <row r="215" customFormat="false" ht="15" hidden="false" customHeight="false" outlineLevel="0" collapsed="false">
      <c r="A215" s="44" t="str">
        <f aca="false">IF(Weekly_Demand!A215="","",Weekly_Demand!A215)</f>
        <v>22846</v>
      </c>
      <c r="B215" s="44" t="str">
        <f aca="false">IF($A215="","",Weekly_Demand!C215)</f>
        <v>Other</v>
      </c>
      <c r="C215" s="45" t="n">
        <f aca="false">IF($A215="","",Weekly_Demand!D215)</f>
        <v>10.17</v>
      </c>
      <c r="D215" s="46" t="n">
        <f aca="false">IF($A215="","",Weekly_Demand!E215+Assumptions!$B$19)</f>
        <v>6</v>
      </c>
      <c r="E215" s="46" t="n">
        <f aca="false">IF($A215="","",Weekly_Demand!F215)</f>
        <v>97</v>
      </c>
      <c r="F215" s="46" t="n">
        <f aca="false">IF($A215="","",SUM(Weekly_Demand!G215:BF215))</f>
        <v>633</v>
      </c>
      <c r="G215" s="51" t="n">
        <f aca="false">IF($A215="","",IFERROR(F215/Assumptions!$B$6,0))</f>
        <v>12.1730769230769</v>
      </c>
      <c r="H215" s="51" t="n">
        <f aca="false">IF($A215="","",STDEV(Weekly_Demand!G215:BF215))</f>
        <v>10.9843402862156</v>
      </c>
      <c r="I215" s="52" t="n">
        <f aca="false">IF($A215="","",IFERROR(H215/G215,0))</f>
        <v>0.902347069325767</v>
      </c>
      <c r="J215" s="53" t="n">
        <f aca="false">IF($A215="","",F215*C215)</f>
        <v>6437.61</v>
      </c>
      <c r="K215" s="54" t="n">
        <f aca="false">IF($A215="","",IFERROR(J215/$J$505,0))</f>
        <v>0.00166574682011752</v>
      </c>
      <c r="L215" s="54" t="n">
        <f aca="false">IF($A215="","",IFERROR(SUMIFS($J$5:$J$504,$AB$5:$AB$504,"&lt;="&amp;AB215)/$J$505,0))</f>
        <v>0.672511088766671</v>
      </c>
      <c r="M215" s="55" t="str">
        <f aca="false">IF($A215="","",IF(L215&lt;=Assumptions!$B$7,"A",IF(L215&lt;=Assumptions!$B$8,"B","C")))</f>
        <v>A</v>
      </c>
      <c r="N215" s="55" t="str">
        <f aca="false">IF($A215="","",IF(I215&lt;=Assumptions!$B$9,"X",IF(I215&lt;=Assumptions!$B$10,"Y","Z")))</f>
        <v>Y</v>
      </c>
      <c r="O215" s="56" t="str">
        <f aca="false">IF($A215="","",M215&amp;N215)</f>
        <v>AY</v>
      </c>
      <c r="P215" s="57" t="n">
        <f aca="false">IF($A215="","",INDEX(Assumptions!$B$35:$B$37,MATCH(M215,Assumptions!$A$35:$A$37,0)))</f>
        <v>0.98</v>
      </c>
      <c r="Q215" s="58" t="n">
        <f aca="false">IF($A215="","",NORMSINV(P215))</f>
        <v>2.05374891063182</v>
      </c>
      <c r="R215" s="48" t="n">
        <f aca="false">IF($A215="","",ROUNDUP(Q215*H215*SQRT(D215),0))</f>
        <v>56</v>
      </c>
      <c r="S215" s="48" t="n">
        <f aca="false">IF($A215="","",ROUNDUP(G215*D215+R215,0))</f>
        <v>130</v>
      </c>
      <c r="T215" s="46" t="n">
        <f aca="false">IF($A215="","",IFERROR(ROUND(SQRT(2*F215*Assumptions!$B$4/(Assumptions!$B$5*C215)),0),0))</f>
        <v>158</v>
      </c>
      <c r="U215" s="53" t="n">
        <f aca="false">IF($A215="","",R215*C215)</f>
        <v>569.52</v>
      </c>
      <c r="V215" s="53" t="n">
        <f aca="false">IF($A215="","",E215*C215)</f>
        <v>986.49</v>
      </c>
      <c r="W215" s="59" t="n">
        <f aca="false">IF($A215="","",IFERROR(E215/G215,0))</f>
        <v>7.96840442338073</v>
      </c>
      <c r="X215" s="48" t="n">
        <f aca="false">IF($A215="","",S215+T215)</f>
        <v>288</v>
      </c>
      <c r="Y215" s="48" t="n">
        <f aca="false">IF($A215="","",MAX(0,E215-X215))</f>
        <v>0</v>
      </c>
      <c r="Z215" s="53" t="n">
        <f aca="false">IF($A215="","",Y215*C215)</f>
        <v>0</v>
      </c>
      <c r="AA215" s="56" t="str">
        <f aca="false">IF($A215="","",IF(E215&lt;=R215,"Below Safety Stock",IF(E215&lt;=S215,"Reorder Now",IF(E215&gt;X215,"Excess","Healthy"))))</f>
        <v>Reorder Now</v>
      </c>
      <c r="AB215" s="48" t="n">
        <f aca="false">IF($A215="","",RANK(AF215,$AF$5:$AF$504,0)+COUNTIF($AF$5:AF215,AF215)-1)</f>
        <v>199</v>
      </c>
      <c r="AC215" s="44" t="str">
        <f aca="false">IF($A215="","",Weekly_Demand!B215)</f>
        <v>BREAD BIN DINER STYLE RED</v>
      </c>
      <c r="AD215" s="59" t="n">
        <f aca="false">IF($A215="","",H215*SQRT(D215))</f>
        <v>26.9060288623251</v>
      </c>
      <c r="AE215" s="53" t="n">
        <f aca="false">IF($A215="","",AD215*C215)</f>
        <v>273.634313529846</v>
      </c>
      <c r="AF215" s="53" t="n">
        <f aca="false">IF($A215="","",ROUND(J215,2))</f>
        <v>6437.61</v>
      </c>
    </row>
    <row r="216" customFormat="false" ht="15" hidden="false" customHeight="false" outlineLevel="0" collapsed="false">
      <c r="A216" s="44" t="str">
        <f aca="false">IF(Weekly_Demand!A216="","",Weekly_Demand!A216)</f>
        <v>22970</v>
      </c>
      <c r="B216" s="44" t="str">
        <f aca="false">IF($A216="","",Weekly_Demand!C216)</f>
        <v>Kitchen</v>
      </c>
      <c r="C216" s="45" t="n">
        <f aca="false">IF($A216="","",Weekly_Demand!D216)</f>
        <v>1.53</v>
      </c>
      <c r="D216" s="46" t="n">
        <f aca="false">IF($A216="","",Weekly_Demand!E216+Assumptions!$B$19)</f>
        <v>6</v>
      </c>
      <c r="E216" s="46" t="n">
        <f aca="false">IF($A216="","",Weekly_Demand!F216)</f>
        <v>578</v>
      </c>
      <c r="F216" s="46" t="n">
        <f aca="false">IF($A216="","",SUM(Weekly_Demand!G216:BF216))</f>
        <v>4297</v>
      </c>
      <c r="G216" s="51" t="n">
        <f aca="false">IF($A216="","",IFERROR(F216/Assumptions!$B$6,0))</f>
        <v>82.6346153846154</v>
      </c>
      <c r="H216" s="51" t="n">
        <f aca="false">IF($A216="","",STDEV(Weekly_Demand!G216:BF216))</f>
        <v>89.4289133501376</v>
      </c>
      <c r="I216" s="52" t="n">
        <f aca="false">IF($A216="","",IFERROR(H216/G216,0))</f>
        <v>1.08222096676918</v>
      </c>
      <c r="J216" s="53" t="n">
        <f aca="false">IF($A216="","",F216*C216)</f>
        <v>6574.41</v>
      </c>
      <c r="K216" s="54" t="n">
        <f aca="false">IF($A216="","",IFERROR(J216/$J$505,0))</f>
        <v>0.00170114414381251</v>
      </c>
      <c r="L216" s="54" t="n">
        <f aca="false">IF($A216="","",IFERROR(SUMIFS($J$5:$J$504,$AB$5:$AB$504,"&lt;="&amp;AB216)/$J$505,0))</f>
        <v>0.6591022642856</v>
      </c>
      <c r="M216" s="55" t="str">
        <f aca="false">IF($A216="","",IF(L216&lt;=Assumptions!$B$7,"A",IF(L216&lt;=Assumptions!$B$8,"B","C")))</f>
        <v>A</v>
      </c>
      <c r="N216" s="55" t="str">
        <f aca="false">IF($A216="","",IF(I216&lt;=Assumptions!$B$9,"X",IF(I216&lt;=Assumptions!$B$10,"Y","Z")))</f>
        <v>Z</v>
      </c>
      <c r="O216" s="56" t="str">
        <f aca="false">IF($A216="","",M216&amp;N216)</f>
        <v>AZ</v>
      </c>
      <c r="P216" s="57" t="n">
        <f aca="false">IF($A216="","",INDEX(Assumptions!$B$35:$B$37,MATCH(M216,Assumptions!$A$35:$A$37,0)))</f>
        <v>0.98</v>
      </c>
      <c r="Q216" s="58" t="n">
        <f aca="false">IF($A216="","",NORMSINV(P216))</f>
        <v>2.05374891063182</v>
      </c>
      <c r="R216" s="48" t="n">
        <f aca="false">IF($A216="","",ROUNDUP(Q216*H216*SQRT(D216),0))</f>
        <v>450</v>
      </c>
      <c r="S216" s="48" t="n">
        <f aca="false">IF($A216="","",ROUNDUP(G216*D216+R216,0))</f>
        <v>946</v>
      </c>
      <c r="T216" s="46" t="n">
        <f aca="false">IF($A216="","",IFERROR(ROUND(SQRT(2*F216*Assumptions!$B$4/(Assumptions!$B$5*C216)),0),0))</f>
        <v>1060</v>
      </c>
      <c r="U216" s="53" t="n">
        <f aca="false">IF($A216="","",R216*C216)</f>
        <v>688.5</v>
      </c>
      <c r="V216" s="53" t="n">
        <f aca="false">IF($A216="","",E216*C216)</f>
        <v>884.34</v>
      </c>
      <c r="W216" s="59" t="n">
        <f aca="false">IF($A216="","",IFERROR(E216/G216,0))</f>
        <v>6.99464742843845</v>
      </c>
      <c r="X216" s="48" t="n">
        <f aca="false">IF($A216="","",S216+T216)</f>
        <v>2006</v>
      </c>
      <c r="Y216" s="48" t="n">
        <f aca="false">IF($A216="","",MAX(0,E216-X216))</f>
        <v>0</v>
      </c>
      <c r="Z216" s="53" t="n">
        <f aca="false">IF($A216="","",Y216*C216)</f>
        <v>0</v>
      </c>
      <c r="AA216" s="56" t="str">
        <f aca="false">IF($A216="","",IF(E216&lt;=R216,"Below Safety Stock",IF(E216&lt;=S216,"Reorder Now",IF(E216&gt;X216,"Excess","Healthy"))))</f>
        <v>Reorder Now</v>
      </c>
      <c r="AB216" s="48" t="n">
        <f aca="false">IF($A216="","",RANK(AF216,$AF$5:$AF$504,0)+COUNTIF($AF$5:AF216,AF216)-1)</f>
        <v>191</v>
      </c>
      <c r="AC216" s="44" t="str">
        <f aca="false">IF($A216="","",Weekly_Demand!B216)</f>
        <v>LONDON BUS COFFEE MUG</v>
      </c>
      <c r="AD216" s="59" t="n">
        <f aca="false">IF($A216="","",H216*SQRT(D216))</f>
        <v>219.055205959408</v>
      </c>
      <c r="AE216" s="53" t="n">
        <f aca="false">IF($A216="","",AD216*C216)</f>
        <v>335.154465117894</v>
      </c>
      <c r="AF216" s="53" t="n">
        <f aca="false">IF($A216="","",ROUND(J216,2))</f>
        <v>6574.41</v>
      </c>
    </row>
    <row r="217" customFormat="false" ht="15" hidden="false" customHeight="false" outlineLevel="0" collapsed="false">
      <c r="A217" s="44" t="str">
        <f aca="false">IF(Weekly_Demand!A217="","",Weekly_Demand!A217)</f>
        <v>23208</v>
      </c>
      <c r="B217" s="44" t="str">
        <f aca="false">IF($A217="","",Weekly_Demand!C217)</f>
        <v>Bags</v>
      </c>
      <c r="C217" s="45" t="n">
        <f aca="false">IF($A217="","",Weekly_Demand!D217)</f>
        <v>0.99</v>
      </c>
      <c r="D217" s="46" t="n">
        <f aca="false">IF($A217="","",Weekly_Demand!E217+Assumptions!$B$19)</f>
        <v>2</v>
      </c>
      <c r="E217" s="46" t="n">
        <f aca="false">IF($A217="","",Weekly_Demand!F217)</f>
        <v>1506</v>
      </c>
      <c r="F217" s="46" t="n">
        <f aca="false">IF($A217="","",SUM(Weekly_Demand!G217:BF217))</f>
        <v>6022</v>
      </c>
      <c r="G217" s="51" t="n">
        <f aca="false">IF($A217="","",IFERROR(F217/Assumptions!$B$6,0))</f>
        <v>115.807692307692</v>
      </c>
      <c r="H217" s="51" t="n">
        <f aca="false">IF($A217="","",STDEV(Weekly_Demand!G217:BF217))</f>
        <v>114.008778207187</v>
      </c>
      <c r="I217" s="52" t="n">
        <f aca="false">IF($A217="","",IFERROR(H217/G217,0))</f>
        <v>0.984466367780428</v>
      </c>
      <c r="J217" s="53" t="n">
        <f aca="false">IF($A217="","",F217*C217)</f>
        <v>5961.78</v>
      </c>
      <c r="K217" s="54" t="n">
        <f aca="false">IF($A217="","",IFERROR(J217/$J$505,0))</f>
        <v>0.00154262468171266</v>
      </c>
      <c r="L217" s="54" t="n">
        <f aca="false">IF($A217="","",IFERROR(SUMIFS($J$5:$J$504,$AB$5:$AB$504,"&lt;="&amp;AB217)/$J$505,0))</f>
        <v>0.702673777055419</v>
      </c>
      <c r="M217" s="55" t="str">
        <f aca="false">IF($A217="","",IF(L217&lt;=Assumptions!$B$7,"A",IF(L217&lt;=Assumptions!$B$8,"B","C")))</f>
        <v>A</v>
      </c>
      <c r="N217" s="55" t="str">
        <f aca="false">IF($A217="","",IF(I217&lt;=Assumptions!$B$9,"X",IF(I217&lt;=Assumptions!$B$10,"Y","Z")))</f>
        <v>Y</v>
      </c>
      <c r="O217" s="56" t="str">
        <f aca="false">IF($A217="","",M217&amp;N217)</f>
        <v>AY</v>
      </c>
      <c r="P217" s="57" t="n">
        <f aca="false">IF($A217="","",INDEX(Assumptions!$B$35:$B$37,MATCH(M217,Assumptions!$A$35:$A$37,0)))</f>
        <v>0.98</v>
      </c>
      <c r="Q217" s="58" t="n">
        <f aca="false">IF($A217="","",NORMSINV(P217))</f>
        <v>2.05374891063182</v>
      </c>
      <c r="R217" s="48" t="n">
        <f aca="false">IF($A217="","",ROUNDUP(Q217*H217*SQRT(D217),0))</f>
        <v>332</v>
      </c>
      <c r="S217" s="48" t="n">
        <f aca="false">IF($A217="","",ROUNDUP(G217*D217+R217,0))</f>
        <v>564</v>
      </c>
      <c r="T217" s="46" t="n">
        <f aca="false">IF($A217="","",IFERROR(ROUND(SQRT(2*F217*Assumptions!$B$4/(Assumptions!$B$5*C217)),0),0))</f>
        <v>1560</v>
      </c>
      <c r="U217" s="53" t="n">
        <f aca="false">IF($A217="","",R217*C217)</f>
        <v>328.68</v>
      </c>
      <c r="V217" s="53" t="n">
        <f aca="false">IF($A217="","",E217*C217)</f>
        <v>1490.94</v>
      </c>
      <c r="W217" s="59" t="n">
        <f aca="false">IF($A217="","",IFERROR(E217/G217,0))</f>
        <v>13.0043175024909</v>
      </c>
      <c r="X217" s="48" t="n">
        <f aca="false">IF($A217="","",S217+T217)</f>
        <v>2124</v>
      </c>
      <c r="Y217" s="48" t="n">
        <f aca="false">IF($A217="","",MAX(0,E217-X217))</f>
        <v>0</v>
      </c>
      <c r="Z217" s="53" t="n">
        <f aca="false">IF($A217="","",Y217*C217)</f>
        <v>0</v>
      </c>
      <c r="AA217" s="56" t="str">
        <f aca="false">IF($A217="","",IF(E217&lt;=R217,"Below Safety Stock",IF(E217&lt;=S217,"Reorder Now",IF(E217&gt;X217,"Excess","Healthy"))))</f>
        <v>Healthy</v>
      </c>
      <c r="AB217" s="48" t="n">
        <f aca="false">IF($A217="","",RANK(AF217,$AF$5:$AF$504,0)+COUNTIF($AF$5:AF217,AF217)-1)</f>
        <v>218</v>
      </c>
      <c r="AC217" s="44" t="str">
        <f aca="false">IF($A217="","",Weekly_Demand!B217)</f>
        <v>LUNCH BAG VINTAGE LEAF DESIGN</v>
      </c>
      <c r="AD217" s="59" t="n">
        <f aca="false">IF($A217="","",H217*SQRT(D217))</f>
        <v>161.23276037019</v>
      </c>
      <c r="AE217" s="53" t="n">
        <f aca="false">IF($A217="","",AD217*C217)</f>
        <v>159.620432766489</v>
      </c>
      <c r="AF217" s="53" t="n">
        <f aca="false">IF($A217="","",ROUND(J217,2))</f>
        <v>5961.78</v>
      </c>
    </row>
    <row r="218" customFormat="false" ht="15" hidden="false" customHeight="false" outlineLevel="0" collapsed="false">
      <c r="A218" s="44" t="str">
        <f aca="false">IF(Weekly_Demand!A218="","",Weekly_Demand!A218)</f>
        <v>22617</v>
      </c>
      <c r="B218" s="44" t="str">
        <f aca="false">IF($A218="","",Weekly_Demand!C218)</f>
        <v>Other</v>
      </c>
      <c r="C218" s="45" t="n">
        <f aca="false">IF($A218="","",Weekly_Demand!D218)</f>
        <v>2.97</v>
      </c>
      <c r="D218" s="46" t="n">
        <f aca="false">IF($A218="","",Weekly_Demand!E218+Assumptions!$B$19)</f>
        <v>4</v>
      </c>
      <c r="E218" s="46" t="n">
        <f aca="false">IF($A218="","",Weekly_Demand!F218)</f>
        <v>1138</v>
      </c>
      <c r="F218" s="46" t="n">
        <f aca="false">IF($A218="","",SUM(Weekly_Demand!G218:BF218))</f>
        <v>2040</v>
      </c>
      <c r="G218" s="51" t="n">
        <f aca="false">IF($A218="","",IFERROR(F218/Assumptions!$B$6,0))</f>
        <v>39.2307692307692</v>
      </c>
      <c r="H218" s="51" t="n">
        <f aca="false">IF($A218="","",STDEV(Weekly_Demand!G218:BF218))</f>
        <v>51.0096551355108</v>
      </c>
      <c r="I218" s="52" t="n">
        <f aca="false">IF($A218="","",IFERROR(H218/G218,0))</f>
        <v>1.30024611129733</v>
      </c>
      <c r="J218" s="53" t="n">
        <f aca="false">IF($A218="","",F218*C218)</f>
        <v>6058.8</v>
      </c>
      <c r="K218" s="54" t="n">
        <f aca="false">IF($A218="","",IFERROR(J218/$J$505,0))</f>
        <v>0.00156772883628055</v>
      </c>
      <c r="L218" s="54" t="n">
        <f aca="false">IF($A218="","",IFERROR(SUMIFS($J$5:$J$504,$AB$5:$AB$504,"&lt;="&amp;AB218)/$J$505,0))</f>
        <v>0.691774972140016</v>
      </c>
      <c r="M218" s="55" t="str">
        <f aca="false">IF($A218="","",IF(L218&lt;=Assumptions!$B$7,"A",IF(L218&lt;=Assumptions!$B$8,"B","C")))</f>
        <v>A</v>
      </c>
      <c r="N218" s="55" t="str">
        <f aca="false">IF($A218="","",IF(I218&lt;=Assumptions!$B$9,"X",IF(I218&lt;=Assumptions!$B$10,"Y","Z")))</f>
        <v>Z</v>
      </c>
      <c r="O218" s="56" t="str">
        <f aca="false">IF($A218="","",M218&amp;N218)</f>
        <v>AZ</v>
      </c>
      <c r="P218" s="57" t="n">
        <f aca="false">IF($A218="","",INDEX(Assumptions!$B$35:$B$37,MATCH(M218,Assumptions!$A$35:$A$37,0)))</f>
        <v>0.98</v>
      </c>
      <c r="Q218" s="58" t="n">
        <f aca="false">IF($A218="","",NORMSINV(P218))</f>
        <v>2.05374891063182</v>
      </c>
      <c r="R218" s="48" t="n">
        <f aca="false">IF($A218="","",ROUNDUP(Q218*H218*SQRT(D218),0))</f>
        <v>210</v>
      </c>
      <c r="S218" s="48" t="n">
        <f aca="false">IF($A218="","",ROUNDUP(G218*D218+R218,0))</f>
        <v>367</v>
      </c>
      <c r="T218" s="46" t="n">
        <f aca="false">IF($A218="","",IFERROR(ROUND(SQRT(2*F218*Assumptions!$B$4/(Assumptions!$B$5*C218)),0),0))</f>
        <v>524</v>
      </c>
      <c r="U218" s="53" t="n">
        <f aca="false">IF($A218="","",R218*C218)</f>
        <v>623.7</v>
      </c>
      <c r="V218" s="53" t="n">
        <f aca="false">IF($A218="","",E218*C218)</f>
        <v>3379.86</v>
      </c>
      <c r="W218" s="59" t="n">
        <f aca="false">IF($A218="","",IFERROR(E218/G218,0))</f>
        <v>29.0078431372549</v>
      </c>
      <c r="X218" s="48" t="n">
        <f aca="false">IF($A218="","",S218+T218)</f>
        <v>891</v>
      </c>
      <c r="Y218" s="48" t="n">
        <f aca="false">IF($A218="","",MAX(0,E218-X218))</f>
        <v>247</v>
      </c>
      <c r="Z218" s="53" t="n">
        <f aca="false">IF($A218="","",Y218*C218)</f>
        <v>733.59</v>
      </c>
      <c r="AA218" s="56" t="str">
        <f aca="false">IF($A218="","",IF(E218&lt;=R218,"Below Safety Stock",IF(E218&lt;=S218,"Reorder Now",IF(E218&gt;X218,"Excess","Healthy"))))</f>
        <v>Excess</v>
      </c>
      <c r="AB218" s="48" t="n">
        <f aca="false">IF($A218="","",RANK(AF218,$AF$5:$AF$504,0)+COUNTIF($AF$5:AF218,AF218)-1)</f>
        <v>211</v>
      </c>
      <c r="AC218" s="44" t="str">
        <f aca="false">IF($A218="","",Weekly_Demand!B218)</f>
        <v>BAKING SET SPACEBOY DESIGN</v>
      </c>
      <c r="AD218" s="59" t="n">
        <f aca="false">IF($A218="","",H218*SQRT(D218))</f>
        <v>102.019310271022</v>
      </c>
      <c r="AE218" s="53" t="n">
        <f aca="false">IF($A218="","",AD218*C218)</f>
        <v>302.997351504934</v>
      </c>
      <c r="AF218" s="53" t="n">
        <f aca="false">IF($A218="","",ROUND(J218,2))</f>
        <v>6058.8</v>
      </c>
    </row>
    <row r="219" customFormat="false" ht="15" hidden="false" customHeight="false" outlineLevel="0" collapsed="false">
      <c r="A219" s="44" t="str">
        <f aca="false">IF(Weekly_Demand!A219="","",Weekly_Demand!A219)</f>
        <v>23171</v>
      </c>
      <c r="B219" s="44" t="str">
        <f aca="false">IF($A219="","",Weekly_Demand!C219)</f>
        <v>Other</v>
      </c>
      <c r="C219" s="45" t="n">
        <f aca="false">IF($A219="","",Weekly_Demand!D219)</f>
        <v>0.99</v>
      </c>
      <c r="D219" s="46" t="n">
        <f aca="false">IF($A219="","",Weekly_Demand!E219+Assumptions!$B$19)</f>
        <v>8</v>
      </c>
      <c r="E219" s="46" t="n">
        <f aca="false">IF($A219="","",Weekly_Demand!F219)</f>
        <v>3197</v>
      </c>
      <c r="F219" s="46" t="n">
        <f aca="false">IF($A219="","",SUM(Weekly_Demand!G219:BF219))</f>
        <v>6157</v>
      </c>
      <c r="G219" s="51" t="n">
        <f aca="false">IF($A219="","",IFERROR(F219/Assumptions!$B$6,0))</f>
        <v>118.403846153846</v>
      </c>
      <c r="H219" s="51" t="n">
        <f aca="false">IF($A219="","",STDEV(Weekly_Demand!G219:BF219))</f>
        <v>226.908745553023</v>
      </c>
      <c r="I219" s="52" t="n">
        <f aca="false">IF($A219="","",IFERROR(H219/G219,0))</f>
        <v>1.91639674659042</v>
      </c>
      <c r="J219" s="53" t="n">
        <f aca="false">IF($A219="","",F219*C219)</f>
        <v>6095.43</v>
      </c>
      <c r="K219" s="54" t="n">
        <f aca="false">IF($A219="","",IFERROR(J219/$J$505,0))</f>
        <v>0.00157720693545414</v>
      </c>
      <c r="L219" s="54" t="n">
        <f aca="false">IF($A219="","",IFERROR(SUMIFS($J$5:$J$504,$AB$5:$AB$504,"&lt;="&amp;AB219)/$J$505,0))</f>
        <v>0.690207243303736</v>
      </c>
      <c r="M219" s="55" t="str">
        <f aca="false">IF($A219="","",IF(L219&lt;=Assumptions!$B$7,"A",IF(L219&lt;=Assumptions!$B$8,"B","C")))</f>
        <v>A</v>
      </c>
      <c r="N219" s="55" t="str">
        <f aca="false">IF($A219="","",IF(I219&lt;=Assumptions!$B$9,"X",IF(I219&lt;=Assumptions!$B$10,"Y","Z")))</f>
        <v>Z</v>
      </c>
      <c r="O219" s="56" t="str">
        <f aca="false">IF($A219="","",M219&amp;N219)</f>
        <v>AZ</v>
      </c>
      <c r="P219" s="57" t="n">
        <f aca="false">IF($A219="","",INDEX(Assumptions!$B$35:$B$37,MATCH(M219,Assumptions!$A$35:$A$37,0)))</f>
        <v>0.98</v>
      </c>
      <c r="Q219" s="58" t="n">
        <f aca="false">IF($A219="","",NORMSINV(P219))</f>
        <v>2.05374891063182</v>
      </c>
      <c r="R219" s="48" t="n">
        <f aca="false">IF($A219="","",ROUNDUP(Q219*H219*SQRT(D219),0))</f>
        <v>1319</v>
      </c>
      <c r="S219" s="48" t="n">
        <f aca="false">IF($A219="","",ROUNDUP(G219*D219+R219,0))</f>
        <v>2267</v>
      </c>
      <c r="T219" s="46" t="n">
        <f aca="false">IF($A219="","",IFERROR(ROUND(SQRT(2*F219*Assumptions!$B$4/(Assumptions!$B$5*C219)),0),0))</f>
        <v>1577</v>
      </c>
      <c r="U219" s="53" t="n">
        <f aca="false">IF($A219="","",R219*C219)</f>
        <v>1305.81</v>
      </c>
      <c r="V219" s="53" t="n">
        <f aca="false">IF($A219="","",E219*C219)</f>
        <v>3165.03</v>
      </c>
      <c r="W219" s="59" t="n">
        <f aca="false">IF($A219="","",IFERROR(E219/G219,0))</f>
        <v>27.0008120838071</v>
      </c>
      <c r="X219" s="48" t="n">
        <f aca="false">IF($A219="","",S219+T219)</f>
        <v>3844</v>
      </c>
      <c r="Y219" s="48" t="n">
        <f aca="false">IF($A219="","",MAX(0,E219-X219))</f>
        <v>0</v>
      </c>
      <c r="Z219" s="53" t="n">
        <f aca="false">IF($A219="","",Y219*C219)</f>
        <v>0</v>
      </c>
      <c r="AA219" s="56" t="str">
        <f aca="false">IF($A219="","",IF(E219&lt;=R219,"Below Safety Stock",IF(E219&lt;=S219,"Reorder Now",IF(E219&gt;X219,"Excess","Healthy"))))</f>
        <v>Healthy</v>
      </c>
      <c r="AB219" s="48" t="n">
        <f aca="false">IF($A219="","",RANK(AF219,$AF$5:$AF$504,0)+COUNTIF($AF$5:AF219,AF219)-1)</f>
        <v>210</v>
      </c>
      <c r="AC219" s="44" t="str">
        <f aca="false">IF($A219="","",Weekly_Demand!B219)</f>
        <v>REGENCY TEA PLATE GREEN</v>
      </c>
      <c r="AD219" s="59" t="n">
        <f aca="false">IF($A219="","",H219*SQRT(D219))</f>
        <v>641.794850764301</v>
      </c>
      <c r="AE219" s="53" t="n">
        <f aca="false">IF($A219="","",AD219*C219)</f>
        <v>635.376902256658</v>
      </c>
      <c r="AF219" s="53" t="n">
        <f aca="false">IF($A219="","",ROUND(J219,2))</f>
        <v>6095.43</v>
      </c>
    </row>
    <row r="220" customFormat="false" ht="15" hidden="false" customHeight="false" outlineLevel="0" collapsed="false">
      <c r="A220" s="44" t="str">
        <f aca="false">IF(Weekly_Demand!A220="","",Weekly_Demand!A220)</f>
        <v>22569</v>
      </c>
      <c r="B220" s="44" t="str">
        <f aca="false">IF($A220="","",Weekly_Demand!C220)</f>
        <v>Other</v>
      </c>
      <c r="C220" s="45" t="n">
        <f aca="false">IF($A220="","",Weekly_Demand!D220)</f>
        <v>2.25</v>
      </c>
      <c r="D220" s="46" t="n">
        <f aca="false">IF($A220="","",Weekly_Demand!E220+Assumptions!$B$19)</f>
        <v>4</v>
      </c>
      <c r="E220" s="46" t="n">
        <f aca="false">IF($A220="","",Weekly_Demand!F220)</f>
        <v>52</v>
      </c>
      <c r="F220" s="46" t="n">
        <f aca="false">IF($A220="","",SUM(Weekly_Demand!G220:BF220))</f>
        <v>2691</v>
      </c>
      <c r="G220" s="51" t="n">
        <f aca="false">IF($A220="","",IFERROR(F220/Assumptions!$B$6,0))</f>
        <v>51.75</v>
      </c>
      <c r="H220" s="51" t="n">
        <f aca="false">IF($A220="","",STDEV(Weekly_Demand!G220:BF220))</f>
        <v>67.6026090110289</v>
      </c>
      <c r="I220" s="52" t="n">
        <f aca="false">IF($A220="","",IFERROR(H220/G220,0))</f>
        <v>1.30633060890877</v>
      </c>
      <c r="J220" s="53" t="n">
        <f aca="false">IF($A220="","",F220*C220)</f>
        <v>6054.75</v>
      </c>
      <c r="K220" s="54" t="n">
        <f aca="false">IF($A220="","",IFERROR(J220/$J$505,0))</f>
        <v>0.00156668088919748</v>
      </c>
      <c r="L220" s="54" t="n">
        <f aca="false">IF($A220="","",IFERROR(SUMIFS($J$5:$J$504,$AB$5:$AB$504,"&lt;="&amp;AB220)/$J$505,0))</f>
        <v>0.693341653029214</v>
      </c>
      <c r="M220" s="55" t="str">
        <f aca="false">IF($A220="","",IF(L220&lt;=Assumptions!$B$7,"A",IF(L220&lt;=Assumptions!$B$8,"B","C")))</f>
        <v>A</v>
      </c>
      <c r="N220" s="55" t="str">
        <f aca="false">IF($A220="","",IF(I220&lt;=Assumptions!$B$9,"X",IF(I220&lt;=Assumptions!$B$10,"Y","Z")))</f>
        <v>Z</v>
      </c>
      <c r="O220" s="56" t="str">
        <f aca="false">IF($A220="","",M220&amp;N220)</f>
        <v>AZ</v>
      </c>
      <c r="P220" s="57" t="n">
        <f aca="false">IF($A220="","",INDEX(Assumptions!$B$35:$B$37,MATCH(M220,Assumptions!$A$35:$A$37,0)))</f>
        <v>0.98</v>
      </c>
      <c r="Q220" s="58" t="n">
        <f aca="false">IF($A220="","",NORMSINV(P220))</f>
        <v>2.05374891063182</v>
      </c>
      <c r="R220" s="48" t="n">
        <f aca="false">IF($A220="","",ROUNDUP(Q220*H220*SQRT(D220),0))</f>
        <v>278</v>
      </c>
      <c r="S220" s="48" t="n">
        <f aca="false">IF($A220="","",ROUNDUP(G220*D220+R220,0))</f>
        <v>485</v>
      </c>
      <c r="T220" s="46" t="n">
        <f aca="false">IF($A220="","",IFERROR(ROUND(SQRT(2*F220*Assumptions!$B$4/(Assumptions!$B$5*C220)),0),0))</f>
        <v>692</v>
      </c>
      <c r="U220" s="53" t="n">
        <f aca="false">IF($A220="","",R220*C220)</f>
        <v>625.5</v>
      </c>
      <c r="V220" s="53" t="n">
        <f aca="false">IF($A220="","",E220*C220)</f>
        <v>117</v>
      </c>
      <c r="W220" s="59" t="n">
        <f aca="false">IF($A220="","",IFERROR(E220/G220,0))</f>
        <v>1.0048309178744</v>
      </c>
      <c r="X220" s="48" t="n">
        <f aca="false">IF($A220="","",S220+T220)</f>
        <v>1177</v>
      </c>
      <c r="Y220" s="48" t="n">
        <f aca="false">IF($A220="","",MAX(0,E220-X220))</f>
        <v>0</v>
      </c>
      <c r="Z220" s="53" t="n">
        <f aca="false">IF($A220="","",Y220*C220)</f>
        <v>0</v>
      </c>
      <c r="AA220" s="56" t="str">
        <f aca="false">IF($A220="","",IF(E220&lt;=R220,"Below Safety Stock",IF(E220&lt;=S220,"Reorder Now",IF(E220&gt;X220,"Excess","Healthy"))))</f>
        <v>Below Safety Stock</v>
      </c>
      <c r="AB220" s="48" t="n">
        <f aca="false">IF($A220="","",RANK(AF220,$AF$5:$AF$504,0)+COUNTIF($AF$5:AF220,AF220)-1)</f>
        <v>212</v>
      </c>
      <c r="AC220" s="44" t="str">
        <f aca="false">IF($A220="","",Weekly_Demand!B220)</f>
        <v>FELTCRAFT CUSHION BUTTERFLY</v>
      </c>
      <c r="AD220" s="59" t="n">
        <f aca="false">IF($A220="","",H220*SQRT(D220))</f>
        <v>135.205218022058</v>
      </c>
      <c r="AE220" s="53" t="n">
        <f aca="false">IF($A220="","",AD220*C220)</f>
        <v>304.21174054963</v>
      </c>
      <c r="AF220" s="53" t="n">
        <f aca="false">IF($A220="","",ROUND(J220,2))</f>
        <v>6054.75</v>
      </c>
    </row>
    <row r="221" customFormat="false" ht="15" hidden="false" customHeight="false" outlineLevel="0" collapsed="false">
      <c r="A221" s="44" t="str">
        <f aca="false">IF(Weekly_Demand!A221="","",Weekly_Demand!A221)</f>
        <v>84947</v>
      </c>
      <c r="B221" s="44" t="str">
        <f aca="false">IF($A221="","",Weekly_Demand!C221)</f>
        <v>Other</v>
      </c>
      <c r="C221" s="45" t="n">
        <f aca="false">IF($A221="","",Weekly_Demand!D221)</f>
        <v>0.75</v>
      </c>
      <c r="D221" s="46" t="n">
        <f aca="false">IF($A221="","",Weekly_Demand!E221+Assumptions!$B$19)</f>
        <v>8</v>
      </c>
      <c r="E221" s="46" t="n">
        <f aca="false">IF($A221="","",Weekly_Demand!F221)</f>
        <v>6256</v>
      </c>
      <c r="F221" s="46" t="n">
        <f aca="false">IF($A221="","",SUM(Weekly_Demand!G221:BF221))</f>
        <v>8341</v>
      </c>
      <c r="G221" s="51" t="n">
        <f aca="false">IF($A221="","",IFERROR(F221/Assumptions!$B$6,0))</f>
        <v>160.403846153846</v>
      </c>
      <c r="H221" s="51" t="n">
        <f aca="false">IF($A221="","",STDEV(Weekly_Demand!G221:BF221))</f>
        <v>144.8730694761</v>
      </c>
      <c r="I221" s="52" t="n">
        <f aca="false">IF($A221="","",IFERROR(H221/G221,0))</f>
        <v>0.903177030662653</v>
      </c>
      <c r="J221" s="53" t="n">
        <f aca="false">IF($A221="","",F221*C221)</f>
        <v>6255.75</v>
      </c>
      <c r="K221" s="54" t="n">
        <f aca="false">IF($A221="","",IFERROR(J221/$J$505,0))</f>
        <v>0.00161869011480195</v>
      </c>
      <c r="L221" s="54" t="n">
        <f aca="false">IF($A221="","",IFERROR(SUMIFS($J$5:$J$504,$AB$5:$AB$504,"&lt;="&amp;AB221)/$J$505,0))</f>
        <v>0.679057171728096</v>
      </c>
      <c r="M221" s="55" t="str">
        <f aca="false">IF($A221="","",IF(L221&lt;=Assumptions!$B$7,"A",IF(L221&lt;=Assumptions!$B$8,"B","C")))</f>
        <v>A</v>
      </c>
      <c r="N221" s="55" t="str">
        <f aca="false">IF($A221="","",IF(I221&lt;=Assumptions!$B$9,"X",IF(I221&lt;=Assumptions!$B$10,"Y","Z")))</f>
        <v>Y</v>
      </c>
      <c r="O221" s="56" t="str">
        <f aca="false">IF($A221="","",M221&amp;N221)</f>
        <v>AY</v>
      </c>
      <c r="P221" s="57" t="n">
        <f aca="false">IF($A221="","",INDEX(Assumptions!$B$35:$B$37,MATCH(M221,Assumptions!$A$35:$A$37,0)))</f>
        <v>0.98</v>
      </c>
      <c r="Q221" s="58" t="n">
        <f aca="false">IF($A221="","",NORMSINV(P221))</f>
        <v>2.05374891063182</v>
      </c>
      <c r="R221" s="48" t="n">
        <f aca="false">IF($A221="","",ROUNDUP(Q221*H221*SQRT(D221),0))</f>
        <v>842</v>
      </c>
      <c r="S221" s="48" t="n">
        <f aca="false">IF($A221="","",ROUNDUP(G221*D221+R221,0))</f>
        <v>2126</v>
      </c>
      <c r="T221" s="46" t="n">
        <f aca="false">IF($A221="","",IFERROR(ROUND(SQRT(2*F221*Assumptions!$B$4/(Assumptions!$B$5*C221)),0),0))</f>
        <v>2109</v>
      </c>
      <c r="U221" s="53" t="n">
        <f aca="false">IF($A221="","",R221*C221)</f>
        <v>631.5</v>
      </c>
      <c r="V221" s="53" t="n">
        <f aca="false">IF($A221="","",E221*C221)</f>
        <v>4692</v>
      </c>
      <c r="W221" s="59" t="n">
        <f aca="false">IF($A221="","",IFERROR(E221/G221,0))</f>
        <v>39.0015585661192</v>
      </c>
      <c r="X221" s="48" t="n">
        <f aca="false">IF($A221="","",S221+T221)</f>
        <v>4235</v>
      </c>
      <c r="Y221" s="48" t="n">
        <f aca="false">IF($A221="","",MAX(0,E221-X221))</f>
        <v>2021</v>
      </c>
      <c r="Z221" s="53" t="n">
        <f aca="false">IF($A221="","",Y221*C221)</f>
        <v>1515.75</v>
      </c>
      <c r="AA221" s="56" t="str">
        <f aca="false">IF($A221="","",IF(E221&lt;=R221,"Below Safety Stock",IF(E221&lt;=S221,"Reorder Now",IF(E221&gt;X221,"Excess","Healthy"))))</f>
        <v>Excess</v>
      </c>
      <c r="AB221" s="48" t="n">
        <f aca="false">IF($A221="","",RANK(AF221,$AF$5:$AF$504,0)+COUNTIF($AF$5:AF221,AF221)-1)</f>
        <v>203</v>
      </c>
      <c r="AC221" s="44" t="str">
        <f aca="false">IF($A221="","",Weekly_Demand!B221)</f>
        <v>ANTIQUE SILVER TEA GLASS ENGRAVED</v>
      </c>
      <c r="AD221" s="59" t="n">
        <f aca="false">IF($A221="","",H221*SQRT(D221))</f>
        <v>409.76291935144</v>
      </c>
      <c r="AE221" s="53" t="n">
        <f aca="false">IF($A221="","",AD221*C221)</f>
        <v>307.32218951358</v>
      </c>
      <c r="AF221" s="53" t="n">
        <f aca="false">IF($A221="","",ROUND(J221,2))</f>
        <v>6255.75</v>
      </c>
    </row>
    <row r="222" customFormat="false" ht="15" hidden="false" customHeight="false" outlineLevel="0" collapsed="false">
      <c r="A222" s="44" t="str">
        <f aca="false">IF(Weekly_Demand!A222="","",Weekly_Demand!A222)</f>
        <v>23076</v>
      </c>
      <c r="B222" s="44" t="str">
        <f aca="false">IF($A222="","",Weekly_Demand!C222)</f>
        <v>Other</v>
      </c>
      <c r="C222" s="45" t="n">
        <f aca="false">IF($A222="","",Weekly_Demand!D222)</f>
        <v>0.75</v>
      </c>
      <c r="D222" s="46" t="n">
        <f aca="false">IF($A222="","",Weekly_Demand!E222+Assumptions!$B$19)</f>
        <v>2</v>
      </c>
      <c r="E222" s="46" t="n">
        <f aca="false">IF($A222="","",Weekly_Demand!F222)</f>
        <v>1074</v>
      </c>
      <c r="F222" s="46" t="n">
        <f aca="false">IF($A222="","",SUM(Weekly_Demand!G222:BF222))</f>
        <v>7976</v>
      </c>
      <c r="G222" s="51" t="n">
        <f aca="false">IF($A222="","",IFERROR(F222/Assumptions!$B$6,0))</f>
        <v>153.384615384615</v>
      </c>
      <c r="H222" s="51" t="n">
        <f aca="false">IF($A222="","",STDEV(Weekly_Demand!G222:BF222))</f>
        <v>141.928890486578</v>
      </c>
      <c r="I222" s="52" t="n">
        <f aca="false">IF($A222="","",IFERROR(H222/G222,0))</f>
        <v>0.925313729350811</v>
      </c>
      <c r="J222" s="53" t="n">
        <f aca="false">IF($A222="","",F222*C222)</f>
        <v>5982</v>
      </c>
      <c r="K222" s="54" t="n">
        <f aca="false">IF($A222="","",IFERROR(J222/$J$505,0))</f>
        <v>0.00154785665455705</v>
      </c>
      <c r="L222" s="54" t="n">
        <f aca="false">IF($A222="","",IFERROR(SUMIFS($J$5:$J$504,$AB$5:$AB$504,"&lt;="&amp;AB222)/$J$505,0))</f>
        <v>0.701131152373706</v>
      </c>
      <c r="M222" s="55" t="str">
        <f aca="false">IF($A222="","",IF(L222&lt;=Assumptions!$B$7,"A",IF(L222&lt;=Assumptions!$B$8,"B","C")))</f>
        <v>A</v>
      </c>
      <c r="N222" s="55" t="str">
        <f aca="false">IF($A222="","",IF(I222&lt;=Assumptions!$B$9,"X",IF(I222&lt;=Assumptions!$B$10,"Y","Z")))</f>
        <v>Y</v>
      </c>
      <c r="O222" s="56" t="str">
        <f aca="false">IF($A222="","",M222&amp;N222)</f>
        <v>AY</v>
      </c>
      <c r="P222" s="57" t="n">
        <f aca="false">IF($A222="","",INDEX(Assumptions!$B$35:$B$37,MATCH(M222,Assumptions!$A$35:$A$37,0)))</f>
        <v>0.98</v>
      </c>
      <c r="Q222" s="58" t="n">
        <f aca="false">IF($A222="","",NORMSINV(P222))</f>
        <v>2.05374891063182</v>
      </c>
      <c r="R222" s="48" t="n">
        <f aca="false">IF($A222="","",ROUNDUP(Q222*H222*SQRT(D222),0))</f>
        <v>413</v>
      </c>
      <c r="S222" s="48" t="n">
        <f aca="false">IF($A222="","",ROUNDUP(G222*D222+R222,0))</f>
        <v>720</v>
      </c>
      <c r="T222" s="46" t="n">
        <f aca="false">IF($A222="","",IFERROR(ROUND(SQRT(2*F222*Assumptions!$B$4/(Assumptions!$B$5*C222)),0),0))</f>
        <v>2062</v>
      </c>
      <c r="U222" s="53" t="n">
        <f aca="false">IF($A222="","",R222*C222)</f>
        <v>309.75</v>
      </c>
      <c r="V222" s="53" t="n">
        <f aca="false">IF($A222="","",E222*C222)</f>
        <v>805.5</v>
      </c>
      <c r="W222" s="59" t="n">
        <f aca="false">IF($A222="","",IFERROR(E222/G222,0))</f>
        <v>7.00200601805416</v>
      </c>
      <c r="X222" s="48" t="n">
        <f aca="false">IF($A222="","",S222+T222)</f>
        <v>2782</v>
      </c>
      <c r="Y222" s="48" t="n">
        <f aca="false">IF($A222="","",MAX(0,E222-X222))</f>
        <v>0</v>
      </c>
      <c r="Z222" s="53" t="n">
        <f aca="false">IF($A222="","",Y222*C222)</f>
        <v>0</v>
      </c>
      <c r="AA222" s="56" t="str">
        <f aca="false">IF($A222="","",IF(E222&lt;=R222,"Below Safety Stock",IF(E222&lt;=S222,"Reorder Now",IF(E222&gt;X222,"Excess","Healthy"))))</f>
        <v>Healthy</v>
      </c>
      <c r="AB222" s="48" t="n">
        <f aca="false">IF($A222="","",RANK(AF222,$AF$5:$AF$504,0)+COUNTIF($AF$5:AF222,AF222)-1)</f>
        <v>217</v>
      </c>
      <c r="AC222" s="44" t="str">
        <f aca="false">IF($A222="","",Weekly_Demand!B222)</f>
        <v>ICE CREAM SUNDAE LIP GLOSS</v>
      </c>
      <c r="AD222" s="59" t="n">
        <f aca="false">IF($A222="","",H222*SQRT(D222))</f>
        <v>200.717761818685</v>
      </c>
      <c r="AE222" s="53" t="n">
        <f aca="false">IF($A222="","",AD222*C222)</f>
        <v>150.538321364014</v>
      </c>
      <c r="AF222" s="53" t="n">
        <f aca="false">IF($A222="","",ROUND(J222,2))</f>
        <v>5982</v>
      </c>
    </row>
    <row r="223" customFormat="false" ht="15" hidden="false" customHeight="false" outlineLevel="0" collapsed="false">
      <c r="A223" s="44" t="str">
        <f aca="false">IF(Weekly_Demand!A223="","",Weekly_Demand!A223)</f>
        <v>22690</v>
      </c>
      <c r="B223" s="44" t="str">
        <f aca="false">IF($A223="","",Weekly_Demand!C223)</f>
        <v>Other</v>
      </c>
      <c r="C223" s="45" t="n">
        <f aca="false">IF($A223="","",Weekly_Demand!D223)</f>
        <v>4.77</v>
      </c>
      <c r="D223" s="46" t="n">
        <f aca="false">IF($A223="","",Weekly_Demand!E223+Assumptions!$B$19)</f>
        <v>6</v>
      </c>
      <c r="E223" s="46" t="n">
        <f aca="false">IF($A223="","",Weekly_Demand!F223)</f>
        <v>921</v>
      </c>
      <c r="F223" s="46" t="n">
        <f aca="false">IF($A223="","",SUM(Weekly_Demand!G223:BF223))</f>
        <v>1597</v>
      </c>
      <c r="G223" s="51" t="n">
        <f aca="false">IF($A223="","",IFERROR(F223/Assumptions!$B$6,0))</f>
        <v>30.7115384615385</v>
      </c>
      <c r="H223" s="51" t="n">
        <f aca="false">IF($A223="","",STDEV(Weekly_Demand!G223:BF223))</f>
        <v>76.4374245003938</v>
      </c>
      <c r="I223" s="52" t="n">
        <f aca="false">IF($A223="","",IFERROR(H223/G223,0))</f>
        <v>2.48888295179742</v>
      </c>
      <c r="J223" s="53" t="n">
        <f aca="false">IF($A223="","",F223*C223)</f>
        <v>7617.69</v>
      </c>
      <c r="K223" s="54" t="n">
        <f aca="false">IF($A223="","",IFERROR(J223/$J$505,0))</f>
        <v>0.00197109531241269</v>
      </c>
      <c r="L223" s="54" t="n">
        <f aca="false">IF($A223="","",IFERROR(SUMIFS($J$5:$J$504,$AB$5:$AB$504,"&lt;="&amp;AB223)/$J$505,0))</f>
        <v>0.592623430929598</v>
      </c>
      <c r="M223" s="55" t="str">
        <f aca="false">IF($A223="","",IF(L223&lt;=Assumptions!$B$7,"A",IF(L223&lt;=Assumptions!$B$8,"B","C")))</f>
        <v>A</v>
      </c>
      <c r="N223" s="55" t="str">
        <f aca="false">IF($A223="","",IF(I223&lt;=Assumptions!$B$9,"X",IF(I223&lt;=Assumptions!$B$10,"Y","Z")))</f>
        <v>Z</v>
      </c>
      <c r="O223" s="56" t="str">
        <f aca="false">IF($A223="","",M223&amp;N223)</f>
        <v>AZ</v>
      </c>
      <c r="P223" s="57" t="n">
        <f aca="false">IF($A223="","",INDEX(Assumptions!$B$35:$B$37,MATCH(M223,Assumptions!$A$35:$A$37,0)))</f>
        <v>0.98</v>
      </c>
      <c r="Q223" s="58" t="n">
        <f aca="false">IF($A223="","",NORMSINV(P223))</f>
        <v>2.05374891063182</v>
      </c>
      <c r="R223" s="48" t="n">
        <f aca="false">IF($A223="","",ROUNDUP(Q223*H223*SQRT(D223),0))</f>
        <v>385</v>
      </c>
      <c r="S223" s="48" t="n">
        <f aca="false">IF($A223="","",ROUNDUP(G223*D223+R223,0))</f>
        <v>570</v>
      </c>
      <c r="T223" s="46" t="n">
        <f aca="false">IF($A223="","",IFERROR(ROUND(SQRT(2*F223*Assumptions!$B$4/(Assumptions!$B$5*C223)),0),0))</f>
        <v>366</v>
      </c>
      <c r="U223" s="53" t="n">
        <f aca="false">IF($A223="","",R223*C223)</f>
        <v>1836.45</v>
      </c>
      <c r="V223" s="53" t="n">
        <f aca="false">IF($A223="","",E223*C223)</f>
        <v>4393.17</v>
      </c>
      <c r="W223" s="59" t="n">
        <f aca="false">IF($A223="","",IFERROR(E223/G223,0))</f>
        <v>29.9887288666249</v>
      </c>
      <c r="X223" s="48" t="n">
        <f aca="false">IF($A223="","",S223+T223)</f>
        <v>936</v>
      </c>
      <c r="Y223" s="48" t="n">
        <f aca="false">IF($A223="","",MAX(0,E223-X223))</f>
        <v>0</v>
      </c>
      <c r="Z223" s="53" t="n">
        <f aca="false">IF($A223="","",Y223*C223)</f>
        <v>0</v>
      </c>
      <c r="AA223" s="56" t="str">
        <f aca="false">IF($A223="","",IF(E223&lt;=R223,"Below Safety Stock",IF(E223&lt;=S223,"Reorder Now",IF(E223&gt;X223,"Excess","Healthy"))))</f>
        <v>Healthy</v>
      </c>
      <c r="AB223" s="48" t="n">
        <f aca="false">IF($A223="","",RANK(AF223,$AF$5:$AF$504,0)+COUNTIF($AF$5:AF223,AF223)-1)</f>
        <v>155</v>
      </c>
      <c r="AC223" s="44" t="str">
        <f aca="false">IF($A223="","",Weekly_Demand!B223)</f>
        <v>DOORMAT HOME SWEET HOME BLUE</v>
      </c>
      <c r="AD223" s="59" t="n">
        <f aca="false">IF($A223="","",H223*SQRT(D223))</f>
        <v>187.232687278478</v>
      </c>
      <c r="AE223" s="53" t="n">
        <f aca="false">IF($A223="","",AD223*C223)</f>
        <v>893.09991831834</v>
      </c>
      <c r="AF223" s="53" t="n">
        <f aca="false">IF($A223="","",ROUND(J223,2))</f>
        <v>7617.69</v>
      </c>
    </row>
    <row r="224" customFormat="false" ht="15" hidden="false" customHeight="false" outlineLevel="0" collapsed="false">
      <c r="A224" s="44" t="str">
        <f aca="false">IF(Weekly_Demand!A224="","",Weekly_Demand!A224)</f>
        <v>21218</v>
      </c>
      <c r="B224" s="44" t="str">
        <f aca="false">IF($A224="","",Weekly_Demand!C224)</f>
        <v>Kitchen</v>
      </c>
      <c r="C224" s="45" t="n">
        <f aca="false">IF($A224="","",Weekly_Demand!D224)</f>
        <v>2.25</v>
      </c>
      <c r="D224" s="46" t="n">
        <f aca="false">IF($A224="","",Weekly_Demand!E224+Assumptions!$B$19)</f>
        <v>6</v>
      </c>
      <c r="E224" s="46" t="n">
        <f aca="false">IF($A224="","",Weekly_Demand!F224)</f>
        <v>732</v>
      </c>
      <c r="F224" s="46" t="n">
        <f aca="false">IF($A224="","",SUM(Weekly_Demand!G224:BF224))</f>
        <v>2378</v>
      </c>
      <c r="G224" s="51" t="n">
        <f aca="false">IF($A224="","",IFERROR(F224/Assumptions!$B$6,0))</f>
        <v>45.7307692307692</v>
      </c>
      <c r="H224" s="51" t="n">
        <f aca="false">IF($A224="","",STDEV(Weekly_Demand!G224:BF224))</f>
        <v>44.9056157825327</v>
      </c>
      <c r="I224" s="52" t="n">
        <f aca="false">IF($A224="","",IFERROR(H224/G224,0))</f>
        <v>0.981956274470857</v>
      </c>
      <c r="J224" s="53" t="n">
        <f aca="false">IF($A224="","",F224*C224)</f>
        <v>5350.5</v>
      </c>
      <c r="K224" s="54" t="n">
        <f aca="false">IF($A224="","",IFERROR(J224/$J$505,0))</f>
        <v>0.00138445453530717</v>
      </c>
      <c r="L224" s="54" t="n">
        <f aca="false">IF($A224="","",IFERROR(SUMIFS($J$5:$J$504,$AB$5:$AB$504,"&lt;="&amp;AB224)/$J$505,0))</f>
        <v>0.74463451753284</v>
      </c>
      <c r="M224" s="55" t="str">
        <f aca="false">IF($A224="","",IF(L224&lt;=Assumptions!$B$7,"A",IF(L224&lt;=Assumptions!$B$8,"B","C")))</f>
        <v>A</v>
      </c>
      <c r="N224" s="55" t="str">
        <f aca="false">IF($A224="","",IF(I224&lt;=Assumptions!$B$9,"X",IF(I224&lt;=Assumptions!$B$10,"Y","Z")))</f>
        <v>Y</v>
      </c>
      <c r="O224" s="56" t="str">
        <f aca="false">IF($A224="","",M224&amp;N224)</f>
        <v>AY</v>
      </c>
      <c r="P224" s="57" t="n">
        <f aca="false">IF($A224="","",INDEX(Assumptions!$B$35:$B$37,MATCH(M224,Assumptions!$A$35:$A$37,0)))</f>
        <v>0.98</v>
      </c>
      <c r="Q224" s="58" t="n">
        <f aca="false">IF($A224="","",NORMSINV(P224))</f>
        <v>2.05374891063182</v>
      </c>
      <c r="R224" s="48" t="n">
        <f aca="false">IF($A224="","",ROUNDUP(Q224*H224*SQRT(D224),0))</f>
        <v>226</v>
      </c>
      <c r="S224" s="48" t="n">
        <f aca="false">IF($A224="","",ROUNDUP(G224*D224+R224,0))</f>
        <v>501</v>
      </c>
      <c r="T224" s="46" t="n">
        <f aca="false">IF($A224="","",IFERROR(ROUND(SQRT(2*F224*Assumptions!$B$4/(Assumptions!$B$5*C224)),0),0))</f>
        <v>650</v>
      </c>
      <c r="U224" s="53" t="n">
        <f aca="false">IF($A224="","",R224*C224)</f>
        <v>508.5</v>
      </c>
      <c r="V224" s="53" t="n">
        <f aca="false">IF($A224="","",E224*C224)</f>
        <v>1647</v>
      </c>
      <c r="W224" s="59" t="n">
        <f aca="false">IF($A224="","",IFERROR(E224/G224,0))</f>
        <v>16.0067283431455</v>
      </c>
      <c r="X224" s="48" t="n">
        <f aca="false">IF($A224="","",S224+T224)</f>
        <v>1151</v>
      </c>
      <c r="Y224" s="48" t="n">
        <f aca="false">IF($A224="","",MAX(0,E224-X224))</f>
        <v>0</v>
      </c>
      <c r="Z224" s="53" t="n">
        <f aca="false">IF($A224="","",Y224*C224)</f>
        <v>0</v>
      </c>
      <c r="AA224" s="56" t="str">
        <f aca="false">IF($A224="","",IF(E224&lt;=R224,"Below Safety Stock",IF(E224&lt;=S224,"Reorder Now",IF(E224&gt;X224,"Excess","Healthy"))))</f>
        <v>Healthy</v>
      </c>
      <c r="AB224" s="48" t="n">
        <f aca="false">IF($A224="","",RANK(AF224,$AF$5:$AF$504,0)+COUNTIF($AF$5:AF224,AF224)-1)</f>
        <v>247</v>
      </c>
      <c r="AC224" s="44" t="str">
        <f aca="false">IF($A224="","",Weekly_Demand!B224)</f>
        <v>RED SPOTTY BISCUIT TIN</v>
      </c>
      <c r="AD224" s="59" t="n">
        <f aca="false">IF($A224="","",H224*SQRT(D224))</f>
        <v>109.995845252676</v>
      </c>
      <c r="AE224" s="53" t="n">
        <f aca="false">IF($A224="","",AD224*C224)</f>
        <v>247.490651818521</v>
      </c>
      <c r="AF224" s="53" t="n">
        <f aca="false">IF($A224="","",ROUND(J224,2))</f>
        <v>5350.5</v>
      </c>
    </row>
    <row r="225" customFormat="false" ht="15" hidden="false" customHeight="false" outlineLevel="0" collapsed="false">
      <c r="A225" s="44" t="str">
        <f aca="false">IF(Weekly_Demand!A225="","",Weekly_Demand!A225)</f>
        <v>21791</v>
      </c>
      <c r="B225" s="44" t="str">
        <f aca="false">IF($A225="","",Weekly_Demand!C225)</f>
        <v>Cards/Gifts</v>
      </c>
      <c r="C225" s="45" t="n">
        <f aca="false">IF($A225="","",Weekly_Demand!D225)</f>
        <v>0.75</v>
      </c>
      <c r="D225" s="46" t="n">
        <f aca="false">IF($A225="","",Weekly_Demand!E225+Assumptions!$B$19)</f>
        <v>8</v>
      </c>
      <c r="E225" s="46" t="n">
        <f aca="false">IF($A225="","",Weekly_Demand!F225)</f>
        <v>833</v>
      </c>
      <c r="F225" s="46" t="n">
        <f aca="false">IF($A225="","",SUM(Weekly_Demand!G225:BF225))</f>
        <v>7216</v>
      </c>
      <c r="G225" s="51" t="n">
        <f aca="false">IF($A225="","",IFERROR(F225/Assumptions!$B$6,0))</f>
        <v>138.769230769231</v>
      </c>
      <c r="H225" s="51" t="n">
        <f aca="false">IF($A225="","",STDEV(Weekly_Demand!G225:BF225))</f>
        <v>152.05218600857</v>
      </c>
      <c r="I225" s="52" t="n">
        <f aca="false">IF($A225="","",IFERROR(H225/G225,0))</f>
        <v>1.0957197439642</v>
      </c>
      <c r="J225" s="53" t="n">
        <f aca="false">IF($A225="","",F225*C225)</f>
        <v>5412</v>
      </c>
      <c r="K225" s="54" t="n">
        <f aca="false">IF($A225="","",IFERROR(J225/$J$505,0))</f>
        <v>0.00140036780582794</v>
      </c>
      <c r="L225" s="54" t="n">
        <f aca="false">IF($A225="","",IFERROR(SUMIFS($J$5:$J$504,$AB$5:$AB$504,"&lt;="&amp;AB225)/$J$505,0))</f>
        <v>0.737699778167301</v>
      </c>
      <c r="M225" s="55" t="str">
        <f aca="false">IF($A225="","",IF(L225&lt;=Assumptions!$B$7,"A",IF(L225&lt;=Assumptions!$B$8,"B","C")))</f>
        <v>A</v>
      </c>
      <c r="N225" s="55" t="str">
        <f aca="false">IF($A225="","",IF(I225&lt;=Assumptions!$B$9,"X",IF(I225&lt;=Assumptions!$B$10,"Y","Z")))</f>
        <v>Z</v>
      </c>
      <c r="O225" s="56" t="str">
        <f aca="false">IF($A225="","",M225&amp;N225)</f>
        <v>AZ</v>
      </c>
      <c r="P225" s="57" t="n">
        <f aca="false">IF($A225="","",INDEX(Assumptions!$B$35:$B$37,MATCH(M225,Assumptions!$A$35:$A$37,0)))</f>
        <v>0.98</v>
      </c>
      <c r="Q225" s="58" t="n">
        <f aca="false">IF($A225="","",NORMSINV(P225))</f>
        <v>2.05374891063182</v>
      </c>
      <c r="R225" s="48" t="n">
        <f aca="false">IF($A225="","",ROUNDUP(Q225*H225*SQRT(D225),0))</f>
        <v>884</v>
      </c>
      <c r="S225" s="48" t="n">
        <f aca="false">IF($A225="","",ROUNDUP(G225*D225+R225,0))</f>
        <v>1995</v>
      </c>
      <c r="T225" s="46" t="n">
        <f aca="false">IF($A225="","",IFERROR(ROUND(SQRT(2*F225*Assumptions!$B$4/(Assumptions!$B$5*C225)),0),0))</f>
        <v>1962</v>
      </c>
      <c r="U225" s="53" t="n">
        <f aca="false">IF($A225="","",R225*C225)</f>
        <v>663</v>
      </c>
      <c r="V225" s="53" t="n">
        <f aca="false">IF($A225="","",E225*C225)</f>
        <v>624.75</v>
      </c>
      <c r="W225" s="59" t="n">
        <f aca="false">IF($A225="","",IFERROR(E225/G225,0))</f>
        <v>6.00277161862528</v>
      </c>
      <c r="X225" s="48" t="n">
        <f aca="false">IF($A225="","",S225+T225)</f>
        <v>3957</v>
      </c>
      <c r="Y225" s="48" t="n">
        <f aca="false">IF($A225="","",MAX(0,E225-X225))</f>
        <v>0</v>
      </c>
      <c r="Z225" s="53" t="n">
        <f aca="false">IF($A225="","",Y225*C225)</f>
        <v>0</v>
      </c>
      <c r="AA225" s="56" t="str">
        <f aca="false">IF($A225="","",IF(E225&lt;=R225,"Below Safety Stock",IF(E225&lt;=S225,"Reorder Now",IF(E225&gt;X225,"Excess","Healthy"))))</f>
        <v>Below Safety Stock</v>
      </c>
      <c r="AB225" s="48" t="n">
        <f aca="false">IF($A225="","",RANK(AF225,$AF$5:$AF$504,0)+COUNTIF($AF$5:AF225,AF225)-1)</f>
        <v>242</v>
      </c>
      <c r="AC225" s="44" t="str">
        <f aca="false">IF($A225="","",Weekly_Demand!B225)</f>
        <v>VINTAGE HEADS AND TAILS CARD GAME</v>
      </c>
      <c r="AD225" s="59" t="n">
        <f aca="false">IF($A225="","",H225*SQRT(D225))</f>
        <v>430.068527283594</v>
      </c>
      <c r="AE225" s="53" t="n">
        <f aca="false">IF($A225="","",AD225*C225)</f>
        <v>322.551395462695</v>
      </c>
      <c r="AF225" s="53" t="n">
        <f aca="false">IF($A225="","",ROUND(J225,2))</f>
        <v>5412</v>
      </c>
    </row>
    <row r="226" customFormat="false" ht="15" hidden="false" customHeight="false" outlineLevel="0" collapsed="false">
      <c r="A226" s="44" t="str">
        <f aca="false">IF(Weekly_Demand!A226="","",Weekly_Demand!A226)</f>
        <v>22556</v>
      </c>
      <c r="B226" s="44" t="str">
        <f aca="false">IF($A226="","",Weekly_Demand!C226)</f>
        <v>Kitchen</v>
      </c>
      <c r="C226" s="45" t="n">
        <f aca="false">IF($A226="","",Weekly_Demand!D226)</f>
        <v>0.99</v>
      </c>
      <c r="D226" s="46" t="n">
        <f aca="false">IF($A226="","",Weekly_Demand!E226+Assumptions!$B$19)</f>
        <v>2</v>
      </c>
      <c r="E226" s="46" t="n">
        <f aca="false">IF($A226="","",Weekly_Demand!F226)</f>
        <v>1245</v>
      </c>
      <c r="F226" s="46" t="n">
        <f aca="false">IF($A226="","",SUM(Weekly_Demand!G226:BF226))</f>
        <v>5885</v>
      </c>
      <c r="G226" s="51" t="n">
        <f aca="false">IF($A226="","",IFERROR(F226/Assumptions!$B$6,0))</f>
        <v>113.173076923077</v>
      </c>
      <c r="H226" s="51" t="n">
        <f aca="false">IF($A226="","",STDEV(Weekly_Demand!G226:BF226))</f>
        <v>63.9048683756693</v>
      </c>
      <c r="I226" s="52" t="n">
        <f aca="false">IF($A226="","",IFERROR(H226/G226,0))</f>
        <v>0.564664937219168</v>
      </c>
      <c r="J226" s="53" t="n">
        <f aca="false">IF($A226="","",F226*C226)</f>
        <v>5826.15</v>
      </c>
      <c r="K226" s="54" t="n">
        <f aca="false">IF($A226="","",IFERROR(J226/$J$505,0))</f>
        <v>0.00150753009828612</v>
      </c>
      <c r="L226" s="54" t="n">
        <f aca="false">IF($A226="","",IFERROR(SUMIFS($J$5:$J$504,$AB$5:$AB$504,"&lt;="&amp;AB226)/$J$505,0))</f>
        <v>0.711802459621229</v>
      </c>
      <c r="M226" s="55" t="str">
        <f aca="false">IF($A226="","",IF(L226&lt;=Assumptions!$B$7,"A",IF(L226&lt;=Assumptions!$B$8,"B","C")))</f>
        <v>A</v>
      </c>
      <c r="N226" s="55" t="str">
        <f aca="false">IF($A226="","",IF(I226&lt;=Assumptions!$B$9,"X",IF(I226&lt;=Assumptions!$B$10,"Y","Z")))</f>
        <v>Y</v>
      </c>
      <c r="O226" s="56" t="str">
        <f aca="false">IF($A226="","",M226&amp;N226)</f>
        <v>AY</v>
      </c>
      <c r="P226" s="57" t="n">
        <f aca="false">IF($A226="","",INDEX(Assumptions!$B$35:$B$37,MATCH(M226,Assumptions!$A$35:$A$37,0)))</f>
        <v>0.98</v>
      </c>
      <c r="Q226" s="58" t="n">
        <f aca="false">IF($A226="","",NORMSINV(P226))</f>
        <v>2.05374891063182</v>
      </c>
      <c r="R226" s="48" t="n">
        <f aca="false">IF($A226="","",ROUNDUP(Q226*H226*SQRT(D226),0))</f>
        <v>186</v>
      </c>
      <c r="S226" s="48" t="n">
        <f aca="false">IF($A226="","",ROUNDUP(G226*D226+R226,0))</f>
        <v>413</v>
      </c>
      <c r="T226" s="46" t="n">
        <f aca="false">IF($A226="","",IFERROR(ROUND(SQRT(2*F226*Assumptions!$B$4/(Assumptions!$B$5*C226)),0),0))</f>
        <v>1542</v>
      </c>
      <c r="U226" s="53" t="n">
        <f aca="false">IF($A226="","",R226*C226)</f>
        <v>184.14</v>
      </c>
      <c r="V226" s="53" t="n">
        <f aca="false">IF($A226="","",E226*C226)</f>
        <v>1232.55</v>
      </c>
      <c r="W226" s="59" t="n">
        <f aca="false">IF($A226="","",IFERROR(E226/G226,0))</f>
        <v>11.000849617672</v>
      </c>
      <c r="X226" s="48" t="n">
        <f aca="false">IF($A226="","",S226+T226)</f>
        <v>1955</v>
      </c>
      <c r="Y226" s="48" t="n">
        <f aca="false">IF($A226="","",MAX(0,E226-X226))</f>
        <v>0</v>
      </c>
      <c r="Z226" s="53" t="n">
        <f aca="false">IF($A226="","",Y226*C226)</f>
        <v>0</v>
      </c>
      <c r="AA226" s="56" t="str">
        <f aca="false">IF($A226="","",IF(E226&lt;=R226,"Below Safety Stock",IF(E226&lt;=S226,"Reorder Now",IF(E226&gt;X226,"Excess","Healthy"))))</f>
        <v>Healthy</v>
      </c>
      <c r="AB226" s="48" t="n">
        <f aca="false">IF($A226="","",RANK(AF226,$AF$5:$AF$504,0)+COUNTIF($AF$5:AF226,AF226)-1)</f>
        <v>224</v>
      </c>
      <c r="AC226" s="44" t="str">
        <f aca="false">IF($A226="","",Weekly_Demand!B226)</f>
        <v>PLASTERS IN TIN CIRCUS PARADE</v>
      </c>
      <c r="AD226" s="59" t="n">
        <f aca="false">IF($A226="","",H226*SQRT(D226))</f>
        <v>90.375131558539</v>
      </c>
      <c r="AE226" s="53" t="n">
        <f aca="false">IF($A226="","",AD226*C226)</f>
        <v>89.4713802429536</v>
      </c>
      <c r="AF226" s="53" t="n">
        <f aca="false">IF($A226="","",ROUND(J226,2))</f>
        <v>5826.15</v>
      </c>
    </row>
    <row r="227" customFormat="false" ht="15" hidden="false" customHeight="false" outlineLevel="0" collapsed="false">
      <c r="A227" s="44" t="str">
        <f aca="false">IF(Weekly_Demand!A227="","",Weekly_Demand!A227)</f>
        <v>22766</v>
      </c>
      <c r="B227" s="44" t="str">
        <f aca="false">IF($A227="","",Weekly_Demand!C227)</f>
        <v>Other</v>
      </c>
      <c r="C227" s="45" t="n">
        <f aca="false">IF($A227="","",Weekly_Demand!D227)</f>
        <v>1.77</v>
      </c>
      <c r="D227" s="46" t="n">
        <f aca="false">IF($A227="","",Weekly_Demand!E227+Assumptions!$B$19)</f>
        <v>6</v>
      </c>
      <c r="E227" s="46" t="n">
        <f aca="false">IF($A227="","",Weekly_Demand!F227)</f>
        <v>2617</v>
      </c>
      <c r="F227" s="46" t="n">
        <f aca="false">IF($A227="","",SUM(Weekly_Demand!G227:BF227))</f>
        <v>3240</v>
      </c>
      <c r="G227" s="51" t="n">
        <f aca="false">IF($A227="","",IFERROR(F227/Assumptions!$B$6,0))</f>
        <v>62.3076923076923</v>
      </c>
      <c r="H227" s="51" t="n">
        <f aca="false">IF($A227="","",STDEV(Weekly_Demand!G227:BF227))</f>
        <v>70.6903045357314</v>
      </c>
      <c r="I227" s="52" t="n">
        <f aca="false">IF($A227="","",IFERROR(H227/G227,0))</f>
        <v>1.13453575180804</v>
      </c>
      <c r="J227" s="53" t="n">
        <f aca="false">IF($A227="","",F227*C227)</f>
        <v>5734.8</v>
      </c>
      <c r="K227" s="54" t="n">
        <f aca="false">IF($A227="","",IFERROR(J227/$J$505,0))</f>
        <v>0.00148389306963453</v>
      </c>
      <c r="L227" s="54" t="n">
        <f aca="false">IF($A227="","",IFERROR(SUMIFS($J$5:$J$504,$AB$5:$AB$504,"&lt;="&amp;AB227)/$J$505,0))</f>
        <v>0.716272042423854</v>
      </c>
      <c r="M227" s="55" t="str">
        <f aca="false">IF($A227="","",IF(L227&lt;=Assumptions!$B$7,"A",IF(L227&lt;=Assumptions!$B$8,"B","C")))</f>
        <v>A</v>
      </c>
      <c r="N227" s="55" t="str">
        <f aca="false">IF($A227="","",IF(I227&lt;=Assumptions!$B$9,"X",IF(I227&lt;=Assumptions!$B$10,"Y","Z")))</f>
        <v>Z</v>
      </c>
      <c r="O227" s="56" t="str">
        <f aca="false">IF($A227="","",M227&amp;N227)</f>
        <v>AZ</v>
      </c>
      <c r="P227" s="57" t="n">
        <f aca="false">IF($A227="","",INDEX(Assumptions!$B$35:$B$37,MATCH(M227,Assumptions!$A$35:$A$37,0)))</f>
        <v>0.98</v>
      </c>
      <c r="Q227" s="58" t="n">
        <f aca="false">IF($A227="","",NORMSINV(P227))</f>
        <v>2.05374891063182</v>
      </c>
      <c r="R227" s="48" t="n">
        <f aca="false">IF($A227="","",ROUNDUP(Q227*H227*SQRT(D227),0))</f>
        <v>356</v>
      </c>
      <c r="S227" s="48" t="n">
        <f aca="false">IF($A227="","",ROUNDUP(G227*D227+R227,0))</f>
        <v>730</v>
      </c>
      <c r="T227" s="46" t="n">
        <f aca="false">IF($A227="","",IFERROR(ROUND(SQRT(2*F227*Assumptions!$B$4/(Assumptions!$B$5*C227)),0),0))</f>
        <v>856</v>
      </c>
      <c r="U227" s="53" t="n">
        <f aca="false">IF($A227="","",R227*C227)</f>
        <v>630.12</v>
      </c>
      <c r="V227" s="53" t="n">
        <f aca="false">IF($A227="","",E227*C227)</f>
        <v>4632.09</v>
      </c>
      <c r="W227" s="59" t="n">
        <f aca="false">IF($A227="","",IFERROR(E227/G227,0))</f>
        <v>42.0012345679012</v>
      </c>
      <c r="X227" s="48" t="n">
        <f aca="false">IF($A227="","",S227+T227)</f>
        <v>1586</v>
      </c>
      <c r="Y227" s="48" t="n">
        <f aca="false">IF($A227="","",MAX(0,E227-X227))</f>
        <v>1031</v>
      </c>
      <c r="Z227" s="53" t="n">
        <f aca="false">IF($A227="","",Y227*C227)</f>
        <v>1824.87</v>
      </c>
      <c r="AA227" s="56" t="str">
        <f aca="false">IF($A227="","",IF(E227&lt;=R227,"Below Safety Stock",IF(E227&lt;=S227,"Reorder Now",IF(E227&gt;X227,"Excess","Healthy"))))</f>
        <v>Excess</v>
      </c>
      <c r="AB227" s="48" t="n">
        <f aca="false">IF($A227="","",RANK(AF227,$AF$5:$AF$504,0)+COUNTIF($AF$5:AF227,AF227)-1)</f>
        <v>227</v>
      </c>
      <c r="AC227" s="44" t="str">
        <f aca="false">IF($A227="","",Weekly_Demand!B227)</f>
        <v>PHOTO FRAME CORNICE</v>
      </c>
      <c r="AD227" s="59" t="n">
        <f aca="false">IF($A227="","",H227*SQRT(D227))</f>
        <v>173.155175874493</v>
      </c>
      <c r="AE227" s="53" t="n">
        <f aca="false">IF($A227="","",AD227*C227)</f>
        <v>306.484661297853</v>
      </c>
      <c r="AF227" s="53" t="n">
        <f aca="false">IF($A227="","",ROUND(J227,2))</f>
        <v>5734.8</v>
      </c>
    </row>
    <row r="228" customFormat="false" ht="15" hidden="false" customHeight="false" outlineLevel="0" collapsed="false">
      <c r="A228" s="44" t="str">
        <f aca="false">IF(Weekly_Demand!A228="","",Weekly_Demand!A228)</f>
        <v>22169</v>
      </c>
      <c r="B228" s="44" t="str">
        <f aca="false">IF($A228="","",Weekly_Demand!C228)</f>
        <v>Other</v>
      </c>
      <c r="C228" s="45" t="n">
        <f aca="false">IF($A228="","",Weekly_Demand!D228)</f>
        <v>5.1</v>
      </c>
      <c r="D228" s="46" t="n">
        <f aca="false">IF($A228="","",Weekly_Demand!E228+Assumptions!$B$19)</f>
        <v>4</v>
      </c>
      <c r="E228" s="46" t="n">
        <f aca="false">IF($A228="","",Weekly_Demand!F228)</f>
        <v>22</v>
      </c>
      <c r="F228" s="46" t="n">
        <f aca="false">IF($A228="","",SUM(Weekly_Demand!G228:BF228))</f>
        <v>1118</v>
      </c>
      <c r="G228" s="51" t="n">
        <f aca="false">IF($A228="","",IFERROR(F228/Assumptions!$B$6,0))</f>
        <v>21.5</v>
      </c>
      <c r="H228" s="51" t="n">
        <f aca="false">IF($A228="","",STDEV(Weekly_Demand!G228:BF228))</f>
        <v>21.439838307848</v>
      </c>
      <c r="I228" s="52" t="n">
        <f aca="false">IF($A228="","",IFERROR(H228/G228,0))</f>
        <v>0.997201781760372</v>
      </c>
      <c r="J228" s="53" t="n">
        <f aca="false">IF($A228="","",F228*C228)</f>
        <v>5701.8</v>
      </c>
      <c r="K228" s="54" t="n">
        <f aca="false">IF($A228="","",IFERROR(J228/$J$505,0))</f>
        <v>0.00147535424155022</v>
      </c>
      <c r="L228" s="54" t="n">
        <f aca="false">IF($A228="","",IFERROR(SUMIFS($J$5:$J$504,$AB$5:$AB$504,"&lt;="&amp;AB228)/$J$505,0))</f>
        <v>0.719225196116815</v>
      </c>
      <c r="M228" s="55" t="str">
        <f aca="false">IF($A228="","",IF(L228&lt;=Assumptions!$B$7,"A",IF(L228&lt;=Assumptions!$B$8,"B","C")))</f>
        <v>A</v>
      </c>
      <c r="N228" s="55" t="str">
        <f aca="false">IF($A228="","",IF(I228&lt;=Assumptions!$B$9,"X",IF(I228&lt;=Assumptions!$B$10,"Y","Z")))</f>
        <v>Y</v>
      </c>
      <c r="O228" s="56" t="str">
        <f aca="false">IF($A228="","",M228&amp;N228)</f>
        <v>AY</v>
      </c>
      <c r="P228" s="57" t="n">
        <f aca="false">IF($A228="","",INDEX(Assumptions!$B$35:$B$37,MATCH(M228,Assumptions!$A$35:$A$37,0)))</f>
        <v>0.98</v>
      </c>
      <c r="Q228" s="58" t="n">
        <f aca="false">IF($A228="","",NORMSINV(P228))</f>
        <v>2.05374891063182</v>
      </c>
      <c r="R228" s="48" t="n">
        <f aca="false">IF($A228="","",ROUNDUP(Q228*H228*SQRT(D228),0))</f>
        <v>89</v>
      </c>
      <c r="S228" s="48" t="n">
        <f aca="false">IF($A228="","",ROUNDUP(G228*D228+R228,0))</f>
        <v>175</v>
      </c>
      <c r="T228" s="46" t="n">
        <f aca="false">IF($A228="","",IFERROR(ROUND(SQRT(2*F228*Assumptions!$B$4/(Assumptions!$B$5*C228)),0),0))</f>
        <v>296</v>
      </c>
      <c r="U228" s="53" t="n">
        <f aca="false">IF($A228="","",R228*C228)</f>
        <v>453.9</v>
      </c>
      <c r="V228" s="53" t="n">
        <f aca="false">IF($A228="","",E228*C228)</f>
        <v>112.2</v>
      </c>
      <c r="W228" s="59" t="n">
        <f aca="false">IF($A228="","",IFERROR(E228/G228,0))</f>
        <v>1.02325581395349</v>
      </c>
      <c r="X228" s="48" t="n">
        <f aca="false">IF($A228="","",S228+T228)</f>
        <v>471</v>
      </c>
      <c r="Y228" s="48" t="n">
        <f aca="false">IF($A228="","",MAX(0,E228-X228))</f>
        <v>0</v>
      </c>
      <c r="Z228" s="53" t="n">
        <f aca="false">IF($A228="","",Y228*C228)</f>
        <v>0</v>
      </c>
      <c r="AA228" s="56" t="str">
        <f aca="false">IF($A228="","",IF(E228&lt;=R228,"Below Safety Stock",IF(E228&lt;=S228,"Reorder Now",IF(E228&gt;X228,"Excess","Healthy"))))</f>
        <v>Below Safety Stock</v>
      </c>
      <c r="AB228" s="48" t="n">
        <f aca="false">IF($A228="","",RANK(AF228,$AF$5:$AF$504,0)+COUNTIF($AF$5:AF228,AF228)-1)</f>
        <v>229</v>
      </c>
      <c r="AC228" s="44" t="str">
        <f aca="false">IF($A228="","",Weekly_Demand!B228)</f>
        <v>FAMILY ALBUM WHITE PICTURE FRAME</v>
      </c>
      <c r="AD228" s="59" t="n">
        <f aca="false">IF($A228="","",H228*SQRT(D228))</f>
        <v>42.879676615696</v>
      </c>
      <c r="AE228" s="53" t="n">
        <f aca="false">IF($A228="","",AD228*C228)</f>
        <v>218.68635074005</v>
      </c>
      <c r="AF228" s="53" t="n">
        <f aca="false">IF($A228="","",ROUND(J228,2))</f>
        <v>5701.8</v>
      </c>
    </row>
    <row r="229" customFormat="false" ht="15" hidden="false" customHeight="false" outlineLevel="0" collapsed="false">
      <c r="A229" s="44" t="str">
        <f aca="false">IF(Weekly_Demand!A229="","",Weekly_Demand!A229)</f>
        <v>21914</v>
      </c>
      <c r="B229" s="44" t="str">
        <f aca="false">IF($A229="","",Weekly_Demand!C229)</f>
        <v>Other</v>
      </c>
      <c r="C229" s="45" t="n">
        <f aca="false">IF($A229="","",Weekly_Demand!D229)</f>
        <v>0.75</v>
      </c>
      <c r="D229" s="46" t="n">
        <f aca="false">IF($A229="","",Weekly_Demand!E229+Assumptions!$B$19)</f>
        <v>6</v>
      </c>
      <c r="E229" s="46" t="n">
        <f aca="false">IF($A229="","",Weekly_Demand!F229)</f>
        <v>1834</v>
      </c>
      <c r="F229" s="46" t="n">
        <f aca="false">IF($A229="","",SUM(Weekly_Demand!G229:BF229))</f>
        <v>7335</v>
      </c>
      <c r="G229" s="51" t="n">
        <f aca="false">IF($A229="","",IFERROR(F229/Assumptions!$B$6,0))</f>
        <v>141.057692307692</v>
      </c>
      <c r="H229" s="51" t="n">
        <f aca="false">IF($A229="","",STDEV(Weekly_Demand!G229:BF229))</f>
        <v>125.436713745835</v>
      </c>
      <c r="I229" s="52" t="n">
        <f aca="false">IF($A229="","",IFERROR(H229/G229,0))</f>
        <v>0.889258229690988</v>
      </c>
      <c r="J229" s="53" t="n">
        <f aca="false">IF($A229="","",F229*C229)</f>
        <v>5501.25</v>
      </c>
      <c r="K229" s="54" t="n">
        <f aca="false">IF($A229="","",IFERROR(J229/$J$505,0))</f>
        <v>0.00142346145451053</v>
      </c>
      <c r="L229" s="54" t="n">
        <f aca="false">IF($A229="","",IFERROR(SUMIFS($J$5:$J$504,$AB$5:$AB$504,"&lt;="&amp;AB229)/$J$505,0))</f>
        <v>0.726446622753999</v>
      </c>
      <c r="M229" s="55" t="str">
        <f aca="false">IF($A229="","",IF(L229&lt;=Assumptions!$B$7,"A",IF(L229&lt;=Assumptions!$B$8,"B","C")))</f>
        <v>A</v>
      </c>
      <c r="N229" s="55" t="str">
        <f aca="false">IF($A229="","",IF(I229&lt;=Assumptions!$B$9,"X",IF(I229&lt;=Assumptions!$B$10,"Y","Z")))</f>
        <v>Y</v>
      </c>
      <c r="O229" s="56" t="str">
        <f aca="false">IF($A229="","",M229&amp;N229)</f>
        <v>AY</v>
      </c>
      <c r="P229" s="57" t="n">
        <f aca="false">IF($A229="","",INDEX(Assumptions!$B$35:$B$37,MATCH(M229,Assumptions!$A$35:$A$37,0)))</f>
        <v>0.98</v>
      </c>
      <c r="Q229" s="58" t="n">
        <f aca="false">IF($A229="","",NORMSINV(P229))</f>
        <v>2.05374891063182</v>
      </c>
      <c r="R229" s="48" t="n">
        <f aca="false">IF($A229="","",ROUNDUP(Q229*H229*SQRT(D229),0))</f>
        <v>632</v>
      </c>
      <c r="S229" s="48" t="n">
        <f aca="false">IF($A229="","",ROUNDUP(G229*D229+R229,0))</f>
        <v>1479</v>
      </c>
      <c r="T229" s="46" t="n">
        <f aca="false">IF($A229="","",IFERROR(ROUND(SQRT(2*F229*Assumptions!$B$4/(Assumptions!$B$5*C229)),0),0))</f>
        <v>1978</v>
      </c>
      <c r="U229" s="53" t="n">
        <f aca="false">IF($A229="","",R229*C229)</f>
        <v>474</v>
      </c>
      <c r="V229" s="53" t="n">
        <f aca="false">IF($A229="","",E229*C229)</f>
        <v>1375.5</v>
      </c>
      <c r="W229" s="59" t="n">
        <f aca="false">IF($A229="","",IFERROR(E229/G229,0))</f>
        <v>13.0017723244717</v>
      </c>
      <c r="X229" s="48" t="n">
        <f aca="false">IF($A229="","",S229+T229)</f>
        <v>3457</v>
      </c>
      <c r="Y229" s="48" t="n">
        <f aca="false">IF($A229="","",MAX(0,E229-X229))</f>
        <v>0</v>
      </c>
      <c r="Z229" s="53" t="n">
        <f aca="false">IF($A229="","",Y229*C229)</f>
        <v>0</v>
      </c>
      <c r="AA229" s="56" t="str">
        <f aca="false">IF($A229="","",IF(E229&lt;=R229,"Below Safety Stock",IF(E229&lt;=S229,"Reorder Now",IF(E229&gt;X229,"Excess","Healthy"))))</f>
        <v>Healthy</v>
      </c>
      <c r="AB229" s="48" t="n">
        <f aca="false">IF($A229="","",RANK(AF229,$AF$5:$AF$504,0)+COUNTIF($AF$5:AF229,AF229)-1)</f>
        <v>234</v>
      </c>
      <c r="AC229" s="44" t="str">
        <f aca="false">IF($A229="","",Weekly_Demand!B229)</f>
        <v>BLUE HARMONICA IN BOX</v>
      </c>
      <c r="AD229" s="59" t="n">
        <f aca="false">IF($A229="","",H229*SQRT(D229))</f>
        <v>307.255943688852</v>
      </c>
      <c r="AE229" s="53" t="n">
        <f aca="false">IF($A229="","",AD229*C229)</f>
        <v>230.441957766639</v>
      </c>
      <c r="AF229" s="53" t="n">
        <f aca="false">IF($A229="","",ROUND(J229,2))</f>
        <v>5501.25</v>
      </c>
    </row>
    <row r="230" customFormat="false" ht="15" hidden="false" customHeight="false" outlineLevel="0" collapsed="false">
      <c r="A230" s="44" t="str">
        <f aca="false">IF(Weekly_Demand!A230="","",Weekly_Demand!A230)</f>
        <v>22621</v>
      </c>
      <c r="B230" s="44" t="str">
        <f aca="false">IF($A230="","",Weekly_Demand!C230)</f>
        <v>Other</v>
      </c>
      <c r="C230" s="45" t="n">
        <f aca="false">IF($A230="","",Weekly_Demand!D230)</f>
        <v>0.99</v>
      </c>
      <c r="D230" s="46" t="n">
        <f aca="false">IF($A230="","",Weekly_Demand!E230+Assumptions!$B$19)</f>
        <v>4</v>
      </c>
      <c r="E230" s="46" t="n">
        <f aca="false">IF($A230="","",Weekly_Demand!F230)</f>
        <v>1815</v>
      </c>
      <c r="F230" s="46" t="n">
        <f aca="false">IF($A230="","",SUM(Weekly_Demand!G230:BF230))</f>
        <v>5900</v>
      </c>
      <c r="G230" s="51" t="n">
        <f aca="false">IF($A230="","",IFERROR(F230/Assumptions!$B$6,0))</f>
        <v>113.461538461538</v>
      </c>
      <c r="H230" s="51" t="n">
        <f aca="false">IF($A230="","",STDEV(Weekly_Demand!G230:BF230))</f>
        <v>94.7474375541467</v>
      </c>
      <c r="I230" s="52" t="n">
        <f aca="false">IF($A230="","",IFERROR(H230/G230,0))</f>
        <v>0.835062161494174</v>
      </c>
      <c r="J230" s="53" t="n">
        <f aca="false">IF($A230="","",F230*C230)</f>
        <v>5841</v>
      </c>
      <c r="K230" s="54" t="n">
        <f aca="false">IF($A230="","",IFERROR(J230/$J$505,0))</f>
        <v>0.00151137257092406</v>
      </c>
      <c r="L230" s="54" t="n">
        <f aca="false">IF($A230="","",IFERROR(SUMIFS($J$5:$J$504,$AB$5:$AB$504,"&lt;="&amp;AB230)/$J$505,0))</f>
        <v>0.710294929522943</v>
      </c>
      <c r="M230" s="55" t="str">
        <f aca="false">IF($A230="","",IF(L230&lt;=Assumptions!$B$7,"A",IF(L230&lt;=Assumptions!$B$8,"B","C")))</f>
        <v>A</v>
      </c>
      <c r="N230" s="55" t="str">
        <f aca="false">IF($A230="","",IF(I230&lt;=Assumptions!$B$9,"X",IF(I230&lt;=Assumptions!$B$10,"Y","Z")))</f>
        <v>Y</v>
      </c>
      <c r="O230" s="56" t="str">
        <f aca="false">IF($A230="","",M230&amp;N230)</f>
        <v>AY</v>
      </c>
      <c r="P230" s="57" t="n">
        <f aca="false">IF($A230="","",INDEX(Assumptions!$B$35:$B$37,MATCH(M230,Assumptions!$A$35:$A$37,0)))</f>
        <v>0.98</v>
      </c>
      <c r="Q230" s="58" t="n">
        <f aca="false">IF($A230="","",NORMSINV(P230))</f>
        <v>2.05374891063182</v>
      </c>
      <c r="R230" s="48" t="n">
        <f aca="false">IF($A230="","",ROUNDUP(Q230*H230*SQRT(D230),0))</f>
        <v>390</v>
      </c>
      <c r="S230" s="48" t="n">
        <f aca="false">IF($A230="","",ROUNDUP(G230*D230+R230,0))</f>
        <v>844</v>
      </c>
      <c r="T230" s="46" t="n">
        <f aca="false">IF($A230="","",IFERROR(ROUND(SQRT(2*F230*Assumptions!$B$4/(Assumptions!$B$5*C230)),0),0))</f>
        <v>1544</v>
      </c>
      <c r="U230" s="53" t="n">
        <f aca="false">IF($A230="","",R230*C230)</f>
        <v>386.1</v>
      </c>
      <c r="V230" s="53" t="n">
        <f aca="false">IF($A230="","",E230*C230)</f>
        <v>1796.85</v>
      </c>
      <c r="W230" s="59" t="n">
        <f aca="false">IF($A230="","",IFERROR(E230/G230,0))</f>
        <v>15.9966101694915</v>
      </c>
      <c r="X230" s="48" t="n">
        <f aca="false">IF($A230="","",S230+T230)</f>
        <v>2388</v>
      </c>
      <c r="Y230" s="48" t="n">
        <f aca="false">IF($A230="","",MAX(0,E230-X230))</f>
        <v>0</v>
      </c>
      <c r="Z230" s="53" t="n">
        <f aca="false">IF($A230="","",Y230*C230)</f>
        <v>0</v>
      </c>
      <c r="AA230" s="56" t="str">
        <f aca="false">IF($A230="","",IF(E230&lt;=R230,"Below Safety Stock",IF(E230&lt;=S230,"Reorder Now",IF(E230&gt;X230,"Excess","Healthy"))))</f>
        <v>Healthy</v>
      </c>
      <c r="AB230" s="48" t="n">
        <f aca="false">IF($A230="","",RANK(AF230,$AF$5:$AF$504,0)+COUNTIF($AF$5:AF230,AF230)-1)</f>
        <v>223</v>
      </c>
      <c r="AC230" s="44" t="str">
        <f aca="false">IF($A230="","",Weekly_Demand!B230)</f>
        <v>TRADITIONAL KNITTING NANCY</v>
      </c>
      <c r="AD230" s="59" t="n">
        <f aca="false">IF($A230="","",H230*SQRT(D230))</f>
        <v>189.494875108293</v>
      </c>
      <c r="AE230" s="53" t="n">
        <f aca="false">IF($A230="","",AD230*C230)</f>
        <v>187.59992635721</v>
      </c>
      <c r="AF230" s="53" t="n">
        <f aca="false">IF($A230="","",ROUND(J230,2))</f>
        <v>5841</v>
      </c>
    </row>
    <row r="231" customFormat="false" ht="15" hidden="false" customHeight="false" outlineLevel="0" collapsed="false">
      <c r="A231" s="44" t="str">
        <f aca="false">IF(Weekly_Demand!A231="","",Weekly_Demand!A231)</f>
        <v>21559</v>
      </c>
      <c r="B231" s="44" t="str">
        <f aca="false">IF($A231="","",Weekly_Demand!C231)</f>
        <v>Other</v>
      </c>
      <c r="C231" s="45" t="n">
        <f aca="false">IF($A231="","",Weekly_Demand!D231)</f>
        <v>1.53</v>
      </c>
      <c r="D231" s="46" t="n">
        <f aca="false">IF($A231="","",Weekly_Demand!E231+Assumptions!$B$19)</f>
        <v>8</v>
      </c>
      <c r="E231" s="46" t="n">
        <f aca="false">IF($A231="","",Weekly_Demand!F231)</f>
        <v>819</v>
      </c>
      <c r="F231" s="46" t="n">
        <f aca="false">IF($A231="","",SUM(Weekly_Demand!G231:BF231))</f>
        <v>3872</v>
      </c>
      <c r="G231" s="51" t="n">
        <f aca="false">IF($A231="","",IFERROR(F231/Assumptions!$B$6,0))</f>
        <v>74.4615384615385</v>
      </c>
      <c r="H231" s="51" t="n">
        <f aca="false">IF($A231="","",STDEV(Weekly_Demand!G231:BF231))</f>
        <v>58.8802245634776</v>
      </c>
      <c r="I231" s="52" t="n">
        <f aca="false">IF($A231="","",IFERROR(H231/G231,0))</f>
        <v>0.79074681748472</v>
      </c>
      <c r="J231" s="53" t="n">
        <f aca="false">IF($A231="","",F231*C231)</f>
        <v>5924.16</v>
      </c>
      <c r="K231" s="54" t="n">
        <f aca="false">IF($A231="","",IFERROR(J231/$J$505,0))</f>
        <v>0.00153289041769654</v>
      </c>
      <c r="L231" s="54" t="n">
        <f aca="false">IF($A231="","",IFERROR(SUMIFS($J$5:$J$504,$AB$5:$AB$504,"&lt;="&amp;AB231)/$J$505,0))</f>
        <v>0.705746567492412</v>
      </c>
      <c r="M231" s="55" t="str">
        <f aca="false">IF($A231="","",IF(L231&lt;=Assumptions!$B$7,"A",IF(L231&lt;=Assumptions!$B$8,"B","C")))</f>
        <v>A</v>
      </c>
      <c r="N231" s="55" t="str">
        <f aca="false">IF($A231="","",IF(I231&lt;=Assumptions!$B$9,"X",IF(I231&lt;=Assumptions!$B$10,"Y","Z")))</f>
        <v>Y</v>
      </c>
      <c r="O231" s="56" t="str">
        <f aca="false">IF($A231="","",M231&amp;N231)</f>
        <v>AY</v>
      </c>
      <c r="P231" s="57" t="n">
        <f aca="false">IF($A231="","",INDEX(Assumptions!$B$35:$B$37,MATCH(M231,Assumptions!$A$35:$A$37,0)))</f>
        <v>0.98</v>
      </c>
      <c r="Q231" s="58" t="n">
        <f aca="false">IF($A231="","",NORMSINV(P231))</f>
        <v>2.05374891063182</v>
      </c>
      <c r="R231" s="48" t="n">
        <f aca="false">IF($A231="","",ROUNDUP(Q231*H231*SQRT(D231),0))</f>
        <v>343</v>
      </c>
      <c r="S231" s="48" t="n">
        <f aca="false">IF($A231="","",ROUNDUP(G231*D231+R231,0))</f>
        <v>939</v>
      </c>
      <c r="T231" s="46" t="n">
        <f aca="false">IF($A231="","",IFERROR(ROUND(SQRT(2*F231*Assumptions!$B$4/(Assumptions!$B$5*C231)),0),0))</f>
        <v>1006</v>
      </c>
      <c r="U231" s="53" t="n">
        <f aca="false">IF($A231="","",R231*C231)</f>
        <v>524.79</v>
      </c>
      <c r="V231" s="53" t="n">
        <f aca="false">IF($A231="","",E231*C231)</f>
        <v>1253.07</v>
      </c>
      <c r="W231" s="59" t="n">
        <f aca="false">IF($A231="","",IFERROR(E231/G231,0))</f>
        <v>10.9989669421488</v>
      </c>
      <c r="X231" s="48" t="n">
        <f aca="false">IF($A231="","",S231+T231)</f>
        <v>1945</v>
      </c>
      <c r="Y231" s="48" t="n">
        <f aca="false">IF($A231="","",MAX(0,E231-X231))</f>
        <v>0</v>
      </c>
      <c r="Z231" s="53" t="n">
        <f aca="false">IF($A231="","",Y231*C231)</f>
        <v>0</v>
      </c>
      <c r="AA231" s="56" t="str">
        <f aca="false">IF($A231="","",IF(E231&lt;=R231,"Below Safety Stock",IF(E231&lt;=S231,"Reorder Now",IF(E231&gt;X231,"Excess","Healthy"))))</f>
        <v>Reorder Now</v>
      </c>
      <c r="AB231" s="48" t="n">
        <f aca="false">IF($A231="","",RANK(AF231,$AF$5:$AF$504,0)+COUNTIF($AF$5:AF231,AF231)-1)</f>
        <v>220</v>
      </c>
      <c r="AC231" s="44" t="str">
        <f aca="false">IF($A231="","",Weekly_Demand!B231)</f>
        <v>STRAWBERRY LUNCH BOX WITH CUTLERY</v>
      </c>
      <c r="AD231" s="59" t="n">
        <f aca="false">IF($A231="","",H231*SQRT(D231))</f>
        <v>166.538424266487</v>
      </c>
      <c r="AE231" s="53" t="n">
        <f aca="false">IF($A231="","",AD231*C231)</f>
        <v>254.803789127725</v>
      </c>
      <c r="AF231" s="53" t="n">
        <f aca="false">IF($A231="","",ROUND(J231,2))</f>
        <v>5924.16</v>
      </c>
    </row>
    <row r="232" customFormat="false" ht="15" hidden="false" customHeight="false" outlineLevel="0" collapsed="false">
      <c r="A232" s="44" t="str">
        <f aca="false">IF(Weekly_Demand!A232="","",Weekly_Demand!A232)</f>
        <v>22978</v>
      </c>
      <c r="B232" s="44" t="str">
        <f aca="false">IF($A232="","",Weekly_Demand!C232)</f>
        <v>Other</v>
      </c>
      <c r="C232" s="45" t="n">
        <f aca="false">IF($A232="","",Weekly_Demand!D232)</f>
        <v>2.25</v>
      </c>
      <c r="D232" s="46" t="n">
        <f aca="false">IF($A232="","",Weekly_Demand!E232+Assumptions!$B$19)</f>
        <v>6</v>
      </c>
      <c r="E232" s="46" t="n">
        <f aca="false">IF($A232="","",Weekly_Demand!F232)</f>
        <v>662</v>
      </c>
      <c r="F232" s="46" t="n">
        <f aca="false">IF($A232="","",SUM(Weekly_Demand!G232:BF232))</f>
        <v>2458</v>
      </c>
      <c r="G232" s="51" t="n">
        <f aca="false">IF($A232="","",IFERROR(F232/Assumptions!$B$6,0))</f>
        <v>47.2692307692308</v>
      </c>
      <c r="H232" s="51" t="n">
        <f aca="false">IF($A232="","",STDEV(Weekly_Demand!G232:BF232))</f>
        <v>105.769656381977</v>
      </c>
      <c r="I232" s="52" t="n">
        <f aca="false">IF($A232="","",IFERROR(H232/G232,0))</f>
        <v>2.23760054184816</v>
      </c>
      <c r="J232" s="53" t="n">
        <f aca="false">IF($A232="","",F232*C232)</f>
        <v>5530.5</v>
      </c>
      <c r="K232" s="54" t="n">
        <f aca="false">IF($A232="","",IFERROR(J232/$J$505,0))</f>
        <v>0.00143102996122163</v>
      </c>
      <c r="L232" s="54" t="n">
        <f aca="false">IF($A232="","",IFERROR(SUMIFS($J$5:$J$504,$AB$5:$AB$504,"&lt;="&amp;AB232)/$J$505,0))</f>
        <v>0.725023161299489</v>
      </c>
      <c r="M232" s="55" t="str">
        <f aca="false">IF($A232="","",IF(L232&lt;=Assumptions!$B$7,"A",IF(L232&lt;=Assumptions!$B$8,"B","C")))</f>
        <v>A</v>
      </c>
      <c r="N232" s="55" t="str">
        <f aca="false">IF($A232="","",IF(I232&lt;=Assumptions!$B$9,"X",IF(I232&lt;=Assumptions!$B$10,"Y","Z")))</f>
        <v>Z</v>
      </c>
      <c r="O232" s="56" t="str">
        <f aca="false">IF($A232="","",M232&amp;N232)</f>
        <v>AZ</v>
      </c>
      <c r="P232" s="57" t="n">
        <f aca="false">IF($A232="","",INDEX(Assumptions!$B$35:$B$37,MATCH(M232,Assumptions!$A$35:$A$37,0)))</f>
        <v>0.98</v>
      </c>
      <c r="Q232" s="58" t="n">
        <f aca="false">IF($A232="","",NORMSINV(P232))</f>
        <v>2.05374891063182</v>
      </c>
      <c r="R232" s="48" t="n">
        <f aca="false">IF($A232="","",ROUNDUP(Q232*H232*SQRT(D232),0))</f>
        <v>533</v>
      </c>
      <c r="S232" s="48" t="n">
        <f aca="false">IF($A232="","",ROUNDUP(G232*D232+R232,0))</f>
        <v>817</v>
      </c>
      <c r="T232" s="46" t="n">
        <f aca="false">IF($A232="","",IFERROR(ROUND(SQRT(2*F232*Assumptions!$B$4/(Assumptions!$B$5*C232)),0),0))</f>
        <v>661</v>
      </c>
      <c r="U232" s="53" t="n">
        <f aca="false">IF($A232="","",R232*C232)</f>
        <v>1199.25</v>
      </c>
      <c r="V232" s="53" t="n">
        <f aca="false">IF($A232="","",E232*C232)</f>
        <v>1489.5</v>
      </c>
      <c r="W232" s="59" t="n">
        <f aca="false">IF($A232="","",IFERROR(E232/G232,0))</f>
        <v>14.0048820179007</v>
      </c>
      <c r="X232" s="48" t="n">
        <f aca="false">IF($A232="","",S232+T232)</f>
        <v>1478</v>
      </c>
      <c r="Y232" s="48" t="n">
        <f aca="false">IF($A232="","",MAX(0,E232-X232))</f>
        <v>0</v>
      </c>
      <c r="Z232" s="53" t="n">
        <f aca="false">IF($A232="","",Y232*C232)</f>
        <v>0</v>
      </c>
      <c r="AA232" s="56" t="str">
        <f aca="false">IF($A232="","",IF(E232&lt;=R232,"Below Safety Stock",IF(E232&lt;=S232,"Reorder Now",IF(E232&gt;X232,"Excess","Healthy"))))</f>
        <v>Reorder Now</v>
      </c>
      <c r="AB232" s="48" t="n">
        <f aca="false">IF($A232="","",RANK(AF232,$AF$5:$AF$504,0)+COUNTIF($AF$5:AF232,AF232)-1)</f>
        <v>233</v>
      </c>
      <c r="AC232" s="44" t="str">
        <f aca="false">IF($A232="","",Weekly_Demand!B232)</f>
        <v>PANTRY ROLLING PIN</v>
      </c>
      <c r="AD232" s="59" t="n">
        <f aca="false">IF($A232="","",H232*SQRT(D232))</f>
        <v>259.081688405353</v>
      </c>
      <c r="AE232" s="53" t="n">
        <f aca="false">IF($A232="","",AD232*C232)</f>
        <v>582.933798912044</v>
      </c>
      <c r="AF232" s="53" t="n">
        <f aca="false">IF($A232="","",ROUND(J232,2))</f>
        <v>5530.5</v>
      </c>
    </row>
    <row r="233" customFormat="false" ht="15" hidden="false" customHeight="false" outlineLevel="0" collapsed="false">
      <c r="A233" s="44" t="str">
        <f aca="false">IF(Weekly_Demand!A233="","",Weekly_Demand!A233)</f>
        <v>23175</v>
      </c>
      <c r="B233" s="44" t="str">
        <f aca="false">IF($A233="","",Weekly_Demand!C233)</f>
        <v>Other</v>
      </c>
      <c r="C233" s="45" t="n">
        <f aca="false">IF($A233="","",Weekly_Demand!D233)</f>
        <v>1.95</v>
      </c>
      <c r="D233" s="46" t="n">
        <f aca="false">IF($A233="","",Weekly_Demand!E233+Assumptions!$B$19)</f>
        <v>8</v>
      </c>
      <c r="E233" s="46" t="n">
        <f aca="false">IF($A233="","",Weekly_Demand!F233)</f>
        <v>847</v>
      </c>
      <c r="F233" s="46" t="n">
        <f aca="false">IF($A233="","",SUM(Weekly_Demand!G233:BF233))</f>
        <v>3147</v>
      </c>
      <c r="G233" s="51" t="n">
        <f aca="false">IF($A233="","",IFERROR(F233/Assumptions!$B$6,0))</f>
        <v>60.5192307692308</v>
      </c>
      <c r="H233" s="51" t="n">
        <f aca="false">IF($A233="","",STDEV(Weekly_Demand!G233:BF233))</f>
        <v>123.347983822688</v>
      </c>
      <c r="I233" s="52" t="n">
        <f aca="false">IF($A233="","",IFERROR(H233/G233,0))</f>
        <v>2.03816179179529</v>
      </c>
      <c r="J233" s="53" t="n">
        <f aca="false">IF($A233="","",F233*C233)</f>
        <v>6136.65</v>
      </c>
      <c r="K233" s="54" t="n">
        <f aca="false">IF($A233="","",IFERROR(J233/$J$505,0))</f>
        <v>0.00158787270798855</v>
      </c>
      <c r="L233" s="54" t="n">
        <f aca="false">IF($A233="","",IFERROR(SUMIFS($J$5:$J$504,$AB$5:$AB$504,"&lt;="&amp;AB233)/$J$505,0))</f>
        <v>0.685459709226853</v>
      </c>
      <c r="M233" s="55" t="str">
        <f aca="false">IF($A233="","",IF(L233&lt;=Assumptions!$B$7,"A",IF(L233&lt;=Assumptions!$B$8,"B","C")))</f>
        <v>A</v>
      </c>
      <c r="N233" s="55" t="str">
        <f aca="false">IF($A233="","",IF(I233&lt;=Assumptions!$B$9,"X",IF(I233&lt;=Assumptions!$B$10,"Y","Z")))</f>
        <v>Z</v>
      </c>
      <c r="O233" s="56" t="str">
        <f aca="false">IF($A233="","",M233&amp;N233)</f>
        <v>AZ</v>
      </c>
      <c r="P233" s="57" t="n">
        <f aca="false">IF($A233="","",INDEX(Assumptions!$B$35:$B$37,MATCH(M233,Assumptions!$A$35:$A$37,0)))</f>
        <v>0.98</v>
      </c>
      <c r="Q233" s="58" t="n">
        <f aca="false">IF($A233="","",NORMSINV(P233))</f>
        <v>2.05374891063182</v>
      </c>
      <c r="R233" s="48" t="n">
        <f aca="false">IF($A233="","",ROUNDUP(Q233*H233*SQRT(D233),0))</f>
        <v>717</v>
      </c>
      <c r="S233" s="48" t="n">
        <f aca="false">IF($A233="","",ROUNDUP(G233*D233+R233,0))</f>
        <v>1202</v>
      </c>
      <c r="T233" s="46" t="n">
        <f aca="false">IF($A233="","",IFERROR(ROUND(SQRT(2*F233*Assumptions!$B$4/(Assumptions!$B$5*C233)),0),0))</f>
        <v>803</v>
      </c>
      <c r="U233" s="53" t="n">
        <f aca="false">IF($A233="","",R233*C233)</f>
        <v>1398.15</v>
      </c>
      <c r="V233" s="53" t="n">
        <f aca="false">IF($A233="","",E233*C233)</f>
        <v>1651.65</v>
      </c>
      <c r="W233" s="59" t="n">
        <f aca="false">IF($A233="","",IFERROR(E233/G233,0))</f>
        <v>13.9955513187162</v>
      </c>
      <c r="X233" s="48" t="n">
        <f aca="false">IF($A233="","",S233+T233)</f>
        <v>2005</v>
      </c>
      <c r="Y233" s="48" t="n">
        <f aca="false">IF($A233="","",MAX(0,E233-X233))</f>
        <v>0</v>
      </c>
      <c r="Z233" s="53" t="n">
        <f aca="false">IF($A233="","",Y233*C233)</f>
        <v>0</v>
      </c>
      <c r="AA233" s="56" t="str">
        <f aca="false">IF($A233="","",IF(E233&lt;=R233,"Below Safety Stock",IF(E233&lt;=S233,"Reorder Now",IF(E233&gt;X233,"Excess","Healthy"))))</f>
        <v>Reorder Now</v>
      </c>
      <c r="AB233" s="48" t="n">
        <f aca="false">IF($A233="","",RANK(AF233,$AF$5:$AF$504,0)+COUNTIF($AF$5:AF233,AF233)-1)</f>
        <v>207</v>
      </c>
      <c r="AC233" s="44" t="str">
        <f aca="false">IF($A233="","",Weekly_Demand!B233)</f>
        <v>REGENCY MILK JUG PINK</v>
      </c>
      <c r="AD233" s="59" t="n">
        <f aca="false">IF($A233="","",H233*SQRT(D233))</f>
        <v>348.880783226846</v>
      </c>
      <c r="AE233" s="53" t="n">
        <f aca="false">IF($A233="","",AD233*C233)</f>
        <v>680.317527292349</v>
      </c>
      <c r="AF233" s="53" t="n">
        <f aca="false">IF($A233="","",ROUND(J233,2))</f>
        <v>6136.65</v>
      </c>
    </row>
    <row r="234" customFormat="false" ht="15" hidden="false" customHeight="false" outlineLevel="0" collapsed="false">
      <c r="A234" s="44" t="str">
        <f aca="false">IF(Weekly_Demand!A234="","",Weekly_Demand!A234)</f>
        <v>22838</v>
      </c>
      <c r="B234" s="44" t="str">
        <f aca="false">IF($A234="","",Weekly_Demand!C234)</f>
        <v>Kitchen</v>
      </c>
      <c r="C234" s="45" t="n">
        <f aca="false">IF($A234="","",Weekly_Demand!D234)</f>
        <v>8.97</v>
      </c>
      <c r="D234" s="46" t="n">
        <f aca="false">IF($A234="","",Weekly_Demand!E234+Assumptions!$B$19)</f>
        <v>6</v>
      </c>
      <c r="E234" s="46" t="n">
        <f aca="false">IF($A234="","",Weekly_Demand!F234)</f>
        <v>156</v>
      </c>
      <c r="F234" s="46" t="n">
        <f aca="false">IF($A234="","",SUM(Weekly_Demand!G234:BF234))</f>
        <v>675</v>
      </c>
      <c r="G234" s="51" t="n">
        <f aca="false">IF($A234="","",IFERROR(F234/Assumptions!$B$6,0))</f>
        <v>12.9807692307692</v>
      </c>
      <c r="H234" s="51" t="n">
        <f aca="false">IF($A234="","",STDEV(Weekly_Demand!G234:BF234))</f>
        <v>23.3838308344617</v>
      </c>
      <c r="I234" s="52" t="n">
        <f aca="false">IF($A234="","",IFERROR(H234/G234,0))</f>
        <v>1.80142104206223</v>
      </c>
      <c r="J234" s="53" t="n">
        <f aca="false">IF($A234="","",F234*C234)</f>
        <v>6054.75</v>
      </c>
      <c r="K234" s="54" t="n">
        <f aca="false">IF($A234="","",IFERROR(J234/$J$505,0))</f>
        <v>0.00156668088919748</v>
      </c>
      <c r="L234" s="54" t="n">
        <f aca="false">IF($A234="","",IFERROR(SUMIFS($J$5:$J$504,$AB$5:$AB$504,"&lt;="&amp;AB234)/$J$505,0))</f>
        <v>0.694908333918411</v>
      </c>
      <c r="M234" s="55" t="str">
        <f aca="false">IF($A234="","",IF(L234&lt;=Assumptions!$B$7,"A",IF(L234&lt;=Assumptions!$B$8,"B","C")))</f>
        <v>A</v>
      </c>
      <c r="N234" s="55" t="str">
        <f aca="false">IF($A234="","",IF(I234&lt;=Assumptions!$B$9,"X",IF(I234&lt;=Assumptions!$B$10,"Y","Z")))</f>
        <v>Z</v>
      </c>
      <c r="O234" s="56" t="str">
        <f aca="false">IF($A234="","",M234&amp;N234)</f>
        <v>AZ</v>
      </c>
      <c r="P234" s="57" t="n">
        <f aca="false">IF($A234="","",INDEX(Assumptions!$B$35:$B$37,MATCH(M234,Assumptions!$A$35:$A$37,0)))</f>
        <v>0.98</v>
      </c>
      <c r="Q234" s="58" t="n">
        <f aca="false">IF($A234="","",NORMSINV(P234))</f>
        <v>2.05374891063182</v>
      </c>
      <c r="R234" s="48" t="n">
        <f aca="false">IF($A234="","",ROUNDUP(Q234*H234*SQRT(D234),0))</f>
        <v>118</v>
      </c>
      <c r="S234" s="48" t="n">
        <f aca="false">IF($A234="","",ROUNDUP(G234*D234+R234,0))</f>
        <v>196</v>
      </c>
      <c r="T234" s="46" t="n">
        <f aca="false">IF($A234="","",IFERROR(ROUND(SQRT(2*F234*Assumptions!$B$4/(Assumptions!$B$5*C234)),0),0))</f>
        <v>173</v>
      </c>
      <c r="U234" s="53" t="n">
        <f aca="false">IF($A234="","",R234*C234)</f>
        <v>1058.46</v>
      </c>
      <c r="V234" s="53" t="n">
        <f aca="false">IF($A234="","",E234*C234)</f>
        <v>1399.32</v>
      </c>
      <c r="W234" s="59" t="n">
        <f aca="false">IF($A234="","",IFERROR(E234/G234,0))</f>
        <v>12.0177777777778</v>
      </c>
      <c r="X234" s="48" t="n">
        <f aca="false">IF($A234="","",S234+T234)</f>
        <v>369</v>
      </c>
      <c r="Y234" s="48" t="n">
        <f aca="false">IF($A234="","",MAX(0,E234-X234))</f>
        <v>0</v>
      </c>
      <c r="Z234" s="53" t="n">
        <f aca="false">IF($A234="","",Y234*C234)</f>
        <v>0</v>
      </c>
      <c r="AA234" s="56" t="str">
        <f aca="false">IF($A234="","",IF(E234&lt;=R234,"Below Safety Stock",IF(E234&lt;=S234,"Reorder Now",IF(E234&gt;X234,"Excess","Healthy"))))</f>
        <v>Reorder Now</v>
      </c>
      <c r="AB234" s="48" t="n">
        <f aca="false">IF($A234="","",RANK(AF234,$AF$5:$AF$504,0)+COUNTIF($AF$5:AF234,AF234)-1)</f>
        <v>213</v>
      </c>
      <c r="AC234" s="44" t="str">
        <f aca="false">IF($A234="","",Weekly_Demand!B234)</f>
        <v>3 TIER CAKE TIN RED AND CREAM</v>
      </c>
      <c r="AD234" s="59" t="n">
        <f aca="false">IF($A234="","",H234*SQRT(D234))</f>
        <v>57.2784537759909</v>
      </c>
      <c r="AE234" s="53" t="n">
        <f aca="false">IF($A234="","",AD234*C234)</f>
        <v>513.787730370638</v>
      </c>
      <c r="AF234" s="53" t="n">
        <f aca="false">IF($A234="","",ROUND(J234,2))</f>
        <v>6054.75</v>
      </c>
    </row>
    <row r="235" customFormat="false" ht="15" hidden="false" customHeight="false" outlineLevel="0" collapsed="false">
      <c r="A235" s="44" t="str">
        <f aca="false">IF(Weekly_Demand!A235="","",Weekly_Demand!A235)</f>
        <v>22791</v>
      </c>
      <c r="B235" s="44" t="str">
        <f aca="false">IF($A235="","",Weekly_Demand!C235)</f>
        <v>Lighting</v>
      </c>
      <c r="C235" s="45" t="n">
        <f aca="false">IF($A235="","",Weekly_Demand!D235)</f>
        <v>0.75</v>
      </c>
      <c r="D235" s="46" t="n">
        <f aca="false">IF($A235="","",Weekly_Demand!E235+Assumptions!$B$19)</f>
        <v>8</v>
      </c>
      <c r="E235" s="46" t="n">
        <f aca="false">IF($A235="","",Weekly_Demand!F235)</f>
        <v>879</v>
      </c>
      <c r="F235" s="46" t="n">
        <f aca="false">IF($A235="","",SUM(Weekly_Demand!G235:BF235))</f>
        <v>7615</v>
      </c>
      <c r="G235" s="51" t="n">
        <f aca="false">IF($A235="","",IFERROR(F235/Assumptions!$B$6,0))</f>
        <v>146.442307692308</v>
      </c>
      <c r="H235" s="51" t="n">
        <f aca="false">IF($A235="","",STDEV(Weekly_Demand!G235:BF235))</f>
        <v>127.89677416428</v>
      </c>
      <c r="I235" s="52" t="n">
        <f aca="false">IF($A235="","",IFERROR(H235/G235,0))</f>
        <v>0.873359455882152</v>
      </c>
      <c r="J235" s="53" t="n">
        <f aca="false">IF($A235="","",F235*C235)</f>
        <v>5711.25</v>
      </c>
      <c r="K235" s="54" t="n">
        <f aca="false">IF($A235="","",IFERROR(J235/$J$505,0))</f>
        <v>0.00147779945141073</v>
      </c>
      <c r="L235" s="54" t="n">
        <f aca="false">IF($A235="","",IFERROR(SUMIFS($J$5:$J$504,$AB$5:$AB$504,"&lt;="&amp;AB235)/$J$505,0))</f>
        <v>0.717749841875265</v>
      </c>
      <c r="M235" s="55" t="str">
        <f aca="false">IF($A235="","",IF(L235&lt;=Assumptions!$B$7,"A",IF(L235&lt;=Assumptions!$B$8,"B","C")))</f>
        <v>A</v>
      </c>
      <c r="N235" s="55" t="str">
        <f aca="false">IF($A235="","",IF(I235&lt;=Assumptions!$B$9,"X",IF(I235&lt;=Assumptions!$B$10,"Y","Z")))</f>
        <v>Y</v>
      </c>
      <c r="O235" s="56" t="str">
        <f aca="false">IF($A235="","",M235&amp;N235)</f>
        <v>AY</v>
      </c>
      <c r="P235" s="57" t="n">
        <f aca="false">IF($A235="","",INDEX(Assumptions!$B$35:$B$37,MATCH(M235,Assumptions!$A$35:$A$37,0)))</f>
        <v>0.98</v>
      </c>
      <c r="Q235" s="58" t="n">
        <f aca="false">IF($A235="","",NORMSINV(P235))</f>
        <v>2.05374891063182</v>
      </c>
      <c r="R235" s="48" t="n">
        <f aca="false">IF($A235="","",ROUNDUP(Q235*H235*SQRT(D235),0))</f>
        <v>743</v>
      </c>
      <c r="S235" s="48" t="n">
        <f aca="false">IF($A235="","",ROUNDUP(G235*D235+R235,0))</f>
        <v>1915</v>
      </c>
      <c r="T235" s="46" t="n">
        <f aca="false">IF($A235="","",IFERROR(ROUND(SQRT(2*F235*Assumptions!$B$4/(Assumptions!$B$5*C235)),0),0))</f>
        <v>2015</v>
      </c>
      <c r="U235" s="53" t="n">
        <f aca="false">IF($A235="","",R235*C235)</f>
        <v>557.25</v>
      </c>
      <c r="V235" s="53" t="n">
        <f aca="false">IF($A235="","",E235*C235)</f>
        <v>659.25</v>
      </c>
      <c r="W235" s="59" t="n">
        <f aca="false">IF($A235="","",IFERROR(E235/G235,0))</f>
        <v>6.00236375574524</v>
      </c>
      <c r="X235" s="48" t="n">
        <f aca="false">IF($A235="","",S235+T235)</f>
        <v>3930</v>
      </c>
      <c r="Y235" s="48" t="n">
        <f aca="false">IF($A235="","",MAX(0,E235-X235))</f>
        <v>0</v>
      </c>
      <c r="Z235" s="53" t="n">
        <f aca="false">IF($A235="","",Y235*C235)</f>
        <v>0</v>
      </c>
      <c r="AA235" s="56" t="str">
        <f aca="false">IF($A235="","",IF(E235&lt;=R235,"Below Safety Stock",IF(E235&lt;=S235,"Reorder Now",IF(E235&gt;X235,"Excess","Healthy"))))</f>
        <v>Reorder Now</v>
      </c>
      <c r="AB235" s="48" t="n">
        <f aca="false">IF($A235="","",RANK(AF235,$AF$5:$AF$504,0)+COUNTIF($AF$5:AF235,AF235)-1)</f>
        <v>228</v>
      </c>
      <c r="AC235" s="44" t="str">
        <f aca="false">IF($A235="","",Weekly_Demand!B235)</f>
        <v>T-LIGHT GLASS FLUTED ANTIQUE</v>
      </c>
      <c r="AD235" s="59" t="n">
        <f aca="false">IF($A235="","",H235*SQRT(D235))</f>
        <v>361.746705213789</v>
      </c>
      <c r="AE235" s="53" t="n">
        <f aca="false">IF($A235="","",AD235*C235)</f>
        <v>271.310028910341</v>
      </c>
      <c r="AF235" s="53" t="n">
        <f aca="false">IF($A235="","",ROUND(J235,2))</f>
        <v>5711.25</v>
      </c>
    </row>
    <row r="236" customFormat="false" ht="15" hidden="false" customHeight="false" outlineLevel="0" collapsed="false">
      <c r="A236" s="44" t="str">
        <f aca="false">IF(Weekly_Demand!A236="","",Weekly_Demand!A236)</f>
        <v>22844</v>
      </c>
      <c r="B236" s="44" t="str">
        <f aca="false">IF($A236="","",Weekly_Demand!C236)</f>
        <v>Other</v>
      </c>
      <c r="C236" s="45" t="n">
        <f aca="false">IF($A236="","",Weekly_Demand!D236)</f>
        <v>5.1</v>
      </c>
      <c r="D236" s="46" t="n">
        <f aca="false">IF($A236="","",Weekly_Demand!E236+Assumptions!$B$19)</f>
        <v>2</v>
      </c>
      <c r="E236" s="46" t="n">
        <f aca="false">IF($A236="","",Weekly_Demand!F236)</f>
        <v>526</v>
      </c>
      <c r="F236" s="46" t="n">
        <f aca="false">IF($A236="","",SUM(Weekly_Demand!G236:BF236))</f>
        <v>976</v>
      </c>
      <c r="G236" s="51" t="n">
        <f aca="false">IF($A236="","",IFERROR(F236/Assumptions!$B$6,0))</f>
        <v>18.7692307692308</v>
      </c>
      <c r="H236" s="51" t="n">
        <f aca="false">IF($A236="","",STDEV(Weekly_Demand!G236:BF236))</f>
        <v>12.5520334804653</v>
      </c>
      <c r="I236" s="52" t="n">
        <f aca="false">IF($A236="","",IFERROR(H236/G236,0))</f>
        <v>0.668755882155936</v>
      </c>
      <c r="J236" s="53" t="n">
        <f aca="false">IF($A236="","",F236*C236)</f>
        <v>4977.6</v>
      </c>
      <c r="K236" s="54" t="n">
        <f aca="false">IF($A236="","",IFERROR(J236/$J$505,0))</f>
        <v>0.00128796577795439</v>
      </c>
      <c r="L236" s="54" t="n">
        <f aca="false">IF($A236="","",IFERROR(SUMIFS($J$5:$J$504,$AB$5:$AB$504,"&lt;="&amp;AB236)/$J$505,0))</f>
        <v>0.769902271389284</v>
      </c>
      <c r="M236" s="55" t="str">
        <f aca="false">IF($A236="","",IF(L236&lt;=Assumptions!$B$7,"A",IF(L236&lt;=Assumptions!$B$8,"B","C")))</f>
        <v>A</v>
      </c>
      <c r="N236" s="55" t="str">
        <f aca="false">IF($A236="","",IF(I236&lt;=Assumptions!$B$9,"X",IF(I236&lt;=Assumptions!$B$10,"Y","Z")))</f>
        <v>Y</v>
      </c>
      <c r="O236" s="56" t="str">
        <f aca="false">IF($A236="","",M236&amp;N236)</f>
        <v>AY</v>
      </c>
      <c r="P236" s="57" t="n">
        <f aca="false">IF($A236="","",INDEX(Assumptions!$B$35:$B$37,MATCH(M236,Assumptions!$A$35:$A$37,0)))</f>
        <v>0.98</v>
      </c>
      <c r="Q236" s="58" t="n">
        <f aca="false">IF($A236="","",NORMSINV(P236))</f>
        <v>2.05374891063182</v>
      </c>
      <c r="R236" s="48" t="n">
        <f aca="false">IF($A236="","",ROUNDUP(Q236*H236*SQRT(D236),0))</f>
        <v>37</v>
      </c>
      <c r="S236" s="48" t="n">
        <f aca="false">IF($A236="","",ROUNDUP(G236*D236+R236,0))</f>
        <v>75</v>
      </c>
      <c r="T236" s="46" t="n">
        <f aca="false">IF($A236="","",IFERROR(ROUND(SQRT(2*F236*Assumptions!$B$4/(Assumptions!$B$5*C236)),0),0))</f>
        <v>277</v>
      </c>
      <c r="U236" s="53" t="n">
        <f aca="false">IF($A236="","",R236*C236)</f>
        <v>188.7</v>
      </c>
      <c r="V236" s="53" t="n">
        <f aca="false">IF($A236="","",E236*C236)</f>
        <v>2682.6</v>
      </c>
      <c r="W236" s="59" t="n">
        <f aca="false">IF($A236="","",IFERROR(E236/G236,0))</f>
        <v>28.0245901639344</v>
      </c>
      <c r="X236" s="48" t="n">
        <f aca="false">IF($A236="","",S236+T236)</f>
        <v>352</v>
      </c>
      <c r="Y236" s="48" t="n">
        <f aca="false">IF($A236="","",MAX(0,E236-X236))</f>
        <v>174</v>
      </c>
      <c r="Z236" s="53" t="n">
        <f aca="false">IF($A236="","",Y236*C236)</f>
        <v>887.4</v>
      </c>
      <c r="AA236" s="56" t="str">
        <f aca="false">IF($A236="","",IF(E236&lt;=R236,"Below Safety Stock",IF(E236&lt;=S236,"Reorder Now",IF(E236&gt;X236,"Excess","Healthy"))))</f>
        <v>Excess</v>
      </c>
      <c r="AB236" s="48" t="n">
        <f aca="false">IF($A236="","",RANK(AF236,$AF$5:$AF$504,0)+COUNTIF($AF$5:AF236,AF236)-1)</f>
        <v>266</v>
      </c>
      <c r="AC236" s="44" t="str">
        <f aca="false">IF($A236="","",Weekly_Demand!B236)</f>
        <v>VINTAGE CREAM DOG FOOD CONTAINER</v>
      </c>
      <c r="AD236" s="59" t="n">
        <f aca="false">IF($A236="","",H236*SQRT(D236))</f>
        <v>17.7512559834351</v>
      </c>
      <c r="AE236" s="53" t="n">
        <f aca="false">IF($A236="","",AD236*C236)</f>
        <v>90.5314055155192</v>
      </c>
      <c r="AF236" s="53" t="n">
        <f aca="false">IF($A236="","",ROUND(J236,2))</f>
        <v>4977.6</v>
      </c>
    </row>
    <row r="237" customFormat="false" ht="15" hidden="false" customHeight="false" outlineLevel="0" collapsed="false">
      <c r="A237" s="44" t="str">
        <f aca="false">IF(Weekly_Demand!A237="","",Weekly_Demand!A237)</f>
        <v>22561</v>
      </c>
      <c r="B237" s="44" t="str">
        <f aca="false">IF($A237="","",Weekly_Demand!C237)</f>
        <v>Other</v>
      </c>
      <c r="C237" s="45" t="n">
        <f aca="false">IF($A237="","",Weekly_Demand!D237)</f>
        <v>0.99</v>
      </c>
      <c r="D237" s="46" t="n">
        <f aca="false">IF($A237="","",Weekly_Demand!E237+Assumptions!$B$19)</f>
        <v>4</v>
      </c>
      <c r="E237" s="46" t="n">
        <f aca="false">IF($A237="","",Weekly_Demand!F237)</f>
        <v>109</v>
      </c>
      <c r="F237" s="46" t="n">
        <f aca="false">IF($A237="","",SUM(Weekly_Demand!G237:BF237))</f>
        <v>5645</v>
      </c>
      <c r="G237" s="51" t="n">
        <f aca="false">IF($A237="","",IFERROR(F237/Assumptions!$B$6,0))</f>
        <v>108.557692307692</v>
      </c>
      <c r="H237" s="51" t="n">
        <f aca="false">IF($A237="","",STDEV(Weekly_Demand!G237:BF237))</f>
        <v>107.916891309305</v>
      </c>
      <c r="I237" s="52" t="n">
        <f aca="false">IF($A237="","",IFERROR(H237/G237,0))</f>
        <v>0.994097138721672</v>
      </c>
      <c r="J237" s="53" t="n">
        <f aca="false">IF($A237="","",F237*C237)</f>
        <v>5588.55</v>
      </c>
      <c r="K237" s="54" t="n">
        <f aca="false">IF($A237="","",IFERROR(J237/$J$505,0))</f>
        <v>0.00144605053607904</v>
      </c>
      <c r="L237" s="54" t="n">
        <f aca="false">IF($A237="","",IFERROR(SUMIFS($J$5:$J$504,$AB$5:$AB$504,"&lt;="&amp;AB237)/$J$505,0))</f>
        <v>0.723592131338267</v>
      </c>
      <c r="M237" s="55" t="str">
        <f aca="false">IF($A237="","",IF(L237&lt;=Assumptions!$B$7,"A",IF(L237&lt;=Assumptions!$B$8,"B","C")))</f>
        <v>A</v>
      </c>
      <c r="N237" s="55" t="str">
        <f aca="false">IF($A237="","",IF(I237&lt;=Assumptions!$B$9,"X",IF(I237&lt;=Assumptions!$B$10,"Y","Z")))</f>
        <v>Y</v>
      </c>
      <c r="O237" s="56" t="str">
        <f aca="false">IF($A237="","",M237&amp;N237)</f>
        <v>AY</v>
      </c>
      <c r="P237" s="57" t="n">
        <f aca="false">IF($A237="","",INDEX(Assumptions!$B$35:$B$37,MATCH(M237,Assumptions!$A$35:$A$37,0)))</f>
        <v>0.98</v>
      </c>
      <c r="Q237" s="58" t="n">
        <f aca="false">IF($A237="","",NORMSINV(P237))</f>
        <v>2.05374891063182</v>
      </c>
      <c r="R237" s="48" t="n">
        <f aca="false">IF($A237="","",ROUNDUP(Q237*H237*SQRT(D237),0))</f>
        <v>444</v>
      </c>
      <c r="S237" s="48" t="n">
        <f aca="false">IF($A237="","",ROUNDUP(G237*D237+R237,0))</f>
        <v>879</v>
      </c>
      <c r="T237" s="46" t="n">
        <f aca="false">IF($A237="","",IFERROR(ROUND(SQRT(2*F237*Assumptions!$B$4/(Assumptions!$B$5*C237)),0),0))</f>
        <v>1510</v>
      </c>
      <c r="U237" s="53" t="n">
        <f aca="false">IF($A237="","",R237*C237)</f>
        <v>439.56</v>
      </c>
      <c r="V237" s="53" t="n">
        <f aca="false">IF($A237="","",E237*C237)</f>
        <v>107.91</v>
      </c>
      <c r="W237" s="59" t="n">
        <f aca="false">IF($A237="","",IFERROR(E237/G237,0))</f>
        <v>1.00407440212578</v>
      </c>
      <c r="X237" s="48" t="n">
        <f aca="false">IF($A237="","",S237+T237)</f>
        <v>2389</v>
      </c>
      <c r="Y237" s="48" t="n">
        <f aca="false">IF($A237="","",MAX(0,E237-X237))</f>
        <v>0</v>
      </c>
      <c r="Z237" s="53" t="n">
        <f aca="false">IF($A237="","",Y237*C237)</f>
        <v>0</v>
      </c>
      <c r="AA237" s="56" t="str">
        <f aca="false">IF($A237="","",IF(E237&lt;=R237,"Below Safety Stock",IF(E237&lt;=S237,"Reorder Now",IF(E237&gt;X237,"Excess","Healthy"))))</f>
        <v>Below Safety Stock</v>
      </c>
      <c r="AB237" s="48" t="n">
        <f aca="false">IF($A237="","",RANK(AF237,$AF$5:$AF$504,0)+COUNTIF($AF$5:AF237,AF237)-1)</f>
        <v>232</v>
      </c>
      <c r="AC237" s="44" t="str">
        <f aca="false">IF($A237="","",Weekly_Demand!B237)</f>
        <v>WOODEN SCHOOL COLOURING SET</v>
      </c>
      <c r="AD237" s="59" t="n">
        <f aca="false">IF($A237="","",H237*SQRT(D237))</f>
        <v>215.833782618609</v>
      </c>
      <c r="AE237" s="53" t="n">
        <f aca="false">IF($A237="","",AD237*C237)</f>
        <v>213.675444792423</v>
      </c>
      <c r="AF237" s="53" t="n">
        <f aca="false">IF($A237="","",ROUND(J237,2))</f>
        <v>5588.55</v>
      </c>
    </row>
    <row r="238" customFormat="false" ht="15" hidden="false" customHeight="false" outlineLevel="0" collapsed="false">
      <c r="A238" s="44" t="str">
        <f aca="false">IF(Weekly_Demand!A238="","",Weekly_Demand!A238)</f>
        <v>23582</v>
      </c>
      <c r="B238" s="44" t="str">
        <f aca="false">IF($A238="","",Weekly_Demand!C238)</f>
        <v>Bags</v>
      </c>
      <c r="C238" s="45" t="n">
        <f aca="false">IF($A238="","",Weekly_Demand!D238)</f>
        <v>1.248</v>
      </c>
      <c r="D238" s="46" t="n">
        <f aca="false">IF($A238="","",Weekly_Demand!E238+Assumptions!$B$19)</f>
        <v>6</v>
      </c>
      <c r="E238" s="46" t="n">
        <f aca="false">IF($A238="","",Weekly_Demand!F238)</f>
        <v>2842</v>
      </c>
      <c r="F238" s="46" t="n">
        <f aca="false">IF($A238="","",SUM(Weekly_Demand!G238:BF238))</f>
        <v>4347</v>
      </c>
      <c r="G238" s="51" t="n">
        <f aca="false">IF($A238="","",IFERROR(F238/Assumptions!$B$6,0))</f>
        <v>83.5961538461538</v>
      </c>
      <c r="H238" s="51" t="n">
        <f aca="false">IF($A238="","",STDEV(Weekly_Demand!G238:BF238))</f>
        <v>294.871275312678</v>
      </c>
      <c r="I238" s="52" t="n">
        <f aca="false">IF($A238="","",IFERROR(H238/G238,0))</f>
        <v>3.52733064556228</v>
      </c>
      <c r="J238" s="53" t="n">
        <f aca="false">IF($A238="","",F238*C238)</f>
        <v>5425.056</v>
      </c>
      <c r="K238" s="54" t="n">
        <f aca="false">IF($A238="","",IFERROR(J238/$J$505,0))</f>
        <v>0.00140374607672094</v>
      </c>
      <c r="L238" s="54" t="n">
        <f aca="false">IF($A238="","",IFERROR(SUMIFS($J$5:$J$504,$AB$5:$AB$504,"&lt;="&amp;AB238)/$J$505,0))</f>
        <v>0.732091873325157</v>
      </c>
      <c r="M238" s="55" t="str">
        <f aca="false">IF($A238="","",IF(L238&lt;=Assumptions!$B$7,"A",IF(L238&lt;=Assumptions!$B$8,"B","C")))</f>
        <v>A</v>
      </c>
      <c r="N238" s="55" t="str">
        <f aca="false">IF($A238="","",IF(I238&lt;=Assumptions!$B$9,"X",IF(I238&lt;=Assumptions!$B$10,"Y","Z")))</f>
        <v>Z</v>
      </c>
      <c r="O238" s="56" t="str">
        <f aca="false">IF($A238="","",M238&amp;N238)</f>
        <v>AZ</v>
      </c>
      <c r="P238" s="57" t="n">
        <f aca="false">IF($A238="","",INDEX(Assumptions!$B$35:$B$37,MATCH(M238,Assumptions!$A$35:$A$37,0)))</f>
        <v>0.98</v>
      </c>
      <c r="Q238" s="58" t="n">
        <f aca="false">IF($A238="","",NORMSINV(P238))</f>
        <v>2.05374891063182</v>
      </c>
      <c r="R238" s="48" t="n">
        <f aca="false">IF($A238="","",ROUNDUP(Q238*H238*SQRT(D238),0))</f>
        <v>1484</v>
      </c>
      <c r="S238" s="48" t="n">
        <f aca="false">IF($A238="","",ROUNDUP(G238*D238+R238,0))</f>
        <v>1986</v>
      </c>
      <c r="T238" s="46" t="n">
        <f aca="false">IF($A238="","",IFERROR(ROUND(SQRT(2*F238*Assumptions!$B$4/(Assumptions!$B$5*C238)),0),0))</f>
        <v>1180</v>
      </c>
      <c r="U238" s="53" t="n">
        <f aca="false">IF($A238="","",R238*C238)</f>
        <v>1852.032</v>
      </c>
      <c r="V238" s="53" t="n">
        <f aca="false">IF($A238="","",E238*C238)</f>
        <v>3546.816</v>
      </c>
      <c r="W238" s="59" t="n">
        <f aca="false">IF($A238="","",IFERROR(E238/G238,0))</f>
        <v>33.9967793880837</v>
      </c>
      <c r="X238" s="48" t="n">
        <f aca="false">IF($A238="","",S238+T238)</f>
        <v>3166</v>
      </c>
      <c r="Y238" s="48" t="n">
        <f aca="false">IF($A238="","",MAX(0,E238-X238))</f>
        <v>0</v>
      </c>
      <c r="Z238" s="53" t="n">
        <f aca="false">IF($A238="","",Y238*C238)</f>
        <v>0</v>
      </c>
      <c r="AA238" s="56" t="str">
        <f aca="false">IF($A238="","",IF(E238&lt;=R238,"Below Safety Stock",IF(E238&lt;=S238,"Reorder Now",IF(E238&gt;X238,"Excess","Healthy"))))</f>
        <v>Healthy</v>
      </c>
      <c r="AB238" s="48" t="n">
        <f aca="false">IF($A238="","",RANK(AF238,$AF$5:$AF$504,0)+COUNTIF($AF$5:AF238,AF238)-1)</f>
        <v>238</v>
      </c>
      <c r="AC238" s="44" t="str">
        <f aca="false">IF($A238="","",Weekly_Demand!B238)</f>
        <v>VINTAGE DOILY JUMBO BAG RED</v>
      </c>
      <c r="AD238" s="59" t="n">
        <f aca="false">IF($A238="","",H238*SQRT(D238))</f>
        <v>722.284164319798</v>
      </c>
      <c r="AE238" s="53" t="n">
        <f aca="false">IF($A238="","",AD238*C238)</f>
        <v>901.410637071108</v>
      </c>
      <c r="AF238" s="53" t="n">
        <f aca="false">IF($A238="","",ROUND(J238,2))</f>
        <v>5425.06</v>
      </c>
    </row>
    <row r="239" customFormat="false" ht="15" hidden="false" customHeight="false" outlineLevel="0" collapsed="false">
      <c r="A239" s="44" t="str">
        <f aca="false">IF(Weekly_Demand!A239="","",Weekly_Demand!A239)</f>
        <v>22555</v>
      </c>
      <c r="B239" s="44" t="str">
        <f aca="false">IF($A239="","",Weekly_Demand!C239)</f>
        <v>Kitchen</v>
      </c>
      <c r="C239" s="45" t="n">
        <f aca="false">IF($A239="","",Weekly_Demand!D239)</f>
        <v>0.99</v>
      </c>
      <c r="D239" s="46" t="n">
        <f aca="false">IF($A239="","",Weekly_Demand!E239+Assumptions!$B$19)</f>
        <v>8</v>
      </c>
      <c r="E239" s="46" t="n">
        <f aca="false">IF($A239="","",Weekly_Demand!F239)</f>
        <v>3845</v>
      </c>
      <c r="F239" s="46" t="n">
        <f aca="false">IF($A239="","",SUM(Weekly_Demand!G239:BF239))</f>
        <v>5712</v>
      </c>
      <c r="G239" s="51" t="n">
        <f aca="false">IF($A239="","",IFERROR(F239/Assumptions!$B$6,0))</f>
        <v>109.846153846154</v>
      </c>
      <c r="H239" s="51" t="n">
        <f aca="false">IF($A239="","",STDEV(Weekly_Demand!G239:BF239))</f>
        <v>82.6462778340259</v>
      </c>
      <c r="I239" s="52" t="n">
        <f aca="false">IF($A239="","",IFERROR(H239/G239,0))</f>
        <v>0.752382081122085</v>
      </c>
      <c r="J239" s="53" t="n">
        <f aca="false">IF($A239="","",F239*C239)</f>
        <v>5654.88</v>
      </c>
      <c r="K239" s="54" t="n">
        <f aca="false">IF($A239="","",IFERROR(J239/$J$505,0))</f>
        <v>0.00146321358052851</v>
      </c>
      <c r="L239" s="54" t="n">
        <f aca="false">IF($A239="","",IFERROR(SUMIFS($J$5:$J$504,$AB$5:$AB$504,"&lt;="&amp;AB239)/$J$505,0))</f>
        <v>0.720688409697343</v>
      </c>
      <c r="M239" s="55" t="str">
        <f aca="false">IF($A239="","",IF(L239&lt;=Assumptions!$B$7,"A",IF(L239&lt;=Assumptions!$B$8,"B","C")))</f>
        <v>A</v>
      </c>
      <c r="N239" s="55" t="str">
        <f aca="false">IF($A239="","",IF(I239&lt;=Assumptions!$B$9,"X",IF(I239&lt;=Assumptions!$B$10,"Y","Z")))</f>
        <v>Y</v>
      </c>
      <c r="O239" s="56" t="str">
        <f aca="false">IF($A239="","",M239&amp;N239)</f>
        <v>AY</v>
      </c>
      <c r="P239" s="57" t="n">
        <f aca="false">IF($A239="","",INDEX(Assumptions!$B$35:$B$37,MATCH(M239,Assumptions!$A$35:$A$37,0)))</f>
        <v>0.98</v>
      </c>
      <c r="Q239" s="58" t="n">
        <f aca="false">IF($A239="","",NORMSINV(P239))</f>
        <v>2.05374891063182</v>
      </c>
      <c r="R239" s="48" t="n">
        <f aca="false">IF($A239="","",ROUNDUP(Q239*H239*SQRT(D239),0))</f>
        <v>481</v>
      </c>
      <c r="S239" s="48" t="n">
        <f aca="false">IF($A239="","",ROUNDUP(G239*D239+R239,0))</f>
        <v>1360</v>
      </c>
      <c r="T239" s="46" t="n">
        <f aca="false">IF($A239="","",IFERROR(ROUND(SQRT(2*F239*Assumptions!$B$4/(Assumptions!$B$5*C239)),0),0))</f>
        <v>1519</v>
      </c>
      <c r="U239" s="53" t="n">
        <f aca="false">IF($A239="","",R239*C239)</f>
        <v>476.19</v>
      </c>
      <c r="V239" s="53" t="n">
        <f aca="false">IF($A239="","",E239*C239)</f>
        <v>3806.55</v>
      </c>
      <c r="W239" s="59" t="n">
        <f aca="false">IF($A239="","",IFERROR(E239/G239,0))</f>
        <v>35.0035014005602</v>
      </c>
      <c r="X239" s="48" t="n">
        <f aca="false">IF($A239="","",S239+T239)</f>
        <v>2879</v>
      </c>
      <c r="Y239" s="48" t="n">
        <f aca="false">IF($A239="","",MAX(0,E239-X239))</f>
        <v>966</v>
      </c>
      <c r="Z239" s="53" t="n">
        <f aca="false">IF($A239="","",Y239*C239)</f>
        <v>956.34</v>
      </c>
      <c r="AA239" s="56" t="str">
        <f aca="false">IF($A239="","",IF(E239&lt;=R239,"Below Safety Stock",IF(E239&lt;=S239,"Reorder Now",IF(E239&gt;X239,"Excess","Healthy"))))</f>
        <v>Excess</v>
      </c>
      <c r="AB239" s="48" t="n">
        <f aca="false">IF($A239="","",RANK(AF239,$AF$5:$AF$504,0)+COUNTIF($AF$5:AF239,AF239)-1)</f>
        <v>230</v>
      </c>
      <c r="AC239" s="44" t="str">
        <f aca="false">IF($A239="","",Weekly_Demand!B239)</f>
        <v>PLASTERS IN TIN STRONGMAN</v>
      </c>
      <c r="AD239" s="59" t="n">
        <f aca="false">IF($A239="","",H239*SQRT(D239))</f>
        <v>233.758973985069</v>
      </c>
      <c r="AE239" s="53" t="n">
        <f aca="false">IF($A239="","",AD239*C239)</f>
        <v>231.421384245218</v>
      </c>
      <c r="AF239" s="53" t="n">
        <f aca="false">IF($A239="","",ROUND(J239,2))</f>
        <v>5654.88</v>
      </c>
    </row>
    <row r="240" customFormat="false" ht="15" hidden="false" customHeight="false" outlineLevel="0" collapsed="false">
      <c r="A240" s="44" t="str">
        <f aca="false">IF(Weekly_Demand!A240="","",Weekly_Demand!A240)</f>
        <v>22456</v>
      </c>
      <c r="B240" s="44" t="str">
        <f aca="false">IF($A240="","",Weekly_Demand!C240)</f>
        <v>Other</v>
      </c>
      <c r="C240" s="45" t="n">
        <f aca="false">IF($A240="","",Weekly_Demand!D240)</f>
        <v>2.97</v>
      </c>
      <c r="D240" s="46" t="n">
        <f aca="false">IF($A240="","",Weekly_Demand!E240+Assumptions!$B$19)</f>
        <v>2</v>
      </c>
      <c r="E240" s="46" t="n">
        <f aca="false">IF($A240="","",Weekly_Demand!F240)</f>
        <v>359</v>
      </c>
      <c r="F240" s="46" t="n">
        <f aca="false">IF($A240="","",SUM(Weekly_Demand!G240:BF240))</f>
        <v>1699</v>
      </c>
      <c r="G240" s="51" t="n">
        <f aca="false">IF($A240="","",IFERROR(F240/Assumptions!$B$6,0))</f>
        <v>32.6730769230769</v>
      </c>
      <c r="H240" s="51" t="n">
        <f aca="false">IF($A240="","",STDEV(Weekly_Demand!G240:BF240))</f>
        <v>16.5015996299422</v>
      </c>
      <c r="I240" s="52" t="n">
        <f aca="false">IF($A240="","",IFERROR(H240/G240,0))</f>
        <v>0.505051901563857</v>
      </c>
      <c r="J240" s="53" t="n">
        <f aca="false">IF($A240="","",F240*C240)</f>
        <v>5046.03</v>
      </c>
      <c r="K240" s="54" t="n">
        <f aca="false">IF($A240="","",IFERROR(J240/$J$505,0))</f>
        <v>0.00130567220237287</v>
      </c>
      <c r="L240" s="54" t="n">
        <f aca="false">IF($A240="","",IFERROR(SUMIFS($J$5:$J$504,$AB$5:$AB$504,"&lt;="&amp;AB240)/$J$505,0))</f>
        <v>0.763444670869498</v>
      </c>
      <c r="M240" s="55" t="str">
        <f aca="false">IF($A240="","",IF(L240&lt;=Assumptions!$B$7,"A",IF(L240&lt;=Assumptions!$B$8,"B","C")))</f>
        <v>A</v>
      </c>
      <c r="N240" s="55" t="str">
        <f aca="false">IF($A240="","",IF(I240&lt;=Assumptions!$B$9,"X",IF(I240&lt;=Assumptions!$B$10,"Y","Z")))</f>
        <v>Y</v>
      </c>
      <c r="O240" s="56" t="str">
        <f aca="false">IF($A240="","",M240&amp;N240)</f>
        <v>AY</v>
      </c>
      <c r="P240" s="57" t="n">
        <f aca="false">IF($A240="","",INDEX(Assumptions!$B$35:$B$37,MATCH(M240,Assumptions!$A$35:$A$37,0)))</f>
        <v>0.98</v>
      </c>
      <c r="Q240" s="58" t="n">
        <f aca="false">IF($A240="","",NORMSINV(P240))</f>
        <v>2.05374891063182</v>
      </c>
      <c r="R240" s="48" t="n">
        <f aca="false">IF($A240="","",ROUNDUP(Q240*H240*SQRT(D240),0))</f>
        <v>48</v>
      </c>
      <c r="S240" s="48" t="n">
        <f aca="false">IF($A240="","",ROUNDUP(G240*D240+R240,0))</f>
        <v>114</v>
      </c>
      <c r="T240" s="46" t="n">
        <f aca="false">IF($A240="","",IFERROR(ROUND(SQRT(2*F240*Assumptions!$B$4/(Assumptions!$B$5*C240)),0),0))</f>
        <v>478</v>
      </c>
      <c r="U240" s="53" t="n">
        <f aca="false">IF($A240="","",R240*C240)</f>
        <v>142.56</v>
      </c>
      <c r="V240" s="53" t="n">
        <f aca="false">IF($A240="","",E240*C240)</f>
        <v>1066.23</v>
      </c>
      <c r="W240" s="59" t="n">
        <f aca="false">IF($A240="","",IFERROR(E240/G240,0))</f>
        <v>10.9876397881107</v>
      </c>
      <c r="X240" s="48" t="n">
        <f aca="false">IF($A240="","",S240+T240)</f>
        <v>592</v>
      </c>
      <c r="Y240" s="48" t="n">
        <f aca="false">IF($A240="","",MAX(0,E240-X240))</f>
        <v>0</v>
      </c>
      <c r="Z240" s="53" t="n">
        <f aca="false">IF($A240="","",Y240*C240)</f>
        <v>0</v>
      </c>
      <c r="AA240" s="56" t="str">
        <f aca="false">IF($A240="","",IF(E240&lt;=R240,"Below Safety Stock",IF(E240&lt;=S240,"Reorder Now",IF(E240&gt;X240,"Excess","Healthy"))))</f>
        <v>Healthy</v>
      </c>
      <c r="AB240" s="48" t="n">
        <f aca="false">IF($A240="","",RANK(AF240,$AF$5:$AF$504,0)+COUNTIF($AF$5:AF240,AF240)-1)</f>
        <v>261</v>
      </c>
      <c r="AC240" s="44" t="str">
        <f aca="false">IF($A240="","",Weekly_Demand!B240)</f>
        <v>NATURAL SLATE CHALKBOARD LARGE</v>
      </c>
      <c r="AD240" s="59" t="n">
        <f aca="false">IF($A240="","",H240*SQRT(D240))</f>
        <v>23.3367859975151</v>
      </c>
      <c r="AE240" s="53" t="n">
        <f aca="false">IF($A240="","",AD240*C240)</f>
        <v>69.3102544126198</v>
      </c>
      <c r="AF240" s="53" t="n">
        <f aca="false">IF($A240="","",ROUND(J240,2))</f>
        <v>5046.03</v>
      </c>
    </row>
    <row r="241" customFormat="false" ht="15" hidden="false" customHeight="false" outlineLevel="0" collapsed="false">
      <c r="A241" s="44" t="str">
        <f aca="false">IF(Weekly_Demand!A241="","",Weekly_Demand!A241)</f>
        <v>20679</v>
      </c>
      <c r="B241" s="44" t="str">
        <f aca="false">IF($A241="","",Weekly_Demand!C241)</f>
        <v>Other</v>
      </c>
      <c r="C241" s="45" t="n">
        <f aca="false">IF($A241="","",Weekly_Demand!D241)</f>
        <v>3.57</v>
      </c>
      <c r="D241" s="46" t="n">
        <f aca="false">IF($A241="","",Weekly_Demand!E241+Assumptions!$B$19)</f>
        <v>8</v>
      </c>
      <c r="E241" s="46" t="n">
        <f aca="false">IF($A241="","",Weekly_Demand!F241)</f>
        <v>1517</v>
      </c>
      <c r="F241" s="46" t="n">
        <f aca="false">IF($A241="","",SUM(Weekly_Demand!G241:BF241))</f>
        <v>1578</v>
      </c>
      <c r="G241" s="51" t="n">
        <f aca="false">IF($A241="","",IFERROR(F241/Assumptions!$B$6,0))</f>
        <v>30.3461538461538</v>
      </c>
      <c r="H241" s="51" t="n">
        <f aca="false">IF($A241="","",STDEV(Weekly_Demand!G241:BF241))</f>
        <v>30.4275962305277</v>
      </c>
      <c r="I241" s="52" t="n">
        <f aca="false">IF($A241="","",IFERROR(H241/G241,0))</f>
        <v>1.00268377945972</v>
      </c>
      <c r="J241" s="53" t="n">
        <f aca="false">IF($A241="","",F241*C241)</f>
        <v>5633.46</v>
      </c>
      <c r="K241" s="54" t="n">
        <f aca="false">IF($A241="","",IFERROR(J241/$J$505,0))</f>
        <v>0.00145767110484469</v>
      </c>
      <c r="L241" s="54" t="n">
        <f aca="false">IF($A241="","",IFERROR(SUMIFS($J$5:$J$504,$AB$5:$AB$504,"&lt;="&amp;AB241)/$J$505,0))</f>
        <v>0.722146080802188</v>
      </c>
      <c r="M241" s="55" t="str">
        <f aca="false">IF($A241="","",IF(L241&lt;=Assumptions!$B$7,"A",IF(L241&lt;=Assumptions!$B$8,"B","C")))</f>
        <v>A</v>
      </c>
      <c r="N241" s="55" t="str">
        <f aca="false">IF($A241="","",IF(I241&lt;=Assumptions!$B$9,"X",IF(I241&lt;=Assumptions!$B$10,"Y","Z")))</f>
        <v>Z</v>
      </c>
      <c r="O241" s="56" t="str">
        <f aca="false">IF($A241="","",M241&amp;N241)</f>
        <v>AZ</v>
      </c>
      <c r="P241" s="57" t="n">
        <f aca="false">IF($A241="","",INDEX(Assumptions!$B$35:$B$37,MATCH(M241,Assumptions!$A$35:$A$37,0)))</f>
        <v>0.98</v>
      </c>
      <c r="Q241" s="58" t="n">
        <f aca="false">IF($A241="","",NORMSINV(P241))</f>
        <v>2.05374891063182</v>
      </c>
      <c r="R241" s="48" t="n">
        <f aca="false">IF($A241="","",ROUNDUP(Q241*H241*SQRT(D241),0))</f>
        <v>177</v>
      </c>
      <c r="S241" s="48" t="n">
        <f aca="false">IF($A241="","",ROUNDUP(G241*D241+R241,0))</f>
        <v>420</v>
      </c>
      <c r="T241" s="46" t="n">
        <f aca="false">IF($A241="","",IFERROR(ROUND(SQRT(2*F241*Assumptions!$B$4/(Assumptions!$B$5*C241)),0),0))</f>
        <v>420</v>
      </c>
      <c r="U241" s="53" t="n">
        <f aca="false">IF($A241="","",R241*C241)</f>
        <v>631.89</v>
      </c>
      <c r="V241" s="53" t="n">
        <f aca="false">IF($A241="","",E241*C241)</f>
        <v>5415.69</v>
      </c>
      <c r="W241" s="59" t="n">
        <f aca="false">IF($A241="","",IFERROR(E241/G241,0))</f>
        <v>49.9898605830165</v>
      </c>
      <c r="X241" s="48" t="n">
        <f aca="false">IF($A241="","",S241+T241)</f>
        <v>840</v>
      </c>
      <c r="Y241" s="48" t="n">
        <f aca="false">IF($A241="","",MAX(0,E241-X241))</f>
        <v>677</v>
      </c>
      <c r="Z241" s="53" t="n">
        <f aca="false">IF($A241="","",Y241*C241)</f>
        <v>2416.89</v>
      </c>
      <c r="AA241" s="56" t="str">
        <f aca="false">IF($A241="","",IF(E241&lt;=R241,"Below Safety Stock",IF(E241&lt;=S241,"Reorder Now",IF(E241&gt;X241,"Excess","Healthy"))))</f>
        <v>Excess</v>
      </c>
      <c r="AB241" s="48" t="n">
        <f aca="false">IF($A241="","",RANK(AF241,$AF$5:$AF$504,0)+COUNTIF($AF$5:AF241,AF241)-1)</f>
        <v>231</v>
      </c>
      <c r="AC241" s="44" t="str">
        <f aca="false">IF($A241="","",Weekly_Demand!B241)</f>
        <v>EDWARDIAN PARASOL RED</v>
      </c>
      <c r="AD241" s="59" t="n">
        <f aca="false">IF($A241="","",H241*SQRT(D241))</f>
        <v>86.0622385192495</v>
      </c>
      <c r="AE241" s="53" t="n">
        <f aca="false">IF($A241="","",AD241*C241)</f>
        <v>307.242191513721</v>
      </c>
      <c r="AF241" s="53" t="n">
        <f aca="false">IF($A241="","",ROUND(J241,2))</f>
        <v>5633.46</v>
      </c>
    </row>
    <row r="242" customFormat="false" ht="15" hidden="false" customHeight="false" outlineLevel="0" collapsed="false">
      <c r="A242" s="44" t="str">
        <f aca="false">IF(Weekly_Demand!A242="","",Weekly_Demand!A242)</f>
        <v>22654</v>
      </c>
      <c r="B242" s="44" t="str">
        <f aca="false">IF($A242="","",Weekly_Demand!C242)</f>
        <v>Other</v>
      </c>
      <c r="C242" s="45" t="n">
        <f aca="false">IF($A242="","",Weekly_Demand!D242)</f>
        <v>3.57</v>
      </c>
      <c r="D242" s="46" t="n">
        <f aca="false">IF($A242="","",Weekly_Demand!E242+Assumptions!$B$19)</f>
        <v>6</v>
      </c>
      <c r="E242" s="46" t="n">
        <f aca="false">IF($A242="","",Weekly_Demand!F242)</f>
        <v>378</v>
      </c>
      <c r="F242" s="46" t="n">
        <f aca="false">IF($A242="","",SUM(Weekly_Demand!G242:BF242))</f>
        <v>1310</v>
      </c>
      <c r="G242" s="51" t="n">
        <f aca="false">IF($A242="","",IFERROR(F242/Assumptions!$B$6,0))</f>
        <v>25.1923076923077</v>
      </c>
      <c r="H242" s="51" t="n">
        <f aca="false">IF($A242="","",STDEV(Weekly_Demand!G242:BF242))</f>
        <v>28.5746620665441</v>
      </c>
      <c r="I242" s="52" t="n">
        <f aca="false">IF($A242="","",IFERROR(H242/G242,0))</f>
        <v>1.13426139500786</v>
      </c>
      <c r="J242" s="53" t="n">
        <f aca="false">IF($A242="","",F242*C242)</f>
        <v>4676.7</v>
      </c>
      <c r="K242" s="54" t="n">
        <f aca="false">IF($A242="","",IFERROR(J242/$J$505,0))</f>
        <v>0.0012101071909674</v>
      </c>
      <c r="L242" s="54" t="n">
        <f aca="false">IF($A242="","",IFERROR(SUMIFS($J$5:$J$504,$AB$5:$AB$504,"&lt;="&amp;AB242)/$J$505,0))</f>
        <v>0.798650459335467</v>
      </c>
      <c r="M242" s="55" t="str">
        <f aca="false">IF($A242="","",IF(L242&lt;=Assumptions!$B$7,"A",IF(L242&lt;=Assumptions!$B$8,"B","C")))</f>
        <v>A</v>
      </c>
      <c r="N242" s="55" t="str">
        <f aca="false">IF($A242="","",IF(I242&lt;=Assumptions!$B$9,"X",IF(I242&lt;=Assumptions!$B$10,"Y","Z")))</f>
        <v>Z</v>
      </c>
      <c r="O242" s="56" t="str">
        <f aca="false">IF($A242="","",M242&amp;N242)</f>
        <v>AZ</v>
      </c>
      <c r="P242" s="57" t="n">
        <f aca="false">IF($A242="","",INDEX(Assumptions!$B$35:$B$37,MATCH(M242,Assumptions!$A$35:$A$37,0)))</f>
        <v>0.98</v>
      </c>
      <c r="Q242" s="58" t="n">
        <f aca="false">IF($A242="","",NORMSINV(P242))</f>
        <v>2.05374891063182</v>
      </c>
      <c r="R242" s="48" t="n">
        <f aca="false">IF($A242="","",ROUNDUP(Q242*H242*SQRT(D242),0))</f>
        <v>144</v>
      </c>
      <c r="S242" s="48" t="n">
        <f aca="false">IF($A242="","",ROUNDUP(G242*D242+R242,0))</f>
        <v>296</v>
      </c>
      <c r="T242" s="46" t="n">
        <f aca="false">IF($A242="","",IFERROR(ROUND(SQRT(2*F242*Assumptions!$B$4/(Assumptions!$B$5*C242)),0),0))</f>
        <v>383</v>
      </c>
      <c r="U242" s="53" t="n">
        <f aca="false">IF($A242="","",R242*C242)</f>
        <v>514.08</v>
      </c>
      <c r="V242" s="53" t="n">
        <f aca="false">IF($A242="","",E242*C242)</f>
        <v>1349.46</v>
      </c>
      <c r="W242" s="59" t="n">
        <f aca="false">IF($A242="","",IFERROR(E242/G242,0))</f>
        <v>15.0045801526718</v>
      </c>
      <c r="X242" s="48" t="n">
        <f aca="false">IF($A242="","",S242+T242)</f>
        <v>679</v>
      </c>
      <c r="Y242" s="48" t="n">
        <f aca="false">IF($A242="","",MAX(0,E242-X242))</f>
        <v>0</v>
      </c>
      <c r="Z242" s="53" t="n">
        <f aca="false">IF($A242="","",Y242*C242)</f>
        <v>0</v>
      </c>
      <c r="AA242" s="56" t="str">
        <f aca="false">IF($A242="","",IF(E242&lt;=R242,"Below Safety Stock",IF(E242&lt;=S242,"Reorder Now",IF(E242&gt;X242,"Excess","Healthy"))))</f>
        <v>Healthy</v>
      </c>
      <c r="AB242" s="48" t="n">
        <f aca="false">IF($A242="","",RANK(AF242,$AF$5:$AF$504,0)+COUNTIF($AF$5:AF242,AF242)-1)</f>
        <v>289</v>
      </c>
      <c r="AC242" s="44" t="str">
        <f aca="false">IF($A242="","",Weekly_Demand!B242)</f>
        <v>DELUXE SEWING KIT</v>
      </c>
      <c r="AD242" s="59" t="n">
        <f aca="false">IF($A242="","",H242*SQRT(D242))</f>
        <v>69.9933416354953</v>
      </c>
      <c r="AE242" s="53" t="n">
        <f aca="false">IF($A242="","",AD242*C242)</f>
        <v>249.876229638718</v>
      </c>
      <c r="AF242" s="53" t="n">
        <f aca="false">IF($A242="","",ROUND(J242,2))</f>
        <v>4676.7</v>
      </c>
    </row>
    <row r="243" customFormat="false" ht="15" hidden="false" customHeight="false" outlineLevel="0" collapsed="false">
      <c r="A243" s="44" t="str">
        <f aca="false">IF(Weekly_Demand!A243="","",Weekly_Demand!A243)</f>
        <v>85150</v>
      </c>
      <c r="B243" s="44" t="str">
        <f aca="false">IF($A243="","",Weekly_Demand!C243)</f>
        <v>Other</v>
      </c>
      <c r="C243" s="45" t="n">
        <f aca="false">IF($A243="","",Weekly_Demand!D243)</f>
        <v>1.53</v>
      </c>
      <c r="D243" s="46" t="n">
        <f aca="false">IF($A243="","",Weekly_Demand!E243+Assumptions!$B$19)</f>
        <v>6</v>
      </c>
      <c r="E243" s="46" t="n">
        <f aca="false">IF($A243="","",Weekly_Demand!F243)</f>
        <v>152</v>
      </c>
      <c r="F243" s="46" t="n">
        <f aca="false">IF($A243="","",SUM(Weekly_Demand!G243:BF243))</f>
        <v>3948</v>
      </c>
      <c r="G243" s="51" t="n">
        <f aca="false">IF($A243="","",IFERROR(F243/Assumptions!$B$6,0))</f>
        <v>75.9230769230769</v>
      </c>
      <c r="H243" s="51" t="n">
        <f aca="false">IF($A243="","",STDEV(Weekly_Demand!G243:BF243))</f>
        <v>94.8166127071036</v>
      </c>
      <c r="I243" s="52" t="n">
        <f aca="false">IF($A243="","",IFERROR(H243/G243,0))</f>
        <v>1.24885102856367</v>
      </c>
      <c r="J243" s="53" t="n">
        <f aca="false">IF($A243="","",F243*C243)</f>
        <v>6040.44</v>
      </c>
      <c r="K243" s="54" t="n">
        <f aca="false">IF($A243="","",IFERROR(J243/$J$505,0))</f>
        <v>0.00156297814283728</v>
      </c>
      <c r="L243" s="54" t="n">
        <f aca="false">IF($A243="","",IFERROR(SUMIFS($J$5:$J$504,$AB$5:$AB$504,"&lt;="&amp;AB243)/$J$505,0))</f>
        <v>0.698034662807493</v>
      </c>
      <c r="M243" s="55" t="str">
        <f aca="false">IF($A243="","",IF(L243&lt;=Assumptions!$B$7,"A",IF(L243&lt;=Assumptions!$B$8,"B","C")))</f>
        <v>A</v>
      </c>
      <c r="N243" s="55" t="str">
        <f aca="false">IF($A243="","",IF(I243&lt;=Assumptions!$B$9,"X",IF(I243&lt;=Assumptions!$B$10,"Y","Z")))</f>
        <v>Z</v>
      </c>
      <c r="O243" s="56" t="str">
        <f aca="false">IF($A243="","",M243&amp;N243)</f>
        <v>AZ</v>
      </c>
      <c r="P243" s="57" t="n">
        <f aca="false">IF($A243="","",INDEX(Assumptions!$B$35:$B$37,MATCH(M243,Assumptions!$A$35:$A$37,0)))</f>
        <v>0.98</v>
      </c>
      <c r="Q243" s="58" t="n">
        <f aca="false">IF($A243="","",NORMSINV(P243))</f>
        <v>2.05374891063182</v>
      </c>
      <c r="R243" s="48" t="n">
        <f aca="false">IF($A243="","",ROUNDUP(Q243*H243*SQRT(D243),0))</f>
        <v>477</v>
      </c>
      <c r="S243" s="48" t="n">
        <f aca="false">IF($A243="","",ROUNDUP(G243*D243+R243,0))</f>
        <v>933</v>
      </c>
      <c r="T243" s="46" t="n">
        <f aca="false">IF($A243="","",IFERROR(ROUND(SQRT(2*F243*Assumptions!$B$4/(Assumptions!$B$5*C243)),0),0))</f>
        <v>1016</v>
      </c>
      <c r="U243" s="53" t="n">
        <f aca="false">IF($A243="","",R243*C243)</f>
        <v>729.81</v>
      </c>
      <c r="V243" s="53" t="n">
        <f aca="false">IF($A243="","",E243*C243)</f>
        <v>232.56</v>
      </c>
      <c r="W243" s="59" t="n">
        <f aca="false">IF($A243="","",IFERROR(E243/G243,0))</f>
        <v>2.00202634245187</v>
      </c>
      <c r="X243" s="48" t="n">
        <f aca="false">IF($A243="","",S243+T243)</f>
        <v>1949</v>
      </c>
      <c r="Y243" s="48" t="n">
        <f aca="false">IF($A243="","",MAX(0,E243-X243))</f>
        <v>0</v>
      </c>
      <c r="Z243" s="53" t="n">
        <f aca="false">IF($A243="","",Y243*C243)</f>
        <v>0</v>
      </c>
      <c r="AA243" s="56" t="str">
        <f aca="false">IF($A243="","",IF(E243&lt;=R243,"Below Safety Stock",IF(E243&lt;=S243,"Reorder Now",IF(E243&gt;X243,"Excess","Healthy"))))</f>
        <v>Below Safety Stock</v>
      </c>
      <c r="AB243" s="48" t="n">
        <f aca="false">IF($A243="","",RANK(AF243,$AF$5:$AF$504,0)+COUNTIF($AF$5:AF243,AF243)-1)</f>
        <v>215</v>
      </c>
      <c r="AC243" s="44" t="str">
        <f aca="false">IF($A243="","",Weekly_Demand!B243)</f>
        <v>LADIES &amp; GENTLEMEN METAL SIGN</v>
      </c>
      <c r="AD243" s="59" t="n">
        <f aca="false">IF($A243="","",H243*SQRT(D243))</f>
        <v>232.252320271495</v>
      </c>
      <c r="AE243" s="53" t="n">
        <f aca="false">IF($A243="","",AD243*C243)</f>
        <v>355.346050015388</v>
      </c>
      <c r="AF243" s="53" t="n">
        <f aca="false">IF($A243="","",ROUND(J243,2))</f>
        <v>6040.44</v>
      </c>
    </row>
    <row r="244" customFormat="false" ht="15" hidden="false" customHeight="false" outlineLevel="0" collapsed="false">
      <c r="A244" s="44" t="str">
        <f aca="false">IF(Weekly_Demand!A244="","",Weekly_Demand!A244)</f>
        <v>21155</v>
      </c>
      <c r="B244" s="44" t="str">
        <f aca="false">IF($A244="","",Weekly_Demand!C244)</f>
        <v>Bags</v>
      </c>
      <c r="C244" s="45" t="n">
        <f aca="false">IF($A244="","",Weekly_Demand!D244)</f>
        <v>1.53</v>
      </c>
      <c r="D244" s="46" t="n">
        <f aca="false">IF($A244="","",Weekly_Demand!E244+Assumptions!$B$19)</f>
        <v>8</v>
      </c>
      <c r="E244" s="46" t="n">
        <f aca="false">IF($A244="","",Weekly_Demand!F244)</f>
        <v>2085</v>
      </c>
      <c r="F244" s="46" t="n">
        <f aca="false">IF($A244="","",SUM(Weekly_Demand!G244:BF244))</f>
        <v>3097</v>
      </c>
      <c r="G244" s="51" t="n">
        <f aca="false">IF($A244="","",IFERROR(F244/Assumptions!$B$6,0))</f>
        <v>59.5576923076923</v>
      </c>
      <c r="H244" s="51" t="n">
        <f aca="false">IF($A244="","",STDEV(Weekly_Demand!G244:BF244))</f>
        <v>50.5174842423688</v>
      </c>
      <c r="I244" s="52" t="n">
        <f aca="false">IF($A244="","",IFERROR(H244/G244,0))</f>
        <v>0.848210907524436</v>
      </c>
      <c r="J244" s="53" t="n">
        <f aca="false">IF($A244="","",F244*C244)</f>
        <v>4738.41</v>
      </c>
      <c r="K244" s="54" t="n">
        <f aca="false">IF($A244="","",IFERROR(J244/$J$505,0))</f>
        <v>0.00122607479948507</v>
      </c>
      <c r="L244" s="54" t="n">
        <f aca="false">IF($A244="","",IFERROR(SUMIFS($J$5:$J$504,$AB$5:$AB$504,"&lt;="&amp;AB244)/$J$505,0))</f>
        <v>0.792559402760084</v>
      </c>
      <c r="M244" s="55" t="str">
        <f aca="false">IF($A244="","",IF(L244&lt;=Assumptions!$B$7,"A",IF(L244&lt;=Assumptions!$B$8,"B","C")))</f>
        <v>A</v>
      </c>
      <c r="N244" s="55" t="str">
        <f aca="false">IF($A244="","",IF(I244&lt;=Assumptions!$B$9,"X",IF(I244&lt;=Assumptions!$B$10,"Y","Z")))</f>
        <v>Y</v>
      </c>
      <c r="O244" s="56" t="str">
        <f aca="false">IF($A244="","",M244&amp;N244)</f>
        <v>AY</v>
      </c>
      <c r="P244" s="57" t="n">
        <f aca="false">IF($A244="","",INDEX(Assumptions!$B$35:$B$37,MATCH(M244,Assumptions!$A$35:$A$37,0)))</f>
        <v>0.98</v>
      </c>
      <c r="Q244" s="58" t="n">
        <f aca="false">IF($A244="","",NORMSINV(P244))</f>
        <v>2.05374891063182</v>
      </c>
      <c r="R244" s="48" t="n">
        <f aca="false">IF($A244="","",ROUNDUP(Q244*H244*SQRT(D244),0))</f>
        <v>294</v>
      </c>
      <c r="S244" s="48" t="n">
        <f aca="false">IF($A244="","",ROUNDUP(G244*D244+R244,0))</f>
        <v>771</v>
      </c>
      <c r="T244" s="46" t="n">
        <f aca="false">IF($A244="","",IFERROR(ROUND(SQRT(2*F244*Assumptions!$B$4/(Assumptions!$B$5*C244)),0),0))</f>
        <v>900</v>
      </c>
      <c r="U244" s="53" t="n">
        <f aca="false">IF($A244="","",R244*C244)</f>
        <v>449.82</v>
      </c>
      <c r="V244" s="53" t="n">
        <f aca="false">IF($A244="","",E244*C244)</f>
        <v>3190.05</v>
      </c>
      <c r="W244" s="59" t="n">
        <f aca="false">IF($A244="","",IFERROR(E244/G244,0))</f>
        <v>35.0080723280594</v>
      </c>
      <c r="X244" s="48" t="n">
        <f aca="false">IF($A244="","",S244+T244)</f>
        <v>1671</v>
      </c>
      <c r="Y244" s="48" t="n">
        <f aca="false">IF($A244="","",MAX(0,E244-X244))</f>
        <v>414</v>
      </c>
      <c r="Z244" s="53" t="n">
        <f aca="false">IF($A244="","",Y244*C244)</f>
        <v>633.42</v>
      </c>
      <c r="AA244" s="56" t="str">
        <f aca="false">IF($A244="","",IF(E244&lt;=R244,"Below Safety Stock",IF(E244&lt;=S244,"Reorder Now",IF(E244&gt;X244,"Excess","Healthy"))))</f>
        <v>Excess</v>
      </c>
      <c r="AB244" s="48" t="n">
        <f aca="false">IF($A244="","",RANK(AF244,$AF$5:$AF$504,0)+COUNTIF($AF$5:AF244,AF244)-1)</f>
        <v>284</v>
      </c>
      <c r="AC244" s="44" t="str">
        <f aca="false">IF($A244="","",Weekly_Demand!B244)</f>
        <v>RED RETROSPOT PEG BAG</v>
      </c>
      <c r="AD244" s="59" t="n">
        <f aca="false">IF($A244="","",H244*SQRT(D244))</f>
        <v>142.885022705054</v>
      </c>
      <c r="AE244" s="53" t="n">
        <f aca="false">IF($A244="","",AD244*C244)</f>
        <v>218.614084738733</v>
      </c>
      <c r="AF244" s="53" t="n">
        <f aca="false">IF($A244="","",ROUND(J244,2))</f>
        <v>4738.41</v>
      </c>
    </row>
    <row r="245" customFormat="false" ht="15" hidden="false" customHeight="false" outlineLevel="0" collapsed="false">
      <c r="A245" s="44" t="str">
        <f aca="false">IF(Weekly_Demand!A245="","",Weekly_Demand!A245)</f>
        <v>21314</v>
      </c>
      <c r="B245" s="44" t="str">
        <f aca="false">IF($A245="","",Weekly_Demand!C245)</f>
        <v>Other</v>
      </c>
      <c r="C245" s="45" t="n">
        <f aca="false">IF($A245="","",Weekly_Demand!D245)</f>
        <v>1.26</v>
      </c>
      <c r="D245" s="46" t="n">
        <f aca="false">IF($A245="","",Weekly_Demand!E245+Assumptions!$B$19)</f>
        <v>6</v>
      </c>
      <c r="E245" s="46" t="n">
        <f aca="false">IF($A245="","",Weekly_Demand!F245)</f>
        <v>982</v>
      </c>
      <c r="F245" s="46" t="n">
        <f aca="false">IF($A245="","",SUM(Weekly_Demand!G245:BF245))</f>
        <v>3927</v>
      </c>
      <c r="G245" s="51" t="n">
        <f aca="false">IF($A245="","",IFERROR(F245/Assumptions!$B$6,0))</f>
        <v>75.5192307692308</v>
      </c>
      <c r="H245" s="51" t="n">
        <f aca="false">IF($A245="","",STDEV(Weekly_Demand!G245:BF245))</f>
        <v>52.2161759868606</v>
      </c>
      <c r="I245" s="52" t="n">
        <f aca="false">IF($A245="","",IFERROR(H245/G245,0))</f>
        <v>0.691428864608289</v>
      </c>
      <c r="J245" s="53" t="n">
        <f aca="false">IF($A245="","",F245*C245)</f>
        <v>4948.02</v>
      </c>
      <c r="K245" s="54" t="n">
        <f aca="false">IF($A245="","",IFERROR(J245/$J$505,0))</f>
        <v>0.00128031188296245</v>
      </c>
      <c r="L245" s="54" t="n">
        <f aca="false">IF($A245="","",IFERROR(SUMIFS($J$5:$J$504,$AB$5:$AB$504,"&lt;="&amp;AB245)/$J$505,0))</f>
        <v>0.773755456375187</v>
      </c>
      <c r="M245" s="55" t="str">
        <f aca="false">IF($A245="","",IF(L245&lt;=Assumptions!$B$7,"A",IF(L245&lt;=Assumptions!$B$8,"B","C")))</f>
        <v>A</v>
      </c>
      <c r="N245" s="55" t="str">
        <f aca="false">IF($A245="","",IF(I245&lt;=Assumptions!$B$9,"X",IF(I245&lt;=Assumptions!$B$10,"Y","Z")))</f>
        <v>Y</v>
      </c>
      <c r="O245" s="56" t="str">
        <f aca="false">IF($A245="","",M245&amp;N245)</f>
        <v>AY</v>
      </c>
      <c r="P245" s="57" t="n">
        <f aca="false">IF($A245="","",INDEX(Assumptions!$B$35:$B$37,MATCH(M245,Assumptions!$A$35:$A$37,0)))</f>
        <v>0.98</v>
      </c>
      <c r="Q245" s="58" t="n">
        <f aca="false">IF($A245="","",NORMSINV(P245))</f>
        <v>2.05374891063182</v>
      </c>
      <c r="R245" s="48" t="n">
        <f aca="false">IF($A245="","",ROUNDUP(Q245*H245*SQRT(D245),0))</f>
        <v>263</v>
      </c>
      <c r="S245" s="48" t="n">
        <f aca="false">IF($A245="","",ROUNDUP(G245*D245+R245,0))</f>
        <v>717</v>
      </c>
      <c r="T245" s="46" t="n">
        <f aca="false">IF($A245="","",IFERROR(ROUND(SQRT(2*F245*Assumptions!$B$4/(Assumptions!$B$5*C245)),0),0))</f>
        <v>1117</v>
      </c>
      <c r="U245" s="53" t="n">
        <f aca="false">IF($A245="","",R245*C245)</f>
        <v>331.38</v>
      </c>
      <c r="V245" s="53" t="n">
        <f aca="false">IF($A245="","",E245*C245)</f>
        <v>1237.32</v>
      </c>
      <c r="W245" s="59" t="n">
        <f aca="false">IF($A245="","",IFERROR(E245/G245,0))</f>
        <v>13.0033104150751</v>
      </c>
      <c r="X245" s="48" t="n">
        <f aca="false">IF($A245="","",S245+T245)</f>
        <v>1834</v>
      </c>
      <c r="Y245" s="48" t="n">
        <f aca="false">IF($A245="","",MAX(0,E245-X245))</f>
        <v>0</v>
      </c>
      <c r="Z245" s="53" t="n">
        <f aca="false">IF($A245="","",Y245*C245)</f>
        <v>0</v>
      </c>
      <c r="AA245" s="56" t="str">
        <f aca="false">IF($A245="","",IF(E245&lt;=R245,"Below Safety Stock",IF(E245&lt;=S245,"Reorder Now",IF(E245&gt;X245,"Excess","Healthy"))))</f>
        <v>Healthy</v>
      </c>
      <c r="AB245" s="48" t="n">
        <f aca="false">IF($A245="","",RANK(AF245,$AF$5:$AF$504,0)+COUNTIF($AF$5:AF245,AF245)-1)</f>
        <v>269</v>
      </c>
      <c r="AC245" s="44" t="str">
        <f aca="false">IF($A245="","",Weekly_Demand!B245)</f>
        <v>SMALL GLASS HEART TRINKET POT</v>
      </c>
      <c r="AD245" s="59" t="n">
        <f aca="false">IF($A245="","",H245*SQRT(D245))</f>
        <v>127.902987487176</v>
      </c>
      <c r="AE245" s="53" t="n">
        <f aca="false">IF($A245="","",AD245*C245)</f>
        <v>161.157764233842</v>
      </c>
      <c r="AF245" s="53" t="n">
        <f aca="false">IF($A245="","",ROUND(J245,2))</f>
        <v>4948.02</v>
      </c>
    </row>
    <row r="246" customFormat="false" ht="15" hidden="false" customHeight="false" outlineLevel="0" collapsed="false">
      <c r="A246" s="44" t="str">
        <f aca="false">IF(Weekly_Demand!A246="","",Weekly_Demand!A246)</f>
        <v>35970</v>
      </c>
      <c r="B246" s="44" t="str">
        <f aca="false">IF($A246="","",Weekly_Demand!C246)</f>
        <v>Other</v>
      </c>
      <c r="C246" s="45" t="n">
        <f aca="false">IF($A246="","",Weekly_Demand!D246)</f>
        <v>1.014</v>
      </c>
      <c r="D246" s="46" t="n">
        <f aca="false">IF($A246="","",Weekly_Demand!E246+Assumptions!$B$19)</f>
        <v>6</v>
      </c>
      <c r="E246" s="46" t="n">
        <f aca="false">IF($A246="","",Weekly_Demand!F246)</f>
        <v>653</v>
      </c>
      <c r="F246" s="46" t="n">
        <f aca="false">IF($A246="","",SUM(Weekly_Demand!G246:BF246))</f>
        <v>4853</v>
      </c>
      <c r="G246" s="51" t="n">
        <f aca="false">IF($A246="","",IFERROR(F246/Assumptions!$B$6,0))</f>
        <v>93.3269230769231</v>
      </c>
      <c r="H246" s="51" t="n">
        <f aca="false">IF($A246="","",STDEV(Weekly_Demand!G246:BF246))</f>
        <v>152.732718114043</v>
      </c>
      <c r="I246" s="52" t="n">
        <f aca="false">IF($A246="","",IFERROR(H246/G246,0))</f>
        <v>1.63653437913255</v>
      </c>
      <c r="J246" s="53" t="n">
        <f aca="false">IF($A246="","",F246*C246)</f>
        <v>4920.942</v>
      </c>
      <c r="K246" s="54" t="n">
        <f aca="false">IF($A246="","",IFERROR(J246/$J$505,0))</f>
        <v>0.00127330538639072</v>
      </c>
      <c r="L246" s="54" t="n">
        <f aca="false">IF($A246="","",IFERROR(SUMIFS($J$5:$J$504,$AB$5:$AB$504,"&lt;="&amp;AB246)/$J$505,0))</f>
        <v>0.780135741687956</v>
      </c>
      <c r="M246" s="55" t="str">
        <f aca="false">IF($A246="","",IF(L246&lt;=Assumptions!$B$7,"A",IF(L246&lt;=Assumptions!$B$8,"B","C")))</f>
        <v>A</v>
      </c>
      <c r="N246" s="55" t="str">
        <f aca="false">IF($A246="","",IF(I246&lt;=Assumptions!$B$9,"X",IF(I246&lt;=Assumptions!$B$10,"Y","Z")))</f>
        <v>Z</v>
      </c>
      <c r="O246" s="56" t="str">
        <f aca="false">IF($A246="","",M246&amp;N246)</f>
        <v>AZ</v>
      </c>
      <c r="P246" s="57" t="n">
        <f aca="false">IF($A246="","",INDEX(Assumptions!$B$35:$B$37,MATCH(M246,Assumptions!$A$35:$A$37,0)))</f>
        <v>0.98</v>
      </c>
      <c r="Q246" s="58" t="n">
        <f aca="false">IF($A246="","",NORMSINV(P246))</f>
        <v>2.05374891063182</v>
      </c>
      <c r="R246" s="48" t="n">
        <f aca="false">IF($A246="","",ROUNDUP(Q246*H246*SQRT(D246),0))</f>
        <v>769</v>
      </c>
      <c r="S246" s="48" t="n">
        <f aca="false">IF($A246="","",ROUNDUP(G246*D246+R246,0))</f>
        <v>1329</v>
      </c>
      <c r="T246" s="46" t="n">
        <f aca="false">IF($A246="","",IFERROR(ROUND(SQRT(2*F246*Assumptions!$B$4/(Assumptions!$B$5*C246)),0),0))</f>
        <v>1384</v>
      </c>
      <c r="U246" s="53" t="n">
        <f aca="false">IF($A246="","",R246*C246)</f>
        <v>779.766</v>
      </c>
      <c r="V246" s="53" t="n">
        <f aca="false">IF($A246="","",E246*C246)</f>
        <v>662.142</v>
      </c>
      <c r="W246" s="59" t="n">
        <f aca="false">IF($A246="","",IFERROR(E246/G246,0))</f>
        <v>6.9969091283742</v>
      </c>
      <c r="X246" s="48" t="n">
        <f aca="false">IF($A246="","",S246+T246)</f>
        <v>2713</v>
      </c>
      <c r="Y246" s="48" t="n">
        <f aca="false">IF($A246="","",MAX(0,E246-X246))</f>
        <v>0</v>
      </c>
      <c r="Z246" s="53" t="n">
        <f aca="false">IF($A246="","",Y246*C246)</f>
        <v>0</v>
      </c>
      <c r="AA246" s="56" t="str">
        <f aca="false">IF($A246="","",IF(E246&lt;=R246,"Below Safety Stock",IF(E246&lt;=S246,"Reorder Now",IF(E246&gt;X246,"Excess","Healthy"))))</f>
        <v>Below Safety Stock</v>
      </c>
      <c r="AB246" s="48" t="n">
        <f aca="false">IF($A246="","",RANK(AF246,$AF$5:$AF$504,0)+COUNTIF($AF$5:AF246,AF246)-1)</f>
        <v>274</v>
      </c>
      <c r="AC246" s="44" t="str">
        <f aca="false">IF($A246="","",Weekly_Demand!B246)</f>
        <v>ZINC FOLKART SLEIGH BELLS</v>
      </c>
      <c r="AD246" s="59" t="n">
        <f aca="false">IF($A246="","",H246*SQRT(D246))</f>
        <v>374.117226407743</v>
      </c>
      <c r="AE246" s="53" t="n">
        <f aca="false">IF($A246="","",AD246*C246)</f>
        <v>379.354867577452</v>
      </c>
      <c r="AF246" s="53" t="n">
        <f aca="false">IF($A246="","",ROUND(J246,2))</f>
        <v>4920.94</v>
      </c>
    </row>
    <row r="247" customFormat="false" ht="15" hidden="false" customHeight="false" outlineLevel="0" collapsed="false">
      <c r="A247" s="44" t="str">
        <f aca="false">IF(Weekly_Demand!A247="","",Weekly_Demand!A247)</f>
        <v>21174</v>
      </c>
      <c r="B247" s="44" t="str">
        <f aca="false">IF($A247="","",Weekly_Demand!C247)</f>
        <v>Other</v>
      </c>
      <c r="C247" s="45" t="n">
        <f aca="false">IF($A247="","",Weekly_Demand!D247)</f>
        <v>1.248</v>
      </c>
      <c r="D247" s="46" t="n">
        <f aca="false">IF($A247="","",Weekly_Demand!E247+Assumptions!$B$19)</f>
        <v>6</v>
      </c>
      <c r="E247" s="46" t="n">
        <f aca="false">IF($A247="","",Weekly_Demand!F247)</f>
        <v>2930</v>
      </c>
      <c r="F247" s="46" t="n">
        <f aca="false">IF($A247="","",SUM(Weekly_Demand!G247:BF247))</f>
        <v>4009</v>
      </c>
      <c r="G247" s="51" t="n">
        <f aca="false">IF($A247="","",IFERROR(F247/Assumptions!$B$6,0))</f>
        <v>77.0961538461538</v>
      </c>
      <c r="H247" s="51" t="n">
        <f aca="false">IF($A247="","",STDEV(Weekly_Demand!G247:BF247))</f>
        <v>89.577277321696</v>
      </c>
      <c r="I247" s="52" t="n">
        <f aca="false">IF($A247="","",IFERROR(H247/G247,0))</f>
        <v>1.16189035189029</v>
      </c>
      <c r="J247" s="53" t="n">
        <f aca="false">IF($A247="","",F247*C247)</f>
        <v>5003.232</v>
      </c>
      <c r="K247" s="54" t="n">
        <f aca="false">IF($A247="","",IFERROR(J247/$J$505,0))</f>
        <v>0.00129459811860461</v>
      </c>
      <c r="L247" s="54" t="n">
        <f aca="false">IF($A247="","",IFERROR(SUMIFS($J$5:$J$504,$AB$5:$AB$504,"&lt;="&amp;AB247)/$J$505,0))</f>
        <v>0.764739268988102</v>
      </c>
      <c r="M247" s="55" t="str">
        <f aca="false">IF($A247="","",IF(L247&lt;=Assumptions!$B$7,"A",IF(L247&lt;=Assumptions!$B$8,"B","C")))</f>
        <v>A</v>
      </c>
      <c r="N247" s="55" t="str">
        <f aca="false">IF($A247="","",IF(I247&lt;=Assumptions!$B$9,"X",IF(I247&lt;=Assumptions!$B$10,"Y","Z")))</f>
        <v>Z</v>
      </c>
      <c r="O247" s="56" t="str">
        <f aca="false">IF($A247="","",M247&amp;N247)</f>
        <v>AZ</v>
      </c>
      <c r="P247" s="57" t="n">
        <f aca="false">IF($A247="","",INDEX(Assumptions!$B$35:$B$37,MATCH(M247,Assumptions!$A$35:$A$37,0)))</f>
        <v>0.98</v>
      </c>
      <c r="Q247" s="58" t="n">
        <f aca="false">IF($A247="","",NORMSINV(P247))</f>
        <v>2.05374891063182</v>
      </c>
      <c r="R247" s="48" t="n">
        <f aca="false">IF($A247="","",ROUNDUP(Q247*H247*SQRT(D247),0))</f>
        <v>451</v>
      </c>
      <c r="S247" s="48" t="n">
        <f aca="false">IF($A247="","",ROUNDUP(G247*D247+R247,0))</f>
        <v>914</v>
      </c>
      <c r="T247" s="46" t="n">
        <f aca="false">IF($A247="","",IFERROR(ROUND(SQRT(2*F247*Assumptions!$B$4/(Assumptions!$B$5*C247)),0),0))</f>
        <v>1134</v>
      </c>
      <c r="U247" s="53" t="n">
        <f aca="false">IF($A247="","",R247*C247)</f>
        <v>562.848</v>
      </c>
      <c r="V247" s="53" t="n">
        <f aca="false">IF($A247="","",E247*C247)</f>
        <v>3656.64</v>
      </c>
      <c r="W247" s="59" t="n">
        <f aca="false">IF($A247="","",IFERROR(E247/G247,0))</f>
        <v>38.0044898977301</v>
      </c>
      <c r="X247" s="48" t="n">
        <f aca="false">IF($A247="","",S247+T247)</f>
        <v>2048</v>
      </c>
      <c r="Y247" s="48" t="n">
        <f aca="false">IF($A247="","",MAX(0,E247-X247))</f>
        <v>882</v>
      </c>
      <c r="Z247" s="53" t="n">
        <f aca="false">IF($A247="","",Y247*C247)</f>
        <v>1100.736</v>
      </c>
      <c r="AA247" s="56" t="str">
        <f aca="false">IF($A247="","",IF(E247&lt;=R247,"Below Safety Stock",IF(E247&lt;=S247,"Reorder Now",IF(E247&gt;X247,"Excess","Healthy"))))</f>
        <v>Excess</v>
      </c>
      <c r="AB247" s="48" t="n">
        <f aca="false">IF($A247="","",RANK(AF247,$AF$5:$AF$504,0)+COUNTIF($AF$5:AF247,AF247)-1)</f>
        <v>262</v>
      </c>
      <c r="AC247" s="44" t="str">
        <f aca="false">IF($A247="","",Weekly_Demand!B247)</f>
        <v>POTTERING IN THE SHED METAL SIGN</v>
      </c>
      <c r="AD247" s="59" t="n">
        <f aca="false">IF($A247="","",H247*SQRT(D247))</f>
        <v>219.418621985938</v>
      </c>
      <c r="AE247" s="53" t="n">
        <f aca="false">IF($A247="","",AD247*C247)</f>
        <v>273.834440238451</v>
      </c>
      <c r="AF247" s="53" t="n">
        <f aca="false">IF($A247="","",ROUND(J247,2))</f>
        <v>5003.23</v>
      </c>
    </row>
    <row r="248" customFormat="false" ht="15" hidden="false" customHeight="false" outlineLevel="0" collapsed="false">
      <c r="A248" s="44" t="str">
        <f aca="false">IF(Weekly_Demand!A248="","",Weekly_Demand!A248)</f>
        <v>22144</v>
      </c>
      <c r="B248" s="44" t="str">
        <f aca="false">IF($A248="","",Weekly_Demand!C248)</f>
        <v>Other</v>
      </c>
      <c r="C248" s="45" t="n">
        <f aca="false">IF($A248="","",Weekly_Demand!D248)</f>
        <v>1.26</v>
      </c>
      <c r="D248" s="46" t="n">
        <f aca="false">IF($A248="","",Weekly_Demand!E248+Assumptions!$B$19)</f>
        <v>2</v>
      </c>
      <c r="E248" s="46" t="n">
        <f aca="false">IF($A248="","",Weekly_Demand!F248)</f>
        <v>2054</v>
      </c>
      <c r="F248" s="46" t="n">
        <f aca="false">IF($A248="","",SUM(Weekly_Demand!G248:BF248))</f>
        <v>3815</v>
      </c>
      <c r="G248" s="51" t="n">
        <f aca="false">IF($A248="","",IFERROR(F248/Assumptions!$B$6,0))</f>
        <v>73.3653846153846</v>
      </c>
      <c r="H248" s="51" t="n">
        <f aca="false">IF($A248="","",STDEV(Weekly_Demand!G248:BF248))</f>
        <v>115.703649313905</v>
      </c>
      <c r="I248" s="52" t="n">
        <f aca="false">IF($A248="","",IFERROR(H248/G248,0))</f>
        <v>1.5770877494949</v>
      </c>
      <c r="J248" s="53" t="n">
        <f aca="false">IF($A248="","",F248*C248)</f>
        <v>4806.9</v>
      </c>
      <c r="K248" s="54" t="n">
        <f aca="false">IF($A248="","",IFERROR(J248/$J$505,0))</f>
        <v>0.00124379674904552</v>
      </c>
      <c r="L248" s="54" t="n">
        <f aca="false">IF($A248="","",IFERROR(SUMIFS($J$5:$J$504,$AB$5:$AB$504,"&lt;="&amp;AB248)/$J$505,0))</f>
        <v>0.785139029191106</v>
      </c>
      <c r="M248" s="55" t="str">
        <f aca="false">IF($A248="","",IF(L248&lt;=Assumptions!$B$7,"A",IF(L248&lt;=Assumptions!$B$8,"B","C")))</f>
        <v>A</v>
      </c>
      <c r="N248" s="55" t="str">
        <f aca="false">IF($A248="","",IF(I248&lt;=Assumptions!$B$9,"X",IF(I248&lt;=Assumptions!$B$10,"Y","Z")))</f>
        <v>Z</v>
      </c>
      <c r="O248" s="56" t="str">
        <f aca="false">IF($A248="","",M248&amp;N248)</f>
        <v>AZ</v>
      </c>
      <c r="P248" s="57" t="n">
        <f aca="false">IF($A248="","",INDEX(Assumptions!$B$35:$B$37,MATCH(M248,Assumptions!$A$35:$A$37,0)))</f>
        <v>0.98</v>
      </c>
      <c r="Q248" s="58" t="n">
        <f aca="false">IF($A248="","",NORMSINV(P248))</f>
        <v>2.05374891063182</v>
      </c>
      <c r="R248" s="48" t="n">
        <f aca="false">IF($A248="","",ROUNDUP(Q248*H248*SQRT(D248),0))</f>
        <v>337</v>
      </c>
      <c r="S248" s="48" t="n">
        <f aca="false">IF($A248="","",ROUNDUP(G248*D248+R248,0))</f>
        <v>484</v>
      </c>
      <c r="T248" s="46" t="n">
        <f aca="false">IF($A248="","",IFERROR(ROUND(SQRT(2*F248*Assumptions!$B$4/(Assumptions!$B$5*C248)),0),0))</f>
        <v>1101</v>
      </c>
      <c r="U248" s="53" t="n">
        <f aca="false">IF($A248="","",R248*C248)</f>
        <v>424.62</v>
      </c>
      <c r="V248" s="53" t="n">
        <f aca="false">IF($A248="","",E248*C248)</f>
        <v>2588.04</v>
      </c>
      <c r="W248" s="59" t="n">
        <f aca="false">IF($A248="","",IFERROR(E248/G248,0))</f>
        <v>27.9968545216252</v>
      </c>
      <c r="X248" s="48" t="n">
        <f aca="false">IF($A248="","",S248+T248)</f>
        <v>1585</v>
      </c>
      <c r="Y248" s="48" t="n">
        <f aca="false">IF($A248="","",MAX(0,E248-X248))</f>
        <v>469</v>
      </c>
      <c r="Z248" s="53" t="n">
        <f aca="false">IF($A248="","",Y248*C248)</f>
        <v>590.94</v>
      </c>
      <c r="AA248" s="56" t="str">
        <f aca="false">IF($A248="","",IF(E248&lt;=R248,"Below Safety Stock",IF(E248&lt;=S248,"Reorder Now",IF(E248&gt;X248,"Excess","Healthy"))))</f>
        <v>Excess</v>
      </c>
      <c r="AB248" s="48" t="n">
        <f aca="false">IF($A248="","",RANK(AF248,$AF$5:$AF$504,0)+COUNTIF($AF$5:AF248,AF248)-1)</f>
        <v>278</v>
      </c>
      <c r="AC248" s="44" t="str">
        <f aca="false">IF($A248="","",Weekly_Demand!B248)</f>
        <v>CHRISTMAS CRAFT LITTLE FRIENDS</v>
      </c>
      <c r="AD248" s="59" t="n">
        <f aca="false">IF($A248="","",H248*SQRT(D248))</f>
        <v>163.629670075785</v>
      </c>
      <c r="AE248" s="53" t="n">
        <f aca="false">IF($A248="","",AD248*C248)</f>
        <v>206.173384295489</v>
      </c>
      <c r="AF248" s="53" t="n">
        <f aca="false">IF($A248="","",ROUND(J248,2))</f>
        <v>4806.9</v>
      </c>
    </row>
    <row r="249" customFormat="false" ht="15" hidden="false" customHeight="false" outlineLevel="0" collapsed="false">
      <c r="A249" s="44" t="str">
        <f aca="false">IF(Weekly_Demand!A249="","",Weekly_Demand!A249)</f>
        <v>84991</v>
      </c>
      <c r="B249" s="44" t="str">
        <f aca="false">IF($A249="","",Weekly_Demand!C249)</f>
        <v>Kitchen</v>
      </c>
      <c r="C249" s="45" t="n">
        <f aca="false">IF($A249="","",Weekly_Demand!D249)</f>
        <v>0.33</v>
      </c>
      <c r="D249" s="46" t="n">
        <f aca="false">IF($A249="","",Weekly_Demand!E249+Assumptions!$B$19)</f>
        <v>8</v>
      </c>
      <c r="E249" s="46" t="n">
        <f aca="false">IF($A249="","",Weekly_Demand!F249)</f>
        <v>2058</v>
      </c>
      <c r="F249" s="46" t="n">
        <f aca="false">IF($A249="","",SUM(Weekly_Demand!G249:BF249))</f>
        <v>17840</v>
      </c>
      <c r="G249" s="51" t="n">
        <f aca="false">IF($A249="","",IFERROR(F249/Assumptions!$B$6,0))</f>
        <v>343.076923076923</v>
      </c>
      <c r="H249" s="51" t="n">
        <f aca="false">IF($A249="","",STDEV(Weekly_Demand!G249:BF249))</f>
        <v>236.554254951047</v>
      </c>
      <c r="I249" s="52" t="n">
        <f aca="false">IF($A249="","",IFERROR(H249/G249,0))</f>
        <v>0.689507918018747</v>
      </c>
      <c r="J249" s="53" t="n">
        <f aca="false">IF($A249="","",F249*C249)</f>
        <v>5887.2</v>
      </c>
      <c r="K249" s="54" t="n">
        <f aca="false">IF($A249="","",IFERROR(J249/$J$505,0))</f>
        <v>0.00152332693024211</v>
      </c>
      <c r="L249" s="54" t="n">
        <f aca="false">IF($A249="","",IFERROR(SUMIFS($J$5:$J$504,$AB$5:$AB$504,"&lt;="&amp;AB249)/$J$505,0))</f>
        <v>0.707269894422654</v>
      </c>
      <c r="M249" s="55" t="str">
        <f aca="false">IF($A249="","",IF(L249&lt;=Assumptions!$B$7,"A",IF(L249&lt;=Assumptions!$B$8,"B","C")))</f>
        <v>A</v>
      </c>
      <c r="N249" s="55" t="str">
        <f aca="false">IF($A249="","",IF(I249&lt;=Assumptions!$B$9,"X",IF(I249&lt;=Assumptions!$B$10,"Y","Z")))</f>
        <v>Y</v>
      </c>
      <c r="O249" s="56" t="str">
        <f aca="false">IF($A249="","",M249&amp;N249)</f>
        <v>AY</v>
      </c>
      <c r="P249" s="57" t="n">
        <f aca="false">IF($A249="","",INDEX(Assumptions!$B$35:$B$37,MATCH(M249,Assumptions!$A$35:$A$37,0)))</f>
        <v>0.98</v>
      </c>
      <c r="Q249" s="58" t="n">
        <f aca="false">IF($A249="","",NORMSINV(P249))</f>
        <v>2.05374891063182</v>
      </c>
      <c r="R249" s="48" t="n">
        <f aca="false">IF($A249="","",ROUNDUP(Q249*H249*SQRT(D249),0))</f>
        <v>1375</v>
      </c>
      <c r="S249" s="48" t="n">
        <f aca="false">IF($A249="","",ROUNDUP(G249*D249+R249,0))</f>
        <v>4120</v>
      </c>
      <c r="T249" s="46" t="n">
        <f aca="false">IF($A249="","",IFERROR(ROUND(SQRT(2*F249*Assumptions!$B$4/(Assumptions!$B$5*C249)),0),0))</f>
        <v>4650</v>
      </c>
      <c r="U249" s="53" t="n">
        <f aca="false">IF($A249="","",R249*C249)</f>
        <v>453.75</v>
      </c>
      <c r="V249" s="53" t="n">
        <f aca="false">IF($A249="","",E249*C249)</f>
        <v>679.14</v>
      </c>
      <c r="W249" s="59" t="n">
        <f aca="false">IF($A249="","",IFERROR(E249/G249,0))</f>
        <v>5.99865470852018</v>
      </c>
      <c r="X249" s="48" t="n">
        <f aca="false">IF($A249="","",S249+T249)</f>
        <v>8770</v>
      </c>
      <c r="Y249" s="48" t="n">
        <f aca="false">IF($A249="","",MAX(0,E249-X249))</f>
        <v>0</v>
      </c>
      <c r="Z249" s="53" t="n">
        <f aca="false">IF($A249="","",Y249*C249)</f>
        <v>0</v>
      </c>
      <c r="AA249" s="56" t="str">
        <f aca="false">IF($A249="","",IF(E249&lt;=R249,"Below Safety Stock",IF(E249&lt;=S249,"Reorder Now",IF(E249&gt;X249,"Excess","Healthy"))))</f>
        <v>Reorder Now</v>
      </c>
      <c r="AB249" s="48" t="n">
        <f aca="false">IF($A249="","",RANK(AF249,$AF$5:$AF$504,0)+COUNTIF($AF$5:AF249,AF249)-1)</f>
        <v>221</v>
      </c>
      <c r="AC249" s="44" t="str">
        <f aca="false">IF($A249="","",Weekly_Demand!B249)</f>
        <v>60 TEATIME FAIRY CAKE CASES</v>
      </c>
      <c r="AD249" s="59" t="n">
        <f aca="false">IF($A249="","",H249*SQRT(D249))</f>
        <v>669.076471177667</v>
      </c>
      <c r="AE249" s="53" t="n">
        <f aca="false">IF($A249="","",AD249*C249)</f>
        <v>220.79523548863</v>
      </c>
      <c r="AF249" s="53" t="n">
        <f aca="false">IF($A249="","",ROUND(J249,2))</f>
        <v>5887.2</v>
      </c>
    </row>
    <row r="250" customFormat="false" ht="15" hidden="false" customHeight="false" outlineLevel="0" collapsed="false">
      <c r="A250" s="44" t="str">
        <f aca="false">IF(Weekly_Demand!A250="","",Weekly_Demand!A250)</f>
        <v>23319</v>
      </c>
      <c r="B250" s="44" t="str">
        <f aca="false">IF($A250="","",Weekly_Demand!C250)</f>
        <v>Other</v>
      </c>
      <c r="C250" s="45" t="n">
        <f aca="false">IF($A250="","",Weekly_Demand!D250)</f>
        <v>1.494</v>
      </c>
      <c r="D250" s="46" t="n">
        <f aca="false">IF($A250="","",Weekly_Demand!E250+Assumptions!$B$19)</f>
        <v>8</v>
      </c>
      <c r="E250" s="46" t="n">
        <f aca="false">IF($A250="","",Weekly_Demand!F250)</f>
        <v>628</v>
      </c>
      <c r="F250" s="46" t="n">
        <f aca="false">IF($A250="","",SUM(Weekly_Demand!G250:BF250))</f>
        <v>3626</v>
      </c>
      <c r="G250" s="51" t="n">
        <f aca="false">IF($A250="","",IFERROR(F250/Assumptions!$B$6,0))</f>
        <v>69.7307692307692</v>
      </c>
      <c r="H250" s="51" t="n">
        <f aca="false">IF($A250="","",STDEV(Weekly_Demand!G250:BF250))</f>
        <v>126.474536751298</v>
      </c>
      <c r="I250" s="52" t="n">
        <f aca="false">IF($A250="","",IFERROR(H250/G250,0))</f>
        <v>1.81375507751448</v>
      </c>
      <c r="J250" s="53" t="n">
        <f aca="false">IF($A250="","",F250*C250)</f>
        <v>5417.244</v>
      </c>
      <c r="K250" s="54" t="n">
        <f aca="false">IF($A250="","",IFERROR(J250/$J$505,0))</f>
        <v>0.00140172470323625</v>
      </c>
      <c r="L250" s="54" t="n">
        <f aca="false">IF($A250="","",IFERROR(SUMIFS($J$5:$J$504,$AB$5:$AB$504,"&lt;="&amp;AB250)/$J$505,0))</f>
        <v>0.736299410361473</v>
      </c>
      <c r="M250" s="55" t="str">
        <f aca="false">IF($A250="","",IF(L250&lt;=Assumptions!$B$7,"A",IF(L250&lt;=Assumptions!$B$8,"B","C")))</f>
        <v>A</v>
      </c>
      <c r="N250" s="55" t="str">
        <f aca="false">IF($A250="","",IF(I250&lt;=Assumptions!$B$9,"X",IF(I250&lt;=Assumptions!$B$10,"Y","Z")))</f>
        <v>Z</v>
      </c>
      <c r="O250" s="56" t="str">
        <f aca="false">IF($A250="","",M250&amp;N250)</f>
        <v>AZ</v>
      </c>
      <c r="P250" s="57" t="n">
        <f aca="false">IF($A250="","",INDEX(Assumptions!$B$35:$B$37,MATCH(M250,Assumptions!$A$35:$A$37,0)))</f>
        <v>0.98</v>
      </c>
      <c r="Q250" s="58" t="n">
        <f aca="false">IF($A250="","",NORMSINV(P250))</f>
        <v>2.05374891063182</v>
      </c>
      <c r="R250" s="48" t="n">
        <f aca="false">IF($A250="","",ROUNDUP(Q250*H250*SQRT(D250),0))</f>
        <v>735</v>
      </c>
      <c r="S250" s="48" t="n">
        <f aca="false">IF($A250="","",ROUNDUP(G250*D250+R250,0))</f>
        <v>1293</v>
      </c>
      <c r="T250" s="46" t="n">
        <f aca="false">IF($A250="","",IFERROR(ROUND(SQRT(2*F250*Assumptions!$B$4/(Assumptions!$B$5*C250)),0),0))</f>
        <v>985</v>
      </c>
      <c r="U250" s="53" t="n">
        <f aca="false">IF($A250="","",R250*C250)</f>
        <v>1098.09</v>
      </c>
      <c r="V250" s="53" t="n">
        <f aca="false">IF($A250="","",E250*C250)</f>
        <v>938.232</v>
      </c>
      <c r="W250" s="59" t="n">
        <f aca="false">IF($A250="","",IFERROR(E250/G250,0))</f>
        <v>9.00606729178158</v>
      </c>
      <c r="X250" s="48" t="n">
        <f aca="false">IF($A250="","",S250+T250)</f>
        <v>2278</v>
      </c>
      <c r="Y250" s="48" t="n">
        <f aca="false">IF($A250="","",MAX(0,E250-X250))</f>
        <v>0</v>
      </c>
      <c r="Z250" s="53" t="n">
        <f aca="false">IF($A250="","",Y250*C250)</f>
        <v>0</v>
      </c>
      <c r="AA250" s="56" t="str">
        <f aca="false">IF($A250="","",IF(E250&lt;=R250,"Below Safety Stock",IF(E250&lt;=S250,"Reorder Now",IF(E250&gt;X250,"Excess","Healthy"))))</f>
        <v>Below Safety Stock</v>
      </c>
      <c r="AB250" s="48" t="n">
        <f aca="false">IF($A250="","",RANK(AF250,$AF$5:$AF$504,0)+COUNTIF($AF$5:AF250,AF250)-1)</f>
        <v>241</v>
      </c>
      <c r="AC250" s="44" t="str">
        <f aca="false">IF($A250="","",Weekly_Demand!B250)</f>
        <v>BOX OF 6 MINI 50'S CRACKERS</v>
      </c>
      <c r="AD250" s="59" t="n">
        <f aca="false">IF($A250="","",H250*SQRT(D250))</f>
        <v>357.724010337081</v>
      </c>
      <c r="AE250" s="53" t="n">
        <f aca="false">IF($A250="","",AD250*C250)</f>
        <v>534.439671443599</v>
      </c>
      <c r="AF250" s="53" t="n">
        <f aca="false">IF($A250="","",ROUND(J250,2))</f>
        <v>5417.24</v>
      </c>
    </row>
    <row r="251" customFormat="false" ht="15" hidden="false" customHeight="false" outlineLevel="0" collapsed="false">
      <c r="A251" s="44" t="str">
        <f aca="false">IF(Weekly_Demand!A251="","",Weekly_Demand!A251)</f>
        <v>22759</v>
      </c>
      <c r="B251" s="44" t="str">
        <f aca="false">IF($A251="","",Weekly_Demand!C251)</f>
        <v>Other</v>
      </c>
      <c r="C251" s="45" t="n">
        <f aca="false">IF($A251="","",Weekly_Demand!D251)</f>
        <v>0.99</v>
      </c>
      <c r="D251" s="46" t="n">
        <f aca="false">IF($A251="","",Weekly_Demand!E251+Assumptions!$B$19)</f>
        <v>8</v>
      </c>
      <c r="E251" s="46" t="n">
        <f aca="false">IF($A251="","",Weekly_Demand!F251)</f>
        <v>1135</v>
      </c>
      <c r="F251" s="46" t="n">
        <f aca="false">IF($A251="","",SUM(Weekly_Demand!G251:BF251))</f>
        <v>5365</v>
      </c>
      <c r="G251" s="51" t="n">
        <f aca="false">IF($A251="","",IFERROR(F251/Assumptions!$B$6,0))</f>
        <v>103.173076923077</v>
      </c>
      <c r="H251" s="51" t="n">
        <f aca="false">IF($A251="","",STDEV(Weekly_Demand!G251:BF251))</f>
        <v>125.750721535972</v>
      </c>
      <c r="I251" s="52" t="n">
        <f aca="false">IF($A251="","",IFERROR(H251/G251,0))</f>
        <v>1.2188327157261</v>
      </c>
      <c r="J251" s="53" t="n">
        <f aca="false">IF($A251="","",F251*C251)</f>
        <v>5311.35</v>
      </c>
      <c r="K251" s="54" t="n">
        <f aca="false">IF($A251="","",IFERROR(J251/$J$505,0))</f>
        <v>0.00137432438017078</v>
      </c>
      <c r="L251" s="54" t="n">
        <f aca="false">IF($A251="","",IFERROR(SUMIFS($J$5:$J$504,$AB$5:$AB$504,"&lt;="&amp;AB251)/$J$505,0))</f>
        <v>0.748762792509336</v>
      </c>
      <c r="M251" s="55" t="str">
        <f aca="false">IF($A251="","",IF(L251&lt;=Assumptions!$B$7,"A",IF(L251&lt;=Assumptions!$B$8,"B","C")))</f>
        <v>A</v>
      </c>
      <c r="N251" s="55" t="str">
        <f aca="false">IF($A251="","",IF(I251&lt;=Assumptions!$B$9,"X",IF(I251&lt;=Assumptions!$B$10,"Y","Z")))</f>
        <v>Z</v>
      </c>
      <c r="O251" s="56" t="str">
        <f aca="false">IF($A251="","",M251&amp;N251)</f>
        <v>AZ</v>
      </c>
      <c r="P251" s="57" t="n">
        <f aca="false">IF($A251="","",INDEX(Assumptions!$B$35:$B$37,MATCH(M251,Assumptions!$A$35:$A$37,0)))</f>
        <v>0.98</v>
      </c>
      <c r="Q251" s="58" t="n">
        <f aca="false">IF($A251="","",NORMSINV(P251))</f>
        <v>2.05374891063182</v>
      </c>
      <c r="R251" s="48" t="n">
        <f aca="false">IF($A251="","",ROUNDUP(Q251*H251*SQRT(D251),0))</f>
        <v>731</v>
      </c>
      <c r="S251" s="48" t="n">
        <f aca="false">IF($A251="","",ROUNDUP(G251*D251+R251,0))</f>
        <v>1557</v>
      </c>
      <c r="T251" s="46" t="n">
        <f aca="false">IF($A251="","",IFERROR(ROUND(SQRT(2*F251*Assumptions!$B$4/(Assumptions!$B$5*C251)),0),0))</f>
        <v>1472</v>
      </c>
      <c r="U251" s="53" t="n">
        <f aca="false">IF($A251="","",R251*C251)</f>
        <v>723.69</v>
      </c>
      <c r="V251" s="53" t="n">
        <f aca="false">IF($A251="","",E251*C251)</f>
        <v>1123.65</v>
      </c>
      <c r="W251" s="59" t="n">
        <f aca="false">IF($A251="","",IFERROR(E251/G251,0))</f>
        <v>11.0009319664492</v>
      </c>
      <c r="X251" s="48" t="n">
        <f aca="false">IF($A251="","",S251+T251)</f>
        <v>3029</v>
      </c>
      <c r="Y251" s="48" t="n">
        <f aca="false">IF($A251="","",MAX(0,E251-X251))</f>
        <v>0</v>
      </c>
      <c r="Z251" s="53" t="n">
        <f aca="false">IF($A251="","",Y251*C251)</f>
        <v>0</v>
      </c>
      <c r="AA251" s="56" t="str">
        <f aca="false">IF($A251="","",IF(E251&lt;=R251,"Below Safety Stock",IF(E251&lt;=S251,"Reorder Now",IF(E251&gt;X251,"Excess","Healthy"))))</f>
        <v>Reorder Now</v>
      </c>
      <c r="AB251" s="48" t="n">
        <f aca="false">IF($A251="","",RANK(AF251,$AF$5:$AF$504,0)+COUNTIF($AF$5:AF251,AF251)-1)</f>
        <v>250</v>
      </c>
      <c r="AC251" s="44" t="str">
        <f aca="false">IF($A251="","",Weekly_Demand!B251)</f>
        <v>SET OF 3 NOTEBOOKS IN PARCEL</v>
      </c>
      <c r="AD251" s="59" t="n">
        <f aca="false">IF($A251="","",H251*SQRT(D251))</f>
        <v>355.676751748747</v>
      </c>
      <c r="AE251" s="53" t="n">
        <f aca="false">IF($A251="","",AD251*C251)</f>
        <v>352.11998423126</v>
      </c>
      <c r="AF251" s="53" t="n">
        <f aca="false">IF($A251="","",ROUND(J251,2))</f>
        <v>5311.35</v>
      </c>
    </row>
    <row r="252" customFormat="false" ht="15" hidden="false" customHeight="false" outlineLevel="0" collapsed="false">
      <c r="A252" s="44" t="str">
        <f aca="false">IF(Weekly_Demand!A252="","",Weekly_Demand!A252)</f>
        <v>22729</v>
      </c>
      <c r="B252" s="44" t="str">
        <f aca="false">IF($A252="","",Weekly_Demand!C252)</f>
        <v>Other</v>
      </c>
      <c r="C252" s="45" t="n">
        <f aca="false">IF($A252="","",Weekly_Demand!D252)</f>
        <v>2.25</v>
      </c>
      <c r="D252" s="46" t="n">
        <f aca="false">IF($A252="","",Weekly_Demand!E252+Assumptions!$B$19)</f>
        <v>4</v>
      </c>
      <c r="E252" s="46" t="n">
        <f aca="false">IF($A252="","",Weekly_Demand!F252)</f>
        <v>525</v>
      </c>
      <c r="F252" s="46" t="n">
        <f aca="false">IF($A252="","",SUM(Weekly_Demand!G252:BF252))</f>
        <v>2277</v>
      </c>
      <c r="G252" s="51" t="n">
        <f aca="false">IF($A252="","",IFERROR(F252/Assumptions!$B$6,0))</f>
        <v>43.7884615384615</v>
      </c>
      <c r="H252" s="51" t="n">
        <f aca="false">IF($A252="","",STDEV(Weekly_Demand!G252:BF252))</f>
        <v>51.3501385294966</v>
      </c>
      <c r="I252" s="52" t="n">
        <f aca="false">IF($A252="","",IFERROR(H252/G252,0))</f>
        <v>1.17268651889935</v>
      </c>
      <c r="J252" s="53" t="n">
        <f aca="false">IF($A252="","",F252*C252)</f>
        <v>5123.25</v>
      </c>
      <c r="K252" s="54" t="n">
        <f aca="false">IF($A252="","",IFERROR(J252/$J$505,0))</f>
        <v>0.00132565306009017</v>
      </c>
      <c r="L252" s="54" t="n">
        <f aca="false">IF($A252="","",IFERROR(SUMIFS($J$5:$J$504,$AB$5:$AB$504,"&lt;="&amp;AB252)/$J$505,0))</f>
        <v>0.758189511225573</v>
      </c>
      <c r="M252" s="55" t="str">
        <f aca="false">IF($A252="","",IF(L252&lt;=Assumptions!$B$7,"A",IF(L252&lt;=Assumptions!$B$8,"B","C")))</f>
        <v>A</v>
      </c>
      <c r="N252" s="55" t="str">
        <f aca="false">IF($A252="","",IF(I252&lt;=Assumptions!$B$9,"X",IF(I252&lt;=Assumptions!$B$10,"Y","Z")))</f>
        <v>Z</v>
      </c>
      <c r="O252" s="56" t="str">
        <f aca="false">IF($A252="","",M252&amp;N252)</f>
        <v>AZ</v>
      </c>
      <c r="P252" s="57" t="n">
        <f aca="false">IF($A252="","",INDEX(Assumptions!$B$35:$B$37,MATCH(M252,Assumptions!$A$35:$A$37,0)))</f>
        <v>0.98</v>
      </c>
      <c r="Q252" s="58" t="n">
        <f aca="false">IF($A252="","",NORMSINV(P252))</f>
        <v>2.05374891063182</v>
      </c>
      <c r="R252" s="48" t="n">
        <f aca="false">IF($A252="","",ROUNDUP(Q252*H252*SQRT(D252),0))</f>
        <v>211</v>
      </c>
      <c r="S252" s="48" t="n">
        <f aca="false">IF($A252="","",ROUNDUP(G252*D252+R252,0))</f>
        <v>387</v>
      </c>
      <c r="T252" s="46" t="n">
        <f aca="false">IF($A252="","",IFERROR(ROUND(SQRT(2*F252*Assumptions!$B$4/(Assumptions!$B$5*C252)),0),0))</f>
        <v>636</v>
      </c>
      <c r="U252" s="53" t="n">
        <f aca="false">IF($A252="","",R252*C252)</f>
        <v>474.75</v>
      </c>
      <c r="V252" s="53" t="n">
        <f aca="false">IF($A252="","",E252*C252)</f>
        <v>1181.25</v>
      </c>
      <c r="W252" s="59" t="n">
        <f aca="false">IF($A252="","",IFERROR(E252/G252,0))</f>
        <v>11.9894598155468</v>
      </c>
      <c r="X252" s="48" t="n">
        <f aca="false">IF($A252="","",S252+T252)</f>
        <v>1023</v>
      </c>
      <c r="Y252" s="48" t="n">
        <f aca="false">IF($A252="","",MAX(0,E252-X252))</f>
        <v>0</v>
      </c>
      <c r="Z252" s="53" t="n">
        <f aca="false">IF($A252="","",Y252*C252)</f>
        <v>0</v>
      </c>
      <c r="AA252" s="56" t="str">
        <f aca="false">IF($A252="","",IF(E252&lt;=R252,"Below Safety Stock",IF(E252&lt;=S252,"Reorder Now",IF(E252&gt;X252,"Excess","Healthy"))))</f>
        <v>Healthy</v>
      </c>
      <c r="AB252" s="48" t="n">
        <f aca="false">IF($A252="","",RANK(AF252,$AF$5:$AF$504,0)+COUNTIF($AF$5:AF252,AF252)-1)</f>
        <v>257</v>
      </c>
      <c r="AC252" s="44" t="str">
        <f aca="false">IF($A252="","",Weekly_Demand!B252)</f>
        <v>ALARM CLOCK BAKELIKE ORANGE</v>
      </c>
      <c r="AD252" s="59" t="n">
        <f aca="false">IF($A252="","",H252*SQRT(D252))</f>
        <v>102.700277058993</v>
      </c>
      <c r="AE252" s="53" t="n">
        <f aca="false">IF($A252="","",AD252*C252)</f>
        <v>231.075623382735</v>
      </c>
      <c r="AF252" s="53" t="n">
        <f aca="false">IF($A252="","",ROUND(J252,2))</f>
        <v>5123.25</v>
      </c>
    </row>
    <row r="253" customFormat="false" ht="15" hidden="false" customHeight="false" outlineLevel="0" collapsed="false">
      <c r="A253" s="44" t="str">
        <f aca="false">IF(Weekly_Demand!A253="","",Weekly_Demand!A253)</f>
        <v>48116</v>
      </c>
      <c r="B253" s="44" t="str">
        <f aca="false">IF($A253="","",Weekly_Demand!C253)</f>
        <v>Other</v>
      </c>
      <c r="C253" s="45" t="n">
        <f aca="false">IF($A253="","",Weekly_Demand!D253)</f>
        <v>4.77</v>
      </c>
      <c r="D253" s="46" t="n">
        <f aca="false">IF($A253="","",Weekly_Demand!E253+Assumptions!$B$19)</f>
        <v>2</v>
      </c>
      <c r="E253" s="46" t="n">
        <f aca="false">IF($A253="","",Weekly_Demand!F253)</f>
        <v>255</v>
      </c>
      <c r="F253" s="46" t="n">
        <f aca="false">IF($A253="","",SUM(Weekly_Demand!G253:BF253))</f>
        <v>1474</v>
      </c>
      <c r="G253" s="51" t="n">
        <f aca="false">IF($A253="","",IFERROR(F253/Assumptions!$B$6,0))</f>
        <v>28.3461538461538</v>
      </c>
      <c r="H253" s="51" t="n">
        <f aca="false">IF($A253="","",STDEV(Weekly_Demand!G253:BF253))</f>
        <v>71.8227351124607</v>
      </c>
      <c r="I253" s="52" t="n">
        <f aca="false">IF($A253="","",IFERROR(H253/G253,0))</f>
        <v>2.53377355891992</v>
      </c>
      <c r="J253" s="53" t="n">
        <f aca="false">IF($A253="","",F253*C253)</f>
        <v>7030.98</v>
      </c>
      <c r="K253" s="54" t="n">
        <f aca="false">IF($A253="","",IFERROR(J253/$J$505,0))</f>
        <v>0.00181928271164452</v>
      </c>
      <c r="L253" s="54" t="n">
        <f aca="false">IF($A253="","",IFERROR(SUMIFS($J$5:$J$504,$AB$5:$AB$504,"&lt;="&amp;AB253)/$J$505,0))</f>
        <v>0.632637077964094</v>
      </c>
      <c r="M253" s="55" t="str">
        <f aca="false">IF($A253="","",IF(L253&lt;=Assumptions!$B$7,"A",IF(L253&lt;=Assumptions!$B$8,"B","C")))</f>
        <v>A</v>
      </c>
      <c r="N253" s="55" t="str">
        <f aca="false">IF($A253="","",IF(I253&lt;=Assumptions!$B$9,"X",IF(I253&lt;=Assumptions!$B$10,"Y","Z")))</f>
        <v>Z</v>
      </c>
      <c r="O253" s="56" t="str">
        <f aca="false">IF($A253="","",M253&amp;N253)</f>
        <v>AZ</v>
      </c>
      <c r="P253" s="57" t="n">
        <f aca="false">IF($A253="","",INDEX(Assumptions!$B$35:$B$37,MATCH(M253,Assumptions!$A$35:$A$37,0)))</f>
        <v>0.98</v>
      </c>
      <c r="Q253" s="58" t="n">
        <f aca="false">IF($A253="","",NORMSINV(P253))</f>
        <v>2.05374891063182</v>
      </c>
      <c r="R253" s="48" t="n">
        <f aca="false">IF($A253="","",ROUNDUP(Q253*H253*SQRT(D253),0))</f>
        <v>209</v>
      </c>
      <c r="S253" s="48" t="n">
        <f aca="false">IF($A253="","",ROUNDUP(G253*D253+R253,0))</f>
        <v>266</v>
      </c>
      <c r="T253" s="46" t="n">
        <f aca="false">IF($A253="","",IFERROR(ROUND(SQRT(2*F253*Assumptions!$B$4/(Assumptions!$B$5*C253)),0),0))</f>
        <v>352</v>
      </c>
      <c r="U253" s="53" t="n">
        <f aca="false">IF($A253="","",R253*C253)</f>
        <v>996.93</v>
      </c>
      <c r="V253" s="53" t="n">
        <f aca="false">IF($A253="","",E253*C253)</f>
        <v>1216.35</v>
      </c>
      <c r="W253" s="59" t="n">
        <f aca="false">IF($A253="","",IFERROR(E253/G253,0))</f>
        <v>8.99592944369064</v>
      </c>
      <c r="X253" s="48" t="n">
        <f aca="false">IF($A253="","",S253+T253)</f>
        <v>618</v>
      </c>
      <c r="Y253" s="48" t="n">
        <f aca="false">IF($A253="","",MAX(0,E253-X253))</f>
        <v>0</v>
      </c>
      <c r="Z253" s="53" t="n">
        <f aca="false">IF($A253="","",Y253*C253)</f>
        <v>0</v>
      </c>
      <c r="AA253" s="56" t="str">
        <f aca="false">IF($A253="","",IF(E253&lt;=R253,"Below Safety Stock",IF(E253&lt;=S253,"Reorder Now",IF(E253&gt;X253,"Excess","Healthy"))))</f>
        <v>Reorder Now</v>
      </c>
      <c r="AB253" s="48" t="n">
        <f aca="false">IF($A253="","",RANK(AF253,$AF$5:$AF$504,0)+COUNTIF($AF$5:AF253,AF253)-1)</f>
        <v>176</v>
      </c>
      <c r="AC253" s="44" t="str">
        <f aca="false">IF($A253="","",Weekly_Demand!B253)</f>
        <v>DOORMAT MULTICOLOUR STRIPE</v>
      </c>
      <c r="AD253" s="59" t="n">
        <f aca="false">IF($A253="","",H253*SQRT(D253))</f>
        <v>101.572686082772</v>
      </c>
      <c r="AE253" s="53" t="n">
        <f aca="false">IF($A253="","",AD253*C253)</f>
        <v>484.501712614823</v>
      </c>
      <c r="AF253" s="53" t="n">
        <f aca="false">IF($A253="","",ROUND(J253,2))</f>
        <v>7030.98</v>
      </c>
    </row>
    <row r="254" customFormat="false" ht="15" hidden="false" customHeight="false" outlineLevel="0" collapsed="false">
      <c r="A254" s="44" t="str">
        <f aca="false">IF(Weekly_Demand!A254="","",Weekly_Demand!A254)</f>
        <v>22952</v>
      </c>
      <c r="B254" s="44" t="str">
        <f aca="false">IF($A254="","",Weekly_Demand!C254)</f>
        <v>Kitchen</v>
      </c>
      <c r="C254" s="45" t="n">
        <f aca="false">IF($A254="","",Weekly_Demand!D254)</f>
        <v>0.33</v>
      </c>
      <c r="D254" s="46" t="n">
        <f aca="false">IF($A254="","",Weekly_Demand!E254+Assumptions!$B$19)</f>
        <v>2</v>
      </c>
      <c r="E254" s="46" t="n">
        <f aca="false">IF($A254="","",Weekly_Demand!F254)</f>
        <v>14820</v>
      </c>
      <c r="F254" s="46" t="n">
        <f aca="false">IF($A254="","",SUM(Weekly_Demand!G254:BF254))</f>
        <v>15111</v>
      </c>
      <c r="G254" s="51" t="n">
        <f aca="false">IF($A254="","",IFERROR(F254/Assumptions!$B$6,0))</f>
        <v>290.596153846154</v>
      </c>
      <c r="H254" s="51" t="n">
        <f aca="false">IF($A254="","",STDEV(Weekly_Demand!G254:BF254))</f>
        <v>431.187019140318</v>
      </c>
      <c r="I254" s="52" t="n">
        <f aca="false">IF($A254="","",IFERROR(H254/G254,0))</f>
        <v>1.48380153499415</v>
      </c>
      <c r="J254" s="53" t="n">
        <f aca="false">IF($A254="","",F254*C254)</f>
        <v>4986.63</v>
      </c>
      <c r="K254" s="54" t="n">
        <f aca="false">IF($A254="","",IFERROR(J254/$J$505,0))</f>
        <v>0.0012903023118211</v>
      </c>
      <c r="L254" s="54" t="n">
        <f aca="false">IF($A254="","",IFERROR(SUMIFS($J$5:$J$504,$AB$5:$AB$504,"&lt;="&amp;AB254)/$J$505,0))</f>
        <v>0.76861430561133</v>
      </c>
      <c r="M254" s="55" t="str">
        <f aca="false">IF($A254="","",IF(L254&lt;=Assumptions!$B$7,"A",IF(L254&lt;=Assumptions!$B$8,"B","C")))</f>
        <v>A</v>
      </c>
      <c r="N254" s="55" t="str">
        <f aca="false">IF($A254="","",IF(I254&lt;=Assumptions!$B$9,"X",IF(I254&lt;=Assumptions!$B$10,"Y","Z")))</f>
        <v>Z</v>
      </c>
      <c r="O254" s="56" t="str">
        <f aca="false">IF($A254="","",M254&amp;N254)</f>
        <v>AZ</v>
      </c>
      <c r="P254" s="57" t="n">
        <f aca="false">IF($A254="","",INDEX(Assumptions!$B$35:$B$37,MATCH(M254,Assumptions!$A$35:$A$37,0)))</f>
        <v>0.98</v>
      </c>
      <c r="Q254" s="58" t="n">
        <f aca="false">IF($A254="","",NORMSINV(P254))</f>
        <v>2.05374891063182</v>
      </c>
      <c r="R254" s="48" t="n">
        <f aca="false">IF($A254="","",ROUNDUP(Q254*H254*SQRT(D254),0))</f>
        <v>1253</v>
      </c>
      <c r="S254" s="48" t="n">
        <f aca="false">IF($A254="","",ROUNDUP(G254*D254+R254,0))</f>
        <v>1835</v>
      </c>
      <c r="T254" s="46" t="n">
        <f aca="false">IF($A254="","",IFERROR(ROUND(SQRT(2*F254*Assumptions!$B$4/(Assumptions!$B$5*C254)),0),0))</f>
        <v>4280</v>
      </c>
      <c r="U254" s="53" t="n">
        <f aca="false">IF($A254="","",R254*C254)</f>
        <v>413.49</v>
      </c>
      <c r="V254" s="53" t="n">
        <f aca="false">IF($A254="","",E254*C254)</f>
        <v>4890.6</v>
      </c>
      <c r="W254" s="59" t="n">
        <f aca="false">IF($A254="","",IFERROR(E254/G254,0))</f>
        <v>50.9986102838991</v>
      </c>
      <c r="X254" s="48" t="n">
        <f aca="false">IF($A254="","",S254+T254)</f>
        <v>6115</v>
      </c>
      <c r="Y254" s="48" t="n">
        <f aca="false">IF($A254="","",MAX(0,E254-X254))</f>
        <v>8705</v>
      </c>
      <c r="Z254" s="53" t="n">
        <f aca="false">IF($A254="","",Y254*C254)</f>
        <v>2872.65</v>
      </c>
      <c r="AA254" s="56" t="str">
        <f aca="false">IF($A254="","",IF(E254&lt;=R254,"Below Safety Stock",IF(E254&lt;=S254,"Reorder Now",IF(E254&gt;X254,"Excess","Healthy"))))</f>
        <v>Excess</v>
      </c>
      <c r="AB254" s="48" t="n">
        <f aca="false">IF($A254="","",RANK(AF254,$AF$5:$AF$504,0)+COUNTIF($AF$5:AF254,AF254)-1)</f>
        <v>265</v>
      </c>
      <c r="AC254" s="44" t="str">
        <f aca="false">IF($A254="","",Weekly_Demand!B254)</f>
        <v>60 CAKE CASES VINTAGE CHRISTMAS</v>
      </c>
      <c r="AD254" s="59" t="n">
        <f aca="false">IF($A254="","",H254*SQRT(D254))</f>
        <v>609.790530387465</v>
      </c>
      <c r="AE254" s="53" t="n">
        <f aca="false">IF($A254="","",AD254*C254)</f>
        <v>201.230875027864</v>
      </c>
      <c r="AF254" s="53" t="n">
        <f aca="false">IF($A254="","",ROUND(J254,2))</f>
        <v>4986.63</v>
      </c>
    </row>
    <row r="255" customFormat="false" ht="15" hidden="false" customHeight="false" outlineLevel="0" collapsed="false">
      <c r="A255" s="44" t="str">
        <f aca="false">IF(Weekly_Demand!A255="","",Weekly_Demand!A255)</f>
        <v>22989</v>
      </c>
      <c r="B255" s="44" t="str">
        <f aca="false">IF($A255="","",Weekly_Demand!C255)</f>
        <v>Other</v>
      </c>
      <c r="C255" s="45" t="n">
        <f aca="false">IF($A255="","",Weekly_Demand!D255)</f>
        <v>1.95</v>
      </c>
      <c r="D255" s="46" t="n">
        <f aca="false">IF($A255="","",Weekly_Demand!E255+Assumptions!$B$19)</f>
        <v>4</v>
      </c>
      <c r="E255" s="46" t="n">
        <f aca="false">IF($A255="","",Weekly_Demand!F255)</f>
        <v>535</v>
      </c>
      <c r="F255" s="46" t="n">
        <f aca="false">IF($A255="","",SUM(Weekly_Demand!G255:BF255))</f>
        <v>2782</v>
      </c>
      <c r="G255" s="51" t="n">
        <f aca="false">IF($A255="","",IFERROR(F255/Assumptions!$B$6,0))</f>
        <v>53.5</v>
      </c>
      <c r="H255" s="51" t="n">
        <f aca="false">IF($A255="","",STDEV(Weekly_Demand!G255:BF255))</f>
        <v>71.0703876449257</v>
      </c>
      <c r="I255" s="52" t="n">
        <f aca="false">IF($A255="","",IFERROR(H255/G255,0))</f>
        <v>1.32841846065282</v>
      </c>
      <c r="J255" s="53" t="n">
        <f aca="false">IF($A255="","",F255*C255)</f>
        <v>5424.9</v>
      </c>
      <c r="K255" s="54" t="n">
        <f aca="false">IF($A255="","",IFERROR(J255/$J$505,0))</f>
        <v>0.00140370571135181</v>
      </c>
      <c r="L255" s="54" t="n">
        <f aca="false">IF($A255="","",IFERROR(SUMIFS($J$5:$J$504,$AB$5:$AB$504,"&lt;="&amp;AB255)/$J$505,0))</f>
        <v>0.733495579036508</v>
      </c>
      <c r="M255" s="55" t="str">
        <f aca="false">IF($A255="","",IF(L255&lt;=Assumptions!$B$7,"A",IF(L255&lt;=Assumptions!$B$8,"B","C")))</f>
        <v>A</v>
      </c>
      <c r="N255" s="55" t="str">
        <f aca="false">IF($A255="","",IF(I255&lt;=Assumptions!$B$9,"X",IF(I255&lt;=Assumptions!$B$10,"Y","Z")))</f>
        <v>Z</v>
      </c>
      <c r="O255" s="56" t="str">
        <f aca="false">IF($A255="","",M255&amp;N255)</f>
        <v>AZ</v>
      </c>
      <c r="P255" s="57" t="n">
        <f aca="false">IF($A255="","",INDEX(Assumptions!$B$35:$B$37,MATCH(M255,Assumptions!$A$35:$A$37,0)))</f>
        <v>0.98</v>
      </c>
      <c r="Q255" s="58" t="n">
        <f aca="false">IF($A255="","",NORMSINV(P255))</f>
        <v>2.05374891063182</v>
      </c>
      <c r="R255" s="48" t="n">
        <f aca="false">IF($A255="","",ROUNDUP(Q255*H255*SQRT(D255),0))</f>
        <v>292</v>
      </c>
      <c r="S255" s="48" t="n">
        <f aca="false">IF($A255="","",ROUNDUP(G255*D255+R255,0))</f>
        <v>506</v>
      </c>
      <c r="T255" s="46" t="n">
        <f aca="false">IF($A255="","",IFERROR(ROUND(SQRT(2*F255*Assumptions!$B$4/(Assumptions!$B$5*C255)),0),0))</f>
        <v>755</v>
      </c>
      <c r="U255" s="53" t="n">
        <f aca="false">IF($A255="","",R255*C255)</f>
        <v>569.4</v>
      </c>
      <c r="V255" s="53" t="n">
        <f aca="false">IF($A255="","",E255*C255)</f>
        <v>1043.25</v>
      </c>
      <c r="W255" s="59" t="n">
        <f aca="false">IF($A255="","",IFERROR(E255/G255,0))</f>
        <v>10</v>
      </c>
      <c r="X255" s="48" t="n">
        <f aca="false">IF($A255="","",S255+T255)</f>
        <v>1261</v>
      </c>
      <c r="Y255" s="48" t="n">
        <f aca="false">IF($A255="","",MAX(0,E255-X255))</f>
        <v>0</v>
      </c>
      <c r="Z255" s="53" t="n">
        <f aca="false">IF($A255="","",Y255*C255)</f>
        <v>0</v>
      </c>
      <c r="AA255" s="56" t="str">
        <f aca="false">IF($A255="","",IF(E255&lt;=R255,"Below Safety Stock",IF(E255&lt;=S255,"Reorder Now",IF(E255&gt;X255,"Excess","Healthy"))))</f>
        <v>Healthy</v>
      </c>
      <c r="AB255" s="48" t="n">
        <f aca="false">IF($A255="","",RANK(AF255,$AF$5:$AF$504,0)+COUNTIF($AF$5:AF255,AF255)-1)</f>
        <v>239</v>
      </c>
      <c r="AC255" s="44" t="str">
        <f aca="false">IF($A255="","",Weekly_Demand!B255)</f>
        <v>SET 2 PANTRY DESIGN TEA TOWELS</v>
      </c>
      <c r="AD255" s="59" t="n">
        <f aca="false">IF($A255="","",H255*SQRT(D255))</f>
        <v>142.140775289851</v>
      </c>
      <c r="AE255" s="53" t="n">
        <f aca="false">IF($A255="","",AD255*C255)</f>
        <v>277.17451181521</v>
      </c>
      <c r="AF255" s="53" t="n">
        <f aca="false">IF($A255="","",ROUND(J255,2))</f>
        <v>5424.9</v>
      </c>
    </row>
    <row r="256" customFormat="false" ht="15" hidden="false" customHeight="false" outlineLevel="0" collapsed="false">
      <c r="A256" s="44" t="str">
        <f aca="false">IF(Weekly_Demand!A256="","",Weekly_Demand!A256)</f>
        <v>20972</v>
      </c>
      <c r="B256" s="44" t="str">
        <f aca="false">IF($A256="","",Weekly_Demand!C256)</f>
        <v>Other</v>
      </c>
      <c r="C256" s="45" t="n">
        <f aca="false">IF($A256="","",Weekly_Demand!D256)</f>
        <v>0.75</v>
      </c>
      <c r="D256" s="46" t="n">
        <f aca="false">IF($A256="","",Weekly_Demand!E256+Assumptions!$B$19)</f>
        <v>2</v>
      </c>
      <c r="E256" s="46" t="n">
        <f aca="false">IF($A256="","",Weekly_Demand!F256)</f>
        <v>549</v>
      </c>
      <c r="F256" s="46" t="n">
        <f aca="false">IF($A256="","",SUM(Weekly_Demand!G256:BF256))</f>
        <v>7138</v>
      </c>
      <c r="G256" s="51" t="n">
        <f aca="false">IF($A256="","",IFERROR(F256/Assumptions!$B$6,0))</f>
        <v>137.269230769231</v>
      </c>
      <c r="H256" s="51" t="n">
        <f aca="false">IF($A256="","",STDEV(Weekly_Demand!G256:BF256))</f>
        <v>101.47753839839</v>
      </c>
      <c r="I256" s="52" t="n">
        <f aca="false">IF($A256="","",IFERROR(H256/G256,0))</f>
        <v>0.739259175779808</v>
      </c>
      <c r="J256" s="53" t="n">
        <f aca="false">IF($A256="","",F256*C256)</f>
        <v>5353.5</v>
      </c>
      <c r="K256" s="54" t="n">
        <f aca="false">IF($A256="","",IFERROR(J256/$J$505,0))</f>
        <v>0.00138523079240575</v>
      </c>
      <c r="L256" s="54" t="n">
        <f aca="false">IF($A256="","",IFERROR(SUMIFS($J$5:$J$504,$AB$5:$AB$504,"&lt;="&amp;AB256)/$J$505,0))</f>
        <v>0.743250062997533</v>
      </c>
      <c r="M256" s="55" t="str">
        <f aca="false">IF($A256="","",IF(L256&lt;=Assumptions!$B$7,"A",IF(L256&lt;=Assumptions!$B$8,"B","C")))</f>
        <v>A</v>
      </c>
      <c r="N256" s="55" t="str">
        <f aca="false">IF($A256="","",IF(I256&lt;=Assumptions!$B$9,"X",IF(I256&lt;=Assumptions!$B$10,"Y","Z")))</f>
        <v>Y</v>
      </c>
      <c r="O256" s="56" t="str">
        <f aca="false">IF($A256="","",M256&amp;N256)</f>
        <v>AY</v>
      </c>
      <c r="P256" s="57" t="n">
        <f aca="false">IF($A256="","",INDEX(Assumptions!$B$35:$B$37,MATCH(M256,Assumptions!$A$35:$A$37,0)))</f>
        <v>0.98</v>
      </c>
      <c r="Q256" s="58" t="n">
        <f aca="false">IF($A256="","",NORMSINV(P256))</f>
        <v>2.05374891063182</v>
      </c>
      <c r="R256" s="48" t="n">
        <f aca="false">IF($A256="","",ROUNDUP(Q256*H256*SQRT(D256),0))</f>
        <v>295</v>
      </c>
      <c r="S256" s="48" t="n">
        <f aca="false">IF($A256="","",ROUNDUP(G256*D256+R256,0))</f>
        <v>570</v>
      </c>
      <c r="T256" s="46" t="n">
        <f aca="false">IF($A256="","",IFERROR(ROUND(SQRT(2*F256*Assumptions!$B$4/(Assumptions!$B$5*C256)),0),0))</f>
        <v>1951</v>
      </c>
      <c r="U256" s="53" t="n">
        <f aca="false">IF($A256="","",R256*C256)</f>
        <v>221.25</v>
      </c>
      <c r="V256" s="53" t="n">
        <f aca="false">IF($A256="","",E256*C256)</f>
        <v>411.75</v>
      </c>
      <c r="W256" s="59" t="n">
        <f aca="false">IF($A256="","",IFERROR(E256/G256,0))</f>
        <v>3.99943961894088</v>
      </c>
      <c r="X256" s="48" t="n">
        <f aca="false">IF($A256="","",S256+T256)</f>
        <v>2521</v>
      </c>
      <c r="Y256" s="48" t="n">
        <f aca="false">IF($A256="","",MAX(0,E256-X256))</f>
        <v>0</v>
      </c>
      <c r="Z256" s="53" t="n">
        <f aca="false">IF($A256="","",Y256*C256)</f>
        <v>0</v>
      </c>
      <c r="AA256" s="56" t="str">
        <f aca="false">IF($A256="","",IF(E256&lt;=R256,"Below Safety Stock",IF(E256&lt;=S256,"Reorder Now",IF(E256&gt;X256,"Excess","Healthy"))))</f>
        <v>Reorder Now</v>
      </c>
      <c r="AB256" s="48" t="n">
        <f aca="false">IF($A256="","",RANK(AF256,$AF$5:$AF$504,0)+COUNTIF($AF$5:AF256,AF256)-1)</f>
        <v>246</v>
      </c>
      <c r="AC256" s="44" t="str">
        <f aca="false">IF($A256="","",Weekly_Demand!B256)</f>
        <v>PINK CREAM FELT CRAFT TRINKET BOX</v>
      </c>
      <c r="AD256" s="59" t="n">
        <f aca="false">IF($A256="","",H256*SQRT(D256))</f>
        <v>143.510911079239</v>
      </c>
      <c r="AE256" s="53" t="n">
        <f aca="false">IF($A256="","",AD256*C256)</f>
        <v>107.63318330943</v>
      </c>
      <c r="AF256" s="53" t="n">
        <f aca="false">IF($A256="","",ROUND(J256,2))</f>
        <v>5353.5</v>
      </c>
    </row>
    <row r="257" customFormat="false" ht="15" hidden="false" customHeight="false" outlineLevel="0" collapsed="false">
      <c r="A257" s="44" t="str">
        <f aca="false">IF(Weekly_Demand!A257="","",Weekly_Demand!A257)</f>
        <v>22619</v>
      </c>
      <c r="B257" s="44" t="str">
        <f aca="false">IF($A257="","",Weekly_Demand!C257)</f>
        <v>Other</v>
      </c>
      <c r="C257" s="45" t="n">
        <f aca="false">IF($A257="","",Weekly_Demand!D257)</f>
        <v>2.25</v>
      </c>
      <c r="D257" s="46" t="n">
        <f aca="false">IF($A257="","",Weekly_Demand!E257+Assumptions!$B$19)</f>
        <v>8</v>
      </c>
      <c r="E257" s="46" t="n">
        <f aca="false">IF($A257="","",Weekly_Demand!F257)</f>
        <v>382</v>
      </c>
      <c r="F257" s="46" t="n">
        <f aca="false">IF($A257="","",SUM(Weekly_Demand!G257:BF257))</f>
        <v>2209</v>
      </c>
      <c r="G257" s="51" t="n">
        <f aca="false">IF($A257="","",IFERROR(F257/Assumptions!$B$6,0))</f>
        <v>42.4807692307692</v>
      </c>
      <c r="H257" s="51" t="n">
        <f aca="false">IF($A257="","",STDEV(Weekly_Demand!G257:BF257))</f>
        <v>39.0622883101353</v>
      </c>
      <c r="I257" s="52" t="n">
        <f aca="false">IF($A257="","",IFERROR(H257/G257,0))</f>
        <v>0.919528742474892</v>
      </c>
      <c r="J257" s="53" t="n">
        <f aca="false">IF($A257="","",F257*C257)</f>
        <v>4970.25</v>
      </c>
      <c r="K257" s="54" t="n">
        <f aca="false">IF($A257="","",IFERROR(J257/$J$505,0))</f>
        <v>0.00128606394806289</v>
      </c>
      <c r="L257" s="54" t="n">
        <f aca="false">IF($A257="","",IFERROR(SUMIFS($J$5:$J$504,$AB$5:$AB$504,"&lt;="&amp;AB257)/$J$505,0))</f>
        <v>0.772475144492225</v>
      </c>
      <c r="M257" s="55" t="str">
        <f aca="false">IF($A257="","",IF(L257&lt;=Assumptions!$B$7,"A",IF(L257&lt;=Assumptions!$B$8,"B","C")))</f>
        <v>A</v>
      </c>
      <c r="N257" s="55" t="str">
        <f aca="false">IF($A257="","",IF(I257&lt;=Assumptions!$B$9,"X",IF(I257&lt;=Assumptions!$B$10,"Y","Z")))</f>
        <v>Y</v>
      </c>
      <c r="O257" s="56" t="str">
        <f aca="false">IF($A257="","",M257&amp;N257)</f>
        <v>AY</v>
      </c>
      <c r="P257" s="57" t="n">
        <f aca="false">IF($A257="","",INDEX(Assumptions!$B$35:$B$37,MATCH(M257,Assumptions!$A$35:$A$37,0)))</f>
        <v>0.98</v>
      </c>
      <c r="Q257" s="58" t="n">
        <f aca="false">IF($A257="","",NORMSINV(P257))</f>
        <v>2.05374891063182</v>
      </c>
      <c r="R257" s="48" t="n">
        <f aca="false">IF($A257="","",ROUNDUP(Q257*H257*SQRT(D257),0))</f>
        <v>227</v>
      </c>
      <c r="S257" s="48" t="n">
        <f aca="false">IF($A257="","",ROUNDUP(G257*D257+R257,0))</f>
        <v>567</v>
      </c>
      <c r="T257" s="46" t="n">
        <f aca="false">IF($A257="","",IFERROR(ROUND(SQRT(2*F257*Assumptions!$B$4/(Assumptions!$B$5*C257)),0),0))</f>
        <v>627</v>
      </c>
      <c r="U257" s="53" t="n">
        <f aca="false">IF($A257="","",R257*C257)</f>
        <v>510.75</v>
      </c>
      <c r="V257" s="53" t="n">
        <f aca="false">IF($A257="","",E257*C257)</f>
        <v>859.5</v>
      </c>
      <c r="W257" s="59" t="n">
        <f aca="false">IF($A257="","",IFERROR(E257/G257,0))</f>
        <v>8.9923042100498</v>
      </c>
      <c r="X257" s="48" t="n">
        <f aca="false">IF($A257="","",S257+T257)</f>
        <v>1194</v>
      </c>
      <c r="Y257" s="48" t="n">
        <f aca="false">IF($A257="","",MAX(0,E257-X257))</f>
        <v>0</v>
      </c>
      <c r="Z257" s="53" t="n">
        <f aca="false">IF($A257="","",Y257*C257)</f>
        <v>0</v>
      </c>
      <c r="AA257" s="56" t="str">
        <f aca="false">IF($A257="","",IF(E257&lt;=R257,"Below Safety Stock",IF(E257&lt;=S257,"Reorder Now",IF(E257&gt;X257,"Excess","Healthy"))))</f>
        <v>Reorder Now</v>
      </c>
      <c r="AB257" s="48" t="n">
        <f aca="false">IF($A257="","",RANK(AF257,$AF$5:$AF$504,0)+COUNTIF($AF$5:AF257,AF257)-1)</f>
        <v>268</v>
      </c>
      <c r="AC257" s="44" t="str">
        <f aca="false">IF($A257="","",Weekly_Demand!B257)</f>
        <v>SET OF 6 SOLDIER SKITTLES</v>
      </c>
      <c r="AD257" s="59" t="n">
        <f aca="false">IF($A257="","",H257*SQRT(D257))</f>
        <v>110.484835811043</v>
      </c>
      <c r="AE257" s="53" t="n">
        <f aca="false">IF($A257="","",AD257*C257)</f>
        <v>248.590880574846</v>
      </c>
      <c r="AF257" s="53" t="n">
        <f aca="false">IF($A257="","",ROUND(J257,2))</f>
        <v>4970.25</v>
      </c>
    </row>
    <row r="258" customFormat="false" ht="15" hidden="false" customHeight="false" outlineLevel="0" collapsed="false">
      <c r="A258" s="44" t="str">
        <f aca="false">IF(Weekly_Demand!A258="","",Weekly_Demand!A258)</f>
        <v>22771</v>
      </c>
      <c r="B258" s="44" t="str">
        <f aca="false">IF($A258="","",Weekly_Demand!C258)</f>
        <v>Other</v>
      </c>
      <c r="C258" s="45" t="n">
        <f aca="false">IF($A258="","",Weekly_Demand!D258)</f>
        <v>0.75</v>
      </c>
      <c r="D258" s="46" t="n">
        <f aca="false">IF($A258="","",Weekly_Demand!E258+Assumptions!$B$19)</f>
        <v>8</v>
      </c>
      <c r="E258" s="46" t="n">
        <f aca="false">IF($A258="","",Weekly_Demand!F258)</f>
        <v>3357</v>
      </c>
      <c r="F258" s="46" t="n">
        <f aca="false">IF($A258="","",SUM(Weekly_Demand!G258:BF258))</f>
        <v>6466</v>
      </c>
      <c r="G258" s="51" t="n">
        <f aca="false">IF($A258="","",IFERROR(F258/Assumptions!$B$6,0))</f>
        <v>124.346153846154</v>
      </c>
      <c r="H258" s="51" t="n">
        <f aca="false">IF($A258="","",STDEV(Weekly_Demand!G258:BF258))</f>
        <v>76.567766887206</v>
      </c>
      <c r="I258" s="52" t="n">
        <f aca="false">IF($A258="","",IFERROR(H258/G258,0))</f>
        <v>0.615763049510472</v>
      </c>
      <c r="J258" s="53" t="n">
        <f aca="false">IF($A258="","",F258*C258)</f>
        <v>4849.5</v>
      </c>
      <c r="K258" s="54" t="n">
        <f aca="false">IF($A258="","",IFERROR(J258/$J$505,0))</f>
        <v>0.00125481959984527</v>
      </c>
      <c r="L258" s="54" t="n">
        <f aca="false">IF($A258="","",IFERROR(SUMIFS($J$5:$J$504,$AB$5:$AB$504,"&lt;="&amp;AB258)/$J$505,0))</f>
        <v>0.782650022905096</v>
      </c>
      <c r="M258" s="55" t="str">
        <f aca="false">IF($A258="","",IF(L258&lt;=Assumptions!$B$7,"A",IF(L258&lt;=Assumptions!$B$8,"B","C")))</f>
        <v>A</v>
      </c>
      <c r="N258" s="55" t="str">
        <f aca="false">IF($A258="","",IF(I258&lt;=Assumptions!$B$9,"X",IF(I258&lt;=Assumptions!$B$10,"Y","Z")))</f>
        <v>Y</v>
      </c>
      <c r="O258" s="56" t="str">
        <f aca="false">IF($A258="","",M258&amp;N258)</f>
        <v>AY</v>
      </c>
      <c r="P258" s="57" t="n">
        <f aca="false">IF($A258="","",INDEX(Assumptions!$B$35:$B$37,MATCH(M258,Assumptions!$A$35:$A$37,0)))</f>
        <v>0.98</v>
      </c>
      <c r="Q258" s="58" t="n">
        <f aca="false">IF($A258="","",NORMSINV(P258))</f>
        <v>2.05374891063182</v>
      </c>
      <c r="R258" s="48" t="n">
        <f aca="false">IF($A258="","",ROUNDUP(Q258*H258*SQRT(D258),0))</f>
        <v>445</v>
      </c>
      <c r="S258" s="48" t="n">
        <f aca="false">IF($A258="","",ROUNDUP(G258*D258+R258,0))</f>
        <v>1440</v>
      </c>
      <c r="T258" s="46" t="n">
        <f aca="false">IF($A258="","",IFERROR(ROUND(SQRT(2*F258*Assumptions!$B$4/(Assumptions!$B$5*C258)),0),0))</f>
        <v>1857</v>
      </c>
      <c r="U258" s="53" t="n">
        <f aca="false">IF($A258="","",R258*C258)</f>
        <v>333.75</v>
      </c>
      <c r="V258" s="53" t="n">
        <f aca="false">IF($A258="","",E258*C258)</f>
        <v>2517.75</v>
      </c>
      <c r="W258" s="59" t="n">
        <f aca="false">IF($A258="","",IFERROR(E258/G258,0))</f>
        <v>26.9972162078565</v>
      </c>
      <c r="X258" s="48" t="n">
        <f aca="false">IF($A258="","",S258+T258)</f>
        <v>3297</v>
      </c>
      <c r="Y258" s="48" t="n">
        <f aca="false">IF($A258="","",MAX(0,E258-X258))</f>
        <v>60</v>
      </c>
      <c r="Z258" s="53" t="n">
        <f aca="false">IF($A258="","",Y258*C258)</f>
        <v>45</v>
      </c>
      <c r="AA258" s="56" t="str">
        <f aca="false">IF($A258="","",IF(E258&lt;=R258,"Below Safety Stock",IF(E258&lt;=S258,"Reorder Now",IF(E258&gt;X258,"Excess","Healthy"))))</f>
        <v>Excess</v>
      </c>
      <c r="AB258" s="48" t="n">
        <f aca="false">IF($A258="","",RANK(AF258,$AF$5:$AF$504,0)+COUNTIF($AF$5:AF258,AF258)-1)</f>
        <v>276</v>
      </c>
      <c r="AC258" s="44" t="str">
        <f aca="false">IF($A258="","",Weekly_Demand!B258)</f>
        <v>CLEAR DRAWER KNOB ACRYLIC EDWARDIAN</v>
      </c>
      <c r="AD258" s="59" t="n">
        <f aca="false">IF($A258="","",H258*SQRT(D258))</f>
        <v>216.566348745016</v>
      </c>
      <c r="AE258" s="53" t="n">
        <f aca="false">IF($A258="","",AD258*C258)</f>
        <v>162.424761558762</v>
      </c>
      <c r="AF258" s="53" t="n">
        <f aca="false">IF($A258="","",ROUND(J258,2))</f>
        <v>4849.5</v>
      </c>
    </row>
    <row r="259" customFormat="false" ht="15" hidden="false" customHeight="false" outlineLevel="0" collapsed="false">
      <c r="A259" s="44" t="str">
        <f aca="false">IF(Weekly_Demand!A259="","",Weekly_Demand!A259)</f>
        <v>22966</v>
      </c>
      <c r="B259" s="44" t="str">
        <f aca="false">IF($A259="","",Weekly_Demand!C259)</f>
        <v>Other</v>
      </c>
      <c r="C259" s="45" t="n">
        <f aca="false">IF($A259="","",Weekly_Demand!D259)</f>
        <v>0.75</v>
      </c>
      <c r="D259" s="46" t="n">
        <f aca="false">IF($A259="","",Weekly_Demand!E259+Assumptions!$B$19)</f>
        <v>6</v>
      </c>
      <c r="E259" s="46" t="n">
        <f aca="false">IF($A259="","",Weekly_Demand!F259)</f>
        <v>5766</v>
      </c>
      <c r="F259" s="46" t="n">
        <f aca="false">IF($A259="","",SUM(Weekly_Demand!G259:BF259))</f>
        <v>7139</v>
      </c>
      <c r="G259" s="51" t="n">
        <f aca="false">IF($A259="","",IFERROR(F259/Assumptions!$B$6,0))</f>
        <v>137.288461538462</v>
      </c>
      <c r="H259" s="51" t="n">
        <f aca="false">IF($A259="","",STDEV(Weekly_Demand!G259:BF259))</f>
        <v>108.728360306047</v>
      </c>
      <c r="I259" s="52" t="n">
        <f aca="false">IF($A259="","",IFERROR(H259/G259,0))</f>
        <v>0.791970126896548</v>
      </c>
      <c r="J259" s="53" t="n">
        <f aca="false">IF($A259="","",F259*C259)</f>
        <v>5354.25</v>
      </c>
      <c r="K259" s="54" t="n">
        <f aca="false">IF($A259="","",IFERROR(J259/$J$505,0))</f>
        <v>0.00138542485668039</v>
      </c>
      <c r="L259" s="54" t="n">
        <f aca="false">IF($A259="","",IFERROR(SUMIFS($J$5:$J$504,$AB$5:$AB$504,"&lt;="&amp;AB259)/$J$505,0))</f>
        <v>0.741864832205127</v>
      </c>
      <c r="M259" s="55" t="str">
        <f aca="false">IF($A259="","",IF(L259&lt;=Assumptions!$B$7,"A",IF(L259&lt;=Assumptions!$B$8,"B","C")))</f>
        <v>A</v>
      </c>
      <c r="N259" s="55" t="str">
        <f aca="false">IF($A259="","",IF(I259&lt;=Assumptions!$B$9,"X",IF(I259&lt;=Assumptions!$B$10,"Y","Z")))</f>
        <v>Y</v>
      </c>
      <c r="O259" s="56" t="str">
        <f aca="false">IF($A259="","",M259&amp;N259)</f>
        <v>AY</v>
      </c>
      <c r="P259" s="57" t="n">
        <f aca="false">IF($A259="","",INDEX(Assumptions!$B$35:$B$37,MATCH(M259,Assumptions!$A$35:$A$37,0)))</f>
        <v>0.98</v>
      </c>
      <c r="Q259" s="58" t="n">
        <f aca="false">IF($A259="","",NORMSINV(P259))</f>
        <v>2.05374891063182</v>
      </c>
      <c r="R259" s="48" t="n">
        <f aca="false">IF($A259="","",ROUNDUP(Q259*H259*SQRT(D259),0))</f>
        <v>547</v>
      </c>
      <c r="S259" s="48" t="n">
        <f aca="false">IF($A259="","",ROUNDUP(G259*D259+R259,0))</f>
        <v>1371</v>
      </c>
      <c r="T259" s="46" t="n">
        <f aca="false">IF($A259="","",IFERROR(ROUND(SQRT(2*F259*Assumptions!$B$4/(Assumptions!$B$5*C259)),0),0))</f>
        <v>1951</v>
      </c>
      <c r="U259" s="53" t="n">
        <f aca="false">IF($A259="","",R259*C259)</f>
        <v>410.25</v>
      </c>
      <c r="V259" s="53" t="n">
        <f aca="false">IF($A259="","",E259*C259)</f>
        <v>4324.5</v>
      </c>
      <c r="W259" s="59" t="n">
        <f aca="false">IF($A259="","",IFERROR(E259/G259,0))</f>
        <v>41.9991595461549</v>
      </c>
      <c r="X259" s="48" t="n">
        <f aca="false">IF($A259="","",S259+T259)</f>
        <v>3322</v>
      </c>
      <c r="Y259" s="48" t="n">
        <f aca="false">IF($A259="","",MAX(0,E259-X259))</f>
        <v>2444</v>
      </c>
      <c r="Z259" s="53" t="n">
        <f aca="false">IF($A259="","",Y259*C259)</f>
        <v>1833</v>
      </c>
      <c r="AA259" s="56" t="str">
        <f aca="false">IF($A259="","",IF(E259&lt;=R259,"Below Safety Stock",IF(E259&lt;=S259,"Reorder Now",IF(E259&gt;X259,"Excess","Healthy"))))</f>
        <v>Excess</v>
      </c>
      <c r="AB259" s="48" t="n">
        <f aca="false">IF($A259="","",RANK(AF259,$AF$5:$AF$504,0)+COUNTIF($AF$5:AF259,AF259)-1)</f>
        <v>245</v>
      </c>
      <c r="AC259" s="44" t="str">
        <f aca="false">IF($A259="","",Weekly_Demand!B259)</f>
        <v>GINGERBREAD MAN COOKIE CUTTER</v>
      </c>
      <c r="AD259" s="59" t="n">
        <f aca="false">IF($A259="","",H259*SQRT(D259))</f>
        <v>266.329003319296</v>
      </c>
      <c r="AE259" s="53" t="n">
        <f aca="false">IF($A259="","",AD259*C259)</f>
        <v>199.746752489472</v>
      </c>
      <c r="AF259" s="53" t="n">
        <f aca="false">IF($A259="","",ROUND(J259,2))</f>
        <v>5354.25</v>
      </c>
    </row>
    <row r="260" customFormat="false" ht="15" hidden="false" customHeight="false" outlineLevel="0" collapsed="false">
      <c r="A260" s="44" t="str">
        <f aca="false">IF(Weekly_Demand!A260="","",Weekly_Demand!A260)</f>
        <v>84375</v>
      </c>
      <c r="B260" s="44" t="str">
        <f aca="false">IF($A260="","",Weekly_Demand!C260)</f>
        <v>Other</v>
      </c>
      <c r="C260" s="45" t="n">
        <f aca="false">IF($A260="","",Weekly_Demand!D260)</f>
        <v>1.26</v>
      </c>
      <c r="D260" s="46" t="n">
        <f aca="false">IF($A260="","",Weekly_Demand!E260+Assumptions!$B$19)</f>
        <v>8</v>
      </c>
      <c r="E260" s="46" t="n">
        <f aca="false">IF($A260="","",Weekly_Demand!F260)</f>
        <v>1093</v>
      </c>
      <c r="F260" s="46" t="n">
        <f aca="false">IF($A260="","",SUM(Weekly_Demand!G260:BF260))</f>
        <v>4058</v>
      </c>
      <c r="G260" s="51" t="n">
        <f aca="false">IF($A260="","",IFERROR(F260/Assumptions!$B$6,0))</f>
        <v>78.0384615384615</v>
      </c>
      <c r="H260" s="51" t="n">
        <f aca="false">IF($A260="","",STDEV(Weekly_Demand!G260:BF260))</f>
        <v>59.0566233898805</v>
      </c>
      <c r="I260" s="52" t="n">
        <f aca="false">IF($A260="","",IFERROR(H260/G260,0))</f>
        <v>0.756763039988612</v>
      </c>
      <c r="J260" s="53" t="n">
        <f aca="false">IF($A260="","",F260*C260)</f>
        <v>5113.08</v>
      </c>
      <c r="K260" s="54" t="n">
        <f aca="false">IF($A260="","",IFERROR(J260/$J$505,0))</f>
        <v>0.00132302154852601</v>
      </c>
      <c r="L260" s="54" t="n">
        <f aca="false">IF($A260="","",IFERROR(SUMIFS($J$5:$J$504,$AB$5:$AB$504,"&lt;="&amp;AB260)/$J$505,0))</f>
        <v>0.759512532774099</v>
      </c>
      <c r="M260" s="55" t="str">
        <f aca="false">IF($A260="","",IF(L260&lt;=Assumptions!$B$7,"A",IF(L260&lt;=Assumptions!$B$8,"B","C")))</f>
        <v>A</v>
      </c>
      <c r="N260" s="55" t="str">
        <f aca="false">IF($A260="","",IF(I260&lt;=Assumptions!$B$9,"X",IF(I260&lt;=Assumptions!$B$10,"Y","Z")))</f>
        <v>Y</v>
      </c>
      <c r="O260" s="56" t="str">
        <f aca="false">IF($A260="","",M260&amp;N260)</f>
        <v>AY</v>
      </c>
      <c r="P260" s="57" t="n">
        <f aca="false">IF($A260="","",INDEX(Assumptions!$B$35:$B$37,MATCH(M260,Assumptions!$A$35:$A$37,0)))</f>
        <v>0.98</v>
      </c>
      <c r="Q260" s="58" t="n">
        <f aca="false">IF($A260="","",NORMSINV(P260))</f>
        <v>2.05374891063182</v>
      </c>
      <c r="R260" s="48" t="n">
        <f aca="false">IF($A260="","",ROUNDUP(Q260*H260*SQRT(D260),0))</f>
        <v>344</v>
      </c>
      <c r="S260" s="48" t="n">
        <f aca="false">IF($A260="","",ROUNDUP(G260*D260+R260,0))</f>
        <v>969</v>
      </c>
      <c r="T260" s="46" t="n">
        <f aca="false">IF($A260="","",IFERROR(ROUND(SQRT(2*F260*Assumptions!$B$4/(Assumptions!$B$5*C260)),0),0))</f>
        <v>1135</v>
      </c>
      <c r="U260" s="53" t="n">
        <f aca="false">IF($A260="","",R260*C260)</f>
        <v>433.44</v>
      </c>
      <c r="V260" s="53" t="n">
        <f aca="false">IF($A260="","",E260*C260)</f>
        <v>1377.18</v>
      </c>
      <c r="W260" s="59" t="n">
        <f aca="false">IF($A260="","",IFERROR(E260/G260,0))</f>
        <v>14.0059142434697</v>
      </c>
      <c r="X260" s="48" t="n">
        <f aca="false">IF($A260="","",S260+T260)</f>
        <v>2104</v>
      </c>
      <c r="Y260" s="48" t="n">
        <f aca="false">IF($A260="","",MAX(0,E260-X260))</f>
        <v>0</v>
      </c>
      <c r="Z260" s="53" t="n">
        <f aca="false">IF($A260="","",Y260*C260)</f>
        <v>0</v>
      </c>
      <c r="AA260" s="56" t="str">
        <f aca="false">IF($A260="","",IF(E260&lt;=R260,"Below Safety Stock",IF(E260&lt;=S260,"Reorder Now",IF(E260&gt;X260,"Excess","Healthy"))))</f>
        <v>Healthy</v>
      </c>
      <c r="AB260" s="48" t="n">
        <f aca="false">IF($A260="","",RANK(AF260,$AF$5:$AF$504,0)+COUNTIF($AF$5:AF260,AF260)-1)</f>
        <v>258</v>
      </c>
      <c r="AC260" s="44" t="str">
        <f aca="false">IF($A260="","",Weekly_Demand!B260)</f>
        <v>SET OF 20 KIDS COOKIE CUTTERS</v>
      </c>
      <c r="AD260" s="59" t="n">
        <f aca="false">IF($A260="","",H260*SQRT(D260))</f>
        <v>167.037355491858</v>
      </c>
      <c r="AE260" s="53" t="n">
        <f aca="false">IF($A260="","",AD260*C260)</f>
        <v>210.467067919741</v>
      </c>
      <c r="AF260" s="53" t="n">
        <f aca="false">IF($A260="","",ROUND(J260,2))</f>
        <v>5113.08</v>
      </c>
    </row>
    <row r="261" customFormat="false" ht="15" hidden="false" customHeight="false" outlineLevel="0" collapsed="false">
      <c r="A261" s="44" t="str">
        <f aca="false">IF(Weekly_Demand!A261="","",Weekly_Demand!A261)</f>
        <v>23322</v>
      </c>
      <c r="B261" s="44" t="str">
        <f aca="false">IF($A261="","",Weekly_Demand!C261)</f>
        <v>Other</v>
      </c>
      <c r="C261" s="45" t="n">
        <f aca="false">IF($A261="","",Weekly_Demand!D261)</f>
        <v>1.77</v>
      </c>
      <c r="D261" s="46" t="n">
        <f aca="false">IF($A261="","",Weekly_Demand!E261+Assumptions!$B$19)</f>
        <v>6</v>
      </c>
      <c r="E261" s="46" t="n">
        <f aca="false">IF($A261="","",Weekly_Demand!F261)</f>
        <v>525</v>
      </c>
      <c r="F261" s="46" t="n">
        <f aca="false">IF($A261="","",SUM(Weekly_Demand!G261:BF261))</f>
        <v>3034</v>
      </c>
      <c r="G261" s="51" t="n">
        <f aca="false">IF($A261="","",IFERROR(F261/Assumptions!$B$6,0))</f>
        <v>58.3461538461539</v>
      </c>
      <c r="H261" s="51" t="n">
        <f aca="false">IF($A261="","",STDEV(Weekly_Demand!G261:BF261))</f>
        <v>75.9586793283638</v>
      </c>
      <c r="I261" s="52" t="n">
        <f aca="false">IF($A261="","",IFERROR(H261/G261,0))</f>
        <v>1.30186266482364</v>
      </c>
      <c r="J261" s="53" t="n">
        <f aca="false">IF($A261="","",F261*C261)</f>
        <v>5370.18</v>
      </c>
      <c r="K261" s="54" t="n">
        <f aca="false">IF($A261="","",IFERROR(J261/$J$505,0))</f>
        <v>0.00138954678187382</v>
      </c>
      <c r="L261" s="54" t="n">
        <f aca="false">IF($A261="","",IFERROR(SUMIFS($J$5:$J$504,$AB$5:$AB$504,"&lt;="&amp;AB261)/$J$505,0))</f>
        <v>0.740479407348447</v>
      </c>
      <c r="M261" s="55" t="str">
        <f aca="false">IF($A261="","",IF(L261&lt;=Assumptions!$B$7,"A",IF(L261&lt;=Assumptions!$B$8,"B","C")))</f>
        <v>A</v>
      </c>
      <c r="N261" s="55" t="str">
        <f aca="false">IF($A261="","",IF(I261&lt;=Assumptions!$B$9,"X",IF(I261&lt;=Assumptions!$B$10,"Y","Z")))</f>
        <v>Z</v>
      </c>
      <c r="O261" s="56" t="str">
        <f aca="false">IF($A261="","",M261&amp;N261)</f>
        <v>AZ</v>
      </c>
      <c r="P261" s="57" t="n">
        <f aca="false">IF($A261="","",INDEX(Assumptions!$B$35:$B$37,MATCH(M261,Assumptions!$A$35:$A$37,0)))</f>
        <v>0.98</v>
      </c>
      <c r="Q261" s="58" t="n">
        <f aca="false">IF($A261="","",NORMSINV(P261))</f>
        <v>2.05374891063182</v>
      </c>
      <c r="R261" s="48" t="n">
        <f aca="false">IF($A261="","",ROUNDUP(Q261*H261*SQRT(D261),0))</f>
        <v>383</v>
      </c>
      <c r="S261" s="48" t="n">
        <f aca="false">IF($A261="","",ROUNDUP(G261*D261+R261,0))</f>
        <v>734</v>
      </c>
      <c r="T261" s="46" t="n">
        <f aca="false">IF($A261="","",IFERROR(ROUND(SQRT(2*F261*Assumptions!$B$4/(Assumptions!$B$5*C261)),0),0))</f>
        <v>828</v>
      </c>
      <c r="U261" s="53" t="n">
        <f aca="false">IF($A261="","",R261*C261)</f>
        <v>677.91</v>
      </c>
      <c r="V261" s="53" t="n">
        <f aca="false">IF($A261="","",E261*C261)</f>
        <v>929.25</v>
      </c>
      <c r="W261" s="59" t="n">
        <f aca="false">IF($A261="","",IFERROR(E261/G261,0))</f>
        <v>8.99802241265656</v>
      </c>
      <c r="X261" s="48" t="n">
        <f aca="false">IF($A261="","",S261+T261)</f>
        <v>1562</v>
      </c>
      <c r="Y261" s="48" t="n">
        <f aca="false">IF($A261="","",MAX(0,E261-X261))</f>
        <v>0</v>
      </c>
      <c r="Z261" s="53" t="n">
        <f aca="false">IF($A261="","",Y261*C261)</f>
        <v>0</v>
      </c>
      <c r="AA261" s="56" t="str">
        <f aca="false">IF($A261="","",IF(E261&lt;=R261,"Below Safety Stock",IF(E261&lt;=S261,"Reorder Now",IF(E261&gt;X261,"Excess","Healthy"))))</f>
        <v>Reorder Now</v>
      </c>
      <c r="AB261" s="48" t="n">
        <f aca="false">IF($A261="","",RANK(AF261,$AF$5:$AF$504,0)+COUNTIF($AF$5:AF261,AF261)-1)</f>
        <v>244</v>
      </c>
      <c r="AC261" s="44" t="str">
        <f aca="false">IF($A261="","",Weekly_Demand!B261)</f>
        <v>LARGE WHITE HEART OF WICKER</v>
      </c>
      <c r="AD261" s="59" t="n">
        <f aca="false">IF($A261="","",H261*SQRT(D261))</f>
        <v>186.060005890184</v>
      </c>
      <c r="AE261" s="53" t="n">
        <f aca="false">IF($A261="","",AD261*C261)</f>
        <v>329.326210425625</v>
      </c>
      <c r="AF261" s="53" t="n">
        <f aca="false">IF($A261="","",ROUND(J261,2))</f>
        <v>5370.18</v>
      </c>
    </row>
    <row r="262" customFormat="false" ht="15" hidden="false" customHeight="false" outlineLevel="0" collapsed="false">
      <c r="A262" s="44" t="str">
        <f aca="false">IF(Weekly_Demand!A262="","",Weekly_Demand!A262)</f>
        <v>23318</v>
      </c>
      <c r="B262" s="44" t="str">
        <f aca="false">IF($A262="","",Weekly_Demand!C262)</f>
        <v>Other</v>
      </c>
      <c r="C262" s="45" t="n">
        <f aca="false">IF($A262="","",Weekly_Demand!D262)</f>
        <v>1.494</v>
      </c>
      <c r="D262" s="46" t="n">
        <f aca="false">IF($A262="","",Weekly_Demand!E262+Assumptions!$B$19)</f>
        <v>6</v>
      </c>
      <c r="E262" s="46" t="n">
        <f aca="false">IF($A262="","",Weekly_Demand!F262)</f>
        <v>1120</v>
      </c>
      <c r="F262" s="46" t="n">
        <f aca="false">IF($A262="","",SUM(Weekly_Demand!G262:BF262))</f>
        <v>3640</v>
      </c>
      <c r="G262" s="51" t="n">
        <f aca="false">IF($A262="","",IFERROR(F262/Assumptions!$B$6,0))</f>
        <v>70</v>
      </c>
      <c r="H262" s="51" t="n">
        <f aca="false">IF($A262="","",STDEV(Weekly_Demand!G262:BF262))</f>
        <v>118.897880058279</v>
      </c>
      <c r="I262" s="52" t="n">
        <f aca="false">IF($A262="","",IFERROR(H262/G262,0))</f>
        <v>1.6985411436897</v>
      </c>
      <c r="J262" s="53" t="n">
        <f aca="false">IF($A262="","",F262*C262)</f>
        <v>5438.16</v>
      </c>
      <c r="K262" s="54" t="n">
        <f aca="false">IF($A262="","",IFERROR(J262/$J$505,0))</f>
        <v>0.00140713676772751</v>
      </c>
      <c r="L262" s="54" t="n">
        <f aca="false">IF($A262="","",IFERROR(SUMIFS($J$5:$J$504,$AB$5:$AB$504,"&lt;="&amp;AB262)/$J$505,0))</f>
        <v>0.730688127248436</v>
      </c>
      <c r="M262" s="55" t="str">
        <f aca="false">IF($A262="","",IF(L262&lt;=Assumptions!$B$7,"A",IF(L262&lt;=Assumptions!$B$8,"B","C")))</f>
        <v>A</v>
      </c>
      <c r="N262" s="55" t="str">
        <f aca="false">IF($A262="","",IF(I262&lt;=Assumptions!$B$9,"X",IF(I262&lt;=Assumptions!$B$10,"Y","Z")))</f>
        <v>Z</v>
      </c>
      <c r="O262" s="56" t="str">
        <f aca="false">IF($A262="","",M262&amp;N262)</f>
        <v>AZ</v>
      </c>
      <c r="P262" s="57" t="n">
        <f aca="false">IF($A262="","",INDEX(Assumptions!$B$35:$B$37,MATCH(M262,Assumptions!$A$35:$A$37,0)))</f>
        <v>0.98</v>
      </c>
      <c r="Q262" s="58" t="n">
        <f aca="false">IF($A262="","",NORMSINV(P262))</f>
        <v>2.05374891063182</v>
      </c>
      <c r="R262" s="48" t="n">
        <f aca="false">IF($A262="","",ROUNDUP(Q262*H262*SQRT(D262),0))</f>
        <v>599</v>
      </c>
      <c r="S262" s="48" t="n">
        <f aca="false">IF($A262="","",ROUNDUP(G262*D262+R262,0))</f>
        <v>1019</v>
      </c>
      <c r="T262" s="46" t="n">
        <f aca="false">IF($A262="","",IFERROR(ROUND(SQRT(2*F262*Assumptions!$B$4/(Assumptions!$B$5*C262)),0),0))</f>
        <v>987</v>
      </c>
      <c r="U262" s="53" t="n">
        <f aca="false">IF($A262="","",R262*C262)</f>
        <v>894.906</v>
      </c>
      <c r="V262" s="53" t="n">
        <f aca="false">IF($A262="","",E262*C262)</f>
        <v>1673.28</v>
      </c>
      <c r="W262" s="59" t="n">
        <f aca="false">IF($A262="","",IFERROR(E262/G262,0))</f>
        <v>16</v>
      </c>
      <c r="X262" s="48" t="n">
        <f aca="false">IF($A262="","",S262+T262)</f>
        <v>2006</v>
      </c>
      <c r="Y262" s="48" t="n">
        <f aca="false">IF($A262="","",MAX(0,E262-X262))</f>
        <v>0</v>
      </c>
      <c r="Z262" s="53" t="n">
        <f aca="false">IF($A262="","",Y262*C262)</f>
        <v>0</v>
      </c>
      <c r="AA262" s="56" t="str">
        <f aca="false">IF($A262="","",IF(E262&lt;=R262,"Below Safety Stock",IF(E262&lt;=S262,"Reorder Now",IF(E262&gt;X262,"Excess","Healthy"))))</f>
        <v>Healthy</v>
      </c>
      <c r="AB262" s="48" t="n">
        <f aca="false">IF($A262="","",RANK(AF262,$AF$5:$AF$504,0)+COUNTIF($AF$5:AF262,AF262)-1)</f>
        <v>237</v>
      </c>
      <c r="AC262" s="44" t="str">
        <f aca="false">IF($A262="","",Weekly_Demand!B262)</f>
        <v>BOX OF 6 MINI VINTAGE CRACKERS</v>
      </c>
      <c r="AD262" s="59" t="n">
        <f aca="false">IF($A262="","",H262*SQRT(D262))</f>
        <v>291.239137641419</v>
      </c>
      <c r="AE262" s="53" t="n">
        <f aca="false">IF($A262="","",AD262*C262)</f>
        <v>435.111271636281</v>
      </c>
      <c r="AF262" s="53" t="n">
        <f aca="false">IF($A262="","",ROUND(J262,2))</f>
        <v>5438.16</v>
      </c>
    </row>
    <row r="263" customFormat="false" ht="15" hidden="false" customHeight="false" outlineLevel="0" collapsed="false">
      <c r="A263" s="44" t="str">
        <f aca="false">IF(Weekly_Demand!A263="","",Weekly_Demand!A263)</f>
        <v>22749</v>
      </c>
      <c r="B263" s="44" t="str">
        <f aca="false">IF($A263="","",Weekly_Demand!C263)</f>
        <v>Other</v>
      </c>
      <c r="C263" s="45" t="n">
        <f aca="false">IF($A263="","",Weekly_Demand!D263)</f>
        <v>2.25</v>
      </c>
      <c r="D263" s="46" t="n">
        <f aca="false">IF($A263="","",Weekly_Demand!E263+Assumptions!$B$19)</f>
        <v>4</v>
      </c>
      <c r="E263" s="46" t="n">
        <f aca="false">IF($A263="","",Weekly_Demand!F263)</f>
        <v>342</v>
      </c>
      <c r="F263" s="46" t="n">
        <f aca="false">IF($A263="","",SUM(Weekly_Demand!G263:BF263))</f>
        <v>2223</v>
      </c>
      <c r="G263" s="51" t="n">
        <f aca="false">IF($A263="","",IFERROR(F263/Assumptions!$B$6,0))</f>
        <v>42.75</v>
      </c>
      <c r="H263" s="51" t="n">
        <f aca="false">IF($A263="","",STDEV(Weekly_Demand!G263:BF263))</f>
        <v>43.7227786462505</v>
      </c>
      <c r="I263" s="52" t="n">
        <f aca="false">IF($A263="","",IFERROR(H263/G263,0))</f>
        <v>1.02275505605264</v>
      </c>
      <c r="J263" s="53" t="n">
        <f aca="false">IF($A263="","",F263*C263)</f>
        <v>5001.75</v>
      </c>
      <c r="K263" s="54" t="n">
        <f aca="false">IF($A263="","",IFERROR(J263/$J$505,0))</f>
        <v>0.00129421464759792</v>
      </c>
      <c r="L263" s="54" t="n">
        <f aca="false">IF($A263="","",IFERROR(SUMIFS($J$5:$J$504,$AB$5:$AB$504,"&lt;="&amp;AB263)/$J$505,0))</f>
        <v>0.7660334836357</v>
      </c>
      <c r="M263" s="55" t="str">
        <f aca="false">IF($A263="","",IF(L263&lt;=Assumptions!$B$7,"A",IF(L263&lt;=Assumptions!$B$8,"B","C")))</f>
        <v>A</v>
      </c>
      <c r="N263" s="55" t="str">
        <f aca="false">IF($A263="","",IF(I263&lt;=Assumptions!$B$9,"X",IF(I263&lt;=Assumptions!$B$10,"Y","Z")))</f>
        <v>Z</v>
      </c>
      <c r="O263" s="56" t="str">
        <f aca="false">IF($A263="","",M263&amp;N263)</f>
        <v>AZ</v>
      </c>
      <c r="P263" s="57" t="n">
        <f aca="false">IF($A263="","",INDEX(Assumptions!$B$35:$B$37,MATCH(M263,Assumptions!$A$35:$A$37,0)))</f>
        <v>0.98</v>
      </c>
      <c r="Q263" s="58" t="n">
        <f aca="false">IF($A263="","",NORMSINV(P263))</f>
        <v>2.05374891063182</v>
      </c>
      <c r="R263" s="48" t="n">
        <f aca="false">IF($A263="","",ROUNDUP(Q263*H263*SQRT(D263),0))</f>
        <v>180</v>
      </c>
      <c r="S263" s="48" t="n">
        <f aca="false">IF($A263="","",ROUNDUP(G263*D263+R263,0))</f>
        <v>351</v>
      </c>
      <c r="T263" s="46" t="n">
        <f aca="false">IF($A263="","",IFERROR(ROUND(SQRT(2*F263*Assumptions!$B$4/(Assumptions!$B$5*C263)),0),0))</f>
        <v>629</v>
      </c>
      <c r="U263" s="53" t="n">
        <f aca="false">IF($A263="","",R263*C263)</f>
        <v>405</v>
      </c>
      <c r="V263" s="53" t="n">
        <f aca="false">IF($A263="","",E263*C263)</f>
        <v>769.5</v>
      </c>
      <c r="W263" s="59" t="n">
        <f aca="false">IF($A263="","",IFERROR(E263/G263,0))</f>
        <v>8</v>
      </c>
      <c r="X263" s="48" t="n">
        <f aca="false">IF($A263="","",S263+T263)</f>
        <v>980</v>
      </c>
      <c r="Y263" s="48" t="n">
        <f aca="false">IF($A263="","",MAX(0,E263-X263))</f>
        <v>0</v>
      </c>
      <c r="Z263" s="53" t="n">
        <f aca="false">IF($A263="","",Y263*C263)</f>
        <v>0</v>
      </c>
      <c r="AA263" s="56" t="str">
        <f aca="false">IF($A263="","",IF(E263&lt;=R263,"Below Safety Stock",IF(E263&lt;=S263,"Reorder Now",IF(E263&gt;X263,"Excess","Healthy"))))</f>
        <v>Reorder Now</v>
      </c>
      <c r="AB263" s="48" t="n">
        <f aca="false">IF($A263="","",RANK(AF263,$AF$5:$AF$504,0)+COUNTIF($AF$5:AF263,AF263)-1)</f>
        <v>263</v>
      </c>
      <c r="AC263" s="44" t="str">
        <f aca="false">IF($A263="","",Weekly_Demand!B263)</f>
        <v>FELTCRAFT PRINCESS CHARLOTTE DOLL</v>
      </c>
      <c r="AD263" s="59" t="n">
        <f aca="false">IF($A263="","",H263*SQRT(D263))</f>
        <v>87.445557292501</v>
      </c>
      <c r="AE263" s="53" t="n">
        <f aca="false">IF($A263="","",AD263*C263)</f>
        <v>196.752503908127</v>
      </c>
      <c r="AF263" s="53" t="n">
        <f aca="false">IF($A263="","",ROUND(J263,2))</f>
        <v>5001.75</v>
      </c>
    </row>
    <row r="264" customFormat="false" ht="15" hidden="false" customHeight="false" outlineLevel="0" collapsed="false">
      <c r="A264" s="44" t="str">
        <f aca="false">IF(Weekly_Demand!A264="","",Weekly_Demand!A264)</f>
        <v>82582</v>
      </c>
      <c r="B264" s="44" t="str">
        <f aca="false">IF($A264="","",Weekly_Demand!C264)</f>
        <v>Other</v>
      </c>
      <c r="C264" s="45" t="n">
        <f aca="false">IF($A264="","",Weekly_Demand!D264)</f>
        <v>1.26</v>
      </c>
      <c r="D264" s="46" t="n">
        <f aca="false">IF($A264="","",Weekly_Demand!E264+Assumptions!$B$19)</f>
        <v>6</v>
      </c>
      <c r="E264" s="46" t="n">
        <f aca="false">IF($A264="","",Weekly_Demand!F264)</f>
        <v>2753</v>
      </c>
      <c r="F264" s="46" t="n">
        <f aca="false">IF($A264="","",SUM(Weekly_Demand!G264:BF264))</f>
        <v>4211</v>
      </c>
      <c r="G264" s="51" t="n">
        <f aca="false">IF($A264="","",IFERROR(F264/Assumptions!$B$6,0))</f>
        <v>80.9807692307692</v>
      </c>
      <c r="H264" s="51" t="n">
        <f aca="false">IF($A264="","",STDEV(Weekly_Demand!G264:BF264))</f>
        <v>67.9626455602896</v>
      </c>
      <c r="I264" s="52" t="n">
        <f aca="false">IF($A264="","",IFERROR(H264/G264,0))</f>
        <v>0.839244257690586</v>
      </c>
      <c r="J264" s="53" t="n">
        <f aca="false">IF($A264="","",F264*C264)</f>
        <v>5305.86</v>
      </c>
      <c r="K264" s="54" t="n">
        <f aca="false">IF($A264="","",IFERROR(J264/$J$505,0))</f>
        <v>0.00137290382968039</v>
      </c>
      <c r="L264" s="54" t="n">
        <f aca="false">IF($A264="","",IFERROR(SUMIFS($J$5:$J$504,$AB$5:$AB$504,"&lt;="&amp;AB264)/$J$505,0))</f>
        <v>0.750135696339016</v>
      </c>
      <c r="M264" s="55" t="str">
        <f aca="false">IF($A264="","",IF(L264&lt;=Assumptions!$B$7,"A",IF(L264&lt;=Assumptions!$B$8,"B","C")))</f>
        <v>A</v>
      </c>
      <c r="N264" s="55" t="str">
        <f aca="false">IF($A264="","",IF(I264&lt;=Assumptions!$B$9,"X",IF(I264&lt;=Assumptions!$B$10,"Y","Z")))</f>
        <v>Y</v>
      </c>
      <c r="O264" s="56" t="str">
        <f aca="false">IF($A264="","",M264&amp;N264)</f>
        <v>AY</v>
      </c>
      <c r="P264" s="57" t="n">
        <f aca="false">IF($A264="","",INDEX(Assumptions!$B$35:$B$37,MATCH(M264,Assumptions!$A$35:$A$37,0)))</f>
        <v>0.98</v>
      </c>
      <c r="Q264" s="58" t="n">
        <f aca="false">IF($A264="","",NORMSINV(P264))</f>
        <v>2.05374891063182</v>
      </c>
      <c r="R264" s="48" t="n">
        <f aca="false">IF($A264="","",ROUNDUP(Q264*H264*SQRT(D264),0))</f>
        <v>342</v>
      </c>
      <c r="S264" s="48" t="n">
        <f aca="false">IF($A264="","",ROUNDUP(G264*D264+R264,0))</f>
        <v>828</v>
      </c>
      <c r="T264" s="46" t="n">
        <f aca="false">IF($A264="","",IFERROR(ROUND(SQRT(2*F264*Assumptions!$B$4/(Assumptions!$B$5*C264)),0),0))</f>
        <v>1156</v>
      </c>
      <c r="U264" s="53" t="n">
        <f aca="false">IF($A264="","",R264*C264)</f>
        <v>430.92</v>
      </c>
      <c r="V264" s="53" t="n">
        <f aca="false">IF($A264="","",E264*C264)</f>
        <v>3468.78</v>
      </c>
      <c r="W264" s="59" t="n">
        <f aca="false">IF($A264="","",IFERROR(E264/G264,0))</f>
        <v>33.9957254808834</v>
      </c>
      <c r="X264" s="48" t="n">
        <f aca="false">IF($A264="","",S264+T264)</f>
        <v>1984</v>
      </c>
      <c r="Y264" s="48" t="n">
        <f aca="false">IF($A264="","",MAX(0,E264-X264))</f>
        <v>769</v>
      </c>
      <c r="Z264" s="53" t="n">
        <f aca="false">IF($A264="","",Y264*C264)</f>
        <v>968.94</v>
      </c>
      <c r="AA264" s="56" t="str">
        <f aca="false">IF($A264="","",IF(E264&lt;=R264,"Below Safety Stock",IF(E264&lt;=S264,"Reorder Now",IF(E264&gt;X264,"Excess","Healthy"))))</f>
        <v>Excess</v>
      </c>
      <c r="AB264" s="48" t="n">
        <f aca="false">IF($A264="","",RANK(AF264,$AF$5:$AF$504,0)+COUNTIF($AF$5:AF264,AF264)-1)</f>
        <v>251</v>
      </c>
      <c r="AC264" s="44" t="str">
        <f aca="false">IF($A264="","",Weekly_Demand!B264)</f>
        <v>AREA PATROLLED METAL SIGN</v>
      </c>
      <c r="AD264" s="59" t="n">
        <f aca="false">IF($A264="","",H264*SQRT(D264))</f>
        <v>166.473803192338</v>
      </c>
      <c r="AE264" s="53" t="n">
        <f aca="false">IF($A264="","",AD264*C264)</f>
        <v>209.756992022346</v>
      </c>
      <c r="AF264" s="53" t="n">
        <f aca="false">IF($A264="","",ROUND(J264,2))</f>
        <v>5305.86</v>
      </c>
    </row>
    <row r="265" customFormat="false" ht="15" hidden="false" customHeight="false" outlineLevel="0" collapsed="false">
      <c r="A265" s="44" t="str">
        <f aca="false">IF(Weekly_Demand!A265="","",Weekly_Demand!A265)</f>
        <v>23078</v>
      </c>
      <c r="B265" s="44" t="str">
        <f aca="false">IF($A265="","",Weekly_Demand!C265)</f>
        <v>Other</v>
      </c>
      <c r="C265" s="45" t="n">
        <f aca="false">IF($A265="","",Weekly_Demand!D265)</f>
        <v>0.75</v>
      </c>
      <c r="D265" s="46" t="n">
        <f aca="false">IF($A265="","",Weekly_Demand!E265+Assumptions!$B$19)</f>
        <v>6</v>
      </c>
      <c r="E265" s="46" t="n">
        <f aca="false">IF($A265="","",Weekly_Demand!F265)</f>
        <v>1831</v>
      </c>
      <c r="F265" s="46" t="n">
        <f aca="false">IF($A265="","",SUM(Weekly_Demand!G265:BF265))</f>
        <v>6802</v>
      </c>
      <c r="G265" s="51" t="n">
        <f aca="false">IF($A265="","",IFERROR(F265/Assumptions!$B$6,0))</f>
        <v>130.807692307692</v>
      </c>
      <c r="H265" s="51" t="n">
        <f aca="false">IF($A265="","",STDEV(Weekly_Demand!G265:BF265))</f>
        <v>123.084864468532</v>
      </c>
      <c r="I265" s="52" t="n">
        <f aca="false">IF($A265="","",IFERROR(H265/G265,0))</f>
        <v>0.940960445804711</v>
      </c>
      <c r="J265" s="53" t="n">
        <f aca="false">IF($A265="","",F265*C265)</f>
        <v>5101.5</v>
      </c>
      <c r="K265" s="54" t="n">
        <f aca="false">IF($A265="","",IFERROR(J265/$J$505,0))</f>
        <v>0.00132002519612551</v>
      </c>
      <c r="L265" s="54" t="n">
        <f aca="false">IF($A265="","",IFERROR(SUMIFS($J$5:$J$504,$AB$5:$AB$504,"&lt;="&amp;AB265)/$J$505,0))</f>
        <v>0.760832557970224</v>
      </c>
      <c r="M265" s="55" t="str">
        <f aca="false">IF($A265="","",IF(L265&lt;=Assumptions!$B$7,"A",IF(L265&lt;=Assumptions!$B$8,"B","C")))</f>
        <v>A</v>
      </c>
      <c r="N265" s="55" t="str">
        <f aca="false">IF($A265="","",IF(I265&lt;=Assumptions!$B$9,"X",IF(I265&lt;=Assumptions!$B$10,"Y","Z")))</f>
        <v>Y</v>
      </c>
      <c r="O265" s="56" t="str">
        <f aca="false">IF($A265="","",M265&amp;N265)</f>
        <v>AY</v>
      </c>
      <c r="P265" s="57" t="n">
        <f aca="false">IF($A265="","",INDEX(Assumptions!$B$35:$B$37,MATCH(M265,Assumptions!$A$35:$A$37,0)))</f>
        <v>0.98</v>
      </c>
      <c r="Q265" s="58" t="n">
        <f aca="false">IF($A265="","",NORMSINV(P265))</f>
        <v>2.05374891063182</v>
      </c>
      <c r="R265" s="48" t="n">
        <f aca="false">IF($A265="","",ROUNDUP(Q265*H265*SQRT(D265),0))</f>
        <v>620</v>
      </c>
      <c r="S265" s="48" t="n">
        <f aca="false">IF($A265="","",ROUNDUP(G265*D265+R265,0))</f>
        <v>1405</v>
      </c>
      <c r="T265" s="46" t="n">
        <f aca="false">IF($A265="","",IFERROR(ROUND(SQRT(2*F265*Assumptions!$B$4/(Assumptions!$B$5*C265)),0),0))</f>
        <v>1905</v>
      </c>
      <c r="U265" s="53" t="n">
        <f aca="false">IF($A265="","",R265*C265)</f>
        <v>465</v>
      </c>
      <c r="V265" s="53" t="n">
        <f aca="false">IF($A265="","",E265*C265)</f>
        <v>1373.25</v>
      </c>
      <c r="W265" s="59" t="n">
        <f aca="false">IF($A265="","",IFERROR(E265/G265,0))</f>
        <v>13.9976477506616</v>
      </c>
      <c r="X265" s="48" t="n">
        <f aca="false">IF($A265="","",S265+T265)</f>
        <v>3310</v>
      </c>
      <c r="Y265" s="48" t="n">
        <f aca="false">IF($A265="","",MAX(0,E265-X265))</f>
        <v>0</v>
      </c>
      <c r="Z265" s="53" t="n">
        <f aca="false">IF($A265="","",Y265*C265)</f>
        <v>0</v>
      </c>
      <c r="AA265" s="56" t="str">
        <f aca="false">IF($A265="","",IF(E265&lt;=R265,"Below Safety Stock",IF(E265&lt;=S265,"Reorder Now",IF(E265&gt;X265,"Excess","Healthy"))))</f>
        <v>Healthy</v>
      </c>
      <c r="AB265" s="48" t="n">
        <f aca="false">IF($A265="","",RANK(AF265,$AF$5:$AF$504,0)+COUNTIF($AF$5:AF265,AF265)-1)</f>
        <v>259</v>
      </c>
      <c r="AC265" s="44" t="str">
        <f aca="false">IF($A265="","",Weekly_Demand!B265)</f>
        <v>ICE CREAM PEN LIP GLOSS</v>
      </c>
      <c r="AD265" s="59" t="n">
        <f aca="false">IF($A265="","",H265*SQRT(D265))</f>
        <v>301.495113007526</v>
      </c>
      <c r="AE265" s="53" t="n">
        <f aca="false">IF($A265="","",AD265*C265)</f>
        <v>226.121334755644</v>
      </c>
      <c r="AF265" s="53" t="n">
        <f aca="false">IF($A265="","",ROUND(J265,2))</f>
        <v>5101.5</v>
      </c>
    </row>
    <row r="266" customFormat="false" ht="15" hidden="false" customHeight="false" outlineLevel="0" collapsed="false">
      <c r="A266" s="44" t="str">
        <f aca="false">IF(Weekly_Demand!A266="","",Weekly_Demand!A266)</f>
        <v>21889</v>
      </c>
      <c r="B266" s="44" t="str">
        <f aca="false">IF($A266="","",Weekly_Demand!C266)</f>
        <v>Other</v>
      </c>
      <c r="C266" s="45" t="n">
        <f aca="false">IF($A266="","",Weekly_Demand!D266)</f>
        <v>0.75</v>
      </c>
      <c r="D266" s="46" t="n">
        <f aca="false">IF($A266="","",Weekly_Demand!E266+Assumptions!$B$19)</f>
        <v>4</v>
      </c>
      <c r="E266" s="46" t="n">
        <f aca="false">IF($A266="","",Weekly_Demand!F266)</f>
        <v>1180</v>
      </c>
      <c r="F266" s="46" t="n">
        <f aca="false">IF($A266="","",SUM(Weekly_Demand!G266:BF266))</f>
        <v>6138</v>
      </c>
      <c r="G266" s="51" t="n">
        <f aca="false">IF($A266="","",IFERROR(F266/Assumptions!$B$6,0))</f>
        <v>118.038461538462</v>
      </c>
      <c r="H266" s="51" t="n">
        <f aca="false">IF($A266="","",STDEV(Weekly_Demand!G266:BF266))</f>
        <v>128.90868656571</v>
      </c>
      <c r="I266" s="52" t="n">
        <f aca="false">IF($A266="","",IFERROR(H266/G266,0))</f>
        <v>1.09209053460686</v>
      </c>
      <c r="J266" s="53" t="n">
        <f aca="false">IF($A266="","",F266*C266)</f>
        <v>4603.5</v>
      </c>
      <c r="K266" s="54" t="n">
        <f aca="false">IF($A266="","",IFERROR(J266/$J$505,0))</f>
        <v>0.00119116651776218</v>
      </c>
      <c r="L266" s="54" t="n">
        <f aca="false">IF($A266="","",IFERROR(SUMIFS($J$5:$J$504,$AB$5:$AB$504,"&lt;="&amp;AB266)/$J$505,0))</f>
        <v>0.804637505222212</v>
      </c>
      <c r="M266" s="55" t="str">
        <f aca="false">IF($A266="","",IF(L266&lt;=Assumptions!$B$7,"A",IF(L266&lt;=Assumptions!$B$8,"B","C")))</f>
        <v>B</v>
      </c>
      <c r="N266" s="55" t="str">
        <f aca="false">IF($A266="","",IF(I266&lt;=Assumptions!$B$9,"X",IF(I266&lt;=Assumptions!$B$10,"Y","Z")))</f>
        <v>Z</v>
      </c>
      <c r="O266" s="56" t="str">
        <f aca="false">IF($A266="","",M266&amp;N266)</f>
        <v>BZ</v>
      </c>
      <c r="P266" s="57" t="n">
        <f aca="false">IF($A266="","",INDEX(Assumptions!$B$35:$B$37,MATCH(M266,Assumptions!$A$35:$A$37,0)))</f>
        <v>0.95</v>
      </c>
      <c r="Q266" s="58" t="n">
        <f aca="false">IF($A266="","",NORMSINV(P266))</f>
        <v>1.64485362695147</v>
      </c>
      <c r="R266" s="48" t="n">
        <f aca="false">IF($A266="","",ROUNDUP(Q266*H266*SQRT(D266),0))</f>
        <v>425</v>
      </c>
      <c r="S266" s="48" t="n">
        <f aca="false">IF($A266="","",ROUNDUP(G266*D266+R266,0))</f>
        <v>898</v>
      </c>
      <c r="T266" s="46" t="n">
        <f aca="false">IF($A266="","",IFERROR(ROUND(SQRT(2*F266*Assumptions!$B$4/(Assumptions!$B$5*C266)),0),0))</f>
        <v>1809</v>
      </c>
      <c r="U266" s="53" t="n">
        <f aca="false">IF($A266="","",R266*C266)</f>
        <v>318.75</v>
      </c>
      <c r="V266" s="53" t="n">
        <f aca="false">IF($A266="","",E266*C266)</f>
        <v>885</v>
      </c>
      <c r="W266" s="59" t="n">
        <f aca="false">IF($A266="","",IFERROR(E266/G266,0))</f>
        <v>9.99674160964484</v>
      </c>
      <c r="X266" s="48" t="n">
        <f aca="false">IF($A266="","",S266+T266)</f>
        <v>2707</v>
      </c>
      <c r="Y266" s="48" t="n">
        <f aca="false">IF($A266="","",MAX(0,E266-X266))</f>
        <v>0</v>
      </c>
      <c r="Z266" s="53" t="n">
        <f aca="false">IF($A266="","",Y266*C266)</f>
        <v>0</v>
      </c>
      <c r="AA266" s="56" t="str">
        <f aca="false">IF($A266="","",IF(E266&lt;=R266,"Below Safety Stock",IF(E266&lt;=S266,"Reorder Now",IF(E266&gt;X266,"Excess","Healthy"))))</f>
        <v>Healthy</v>
      </c>
      <c r="AB266" s="48" t="n">
        <f aca="false">IF($A266="","",RANK(AF266,$AF$5:$AF$504,0)+COUNTIF($AF$5:AF266,AF266)-1)</f>
        <v>294</v>
      </c>
      <c r="AC266" s="44" t="str">
        <f aca="false">IF($A266="","",Weekly_Demand!B266)</f>
        <v>WOODEN BOX OF DOMINOES</v>
      </c>
      <c r="AD266" s="59" t="n">
        <f aca="false">IF($A266="","",H266*SQRT(D266))</f>
        <v>257.817373131421</v>
      </c>
      <c r="AE266" s="53" t="n">
        <f aca="false">IF($A266="","",AD266*C266)</f>
        <v>193.363029848565</v>
      </c>
      <c r="AF266" s="53" t="n">
        <f aca="false">IF($A266="","",ROUND(J266,2))</f>
        <v>4603.5</v>
      </c>
    </row>
    <row r="267" customFormat="false" ht="15" hidden="false" customHeight="false" outlineLevel="0" collapsed="false">
      <c r="A267" s="44" t="str">
        <f aca="false">IF(Weekly_Demand!A267="","",Weekly_Demand!A267)</f>
        <v>22633</v>
      </c>
      <c r="B267" s="44" t="str">
        <f aca="false">IF($A267="","",Weekly_Demand!C267)</f>
        <v>Other</v>
      </c>
      <c r="C267" s="45" t="n">
        <f aca="false">IF($A267="","",Weekly_Demand!D267)</f>
        <v>1.26</v>
      </c>
      <c r="D267" s="46" t="n">
        <f aca="false">IF($A267="","",Weekly_Demand!E267+Assumptions!$B$19)</f>
        <v>4</v>
      </c>
      <c r="E267" s="46" t="n">
        <f aca="false">IF($A267="","",Weekly_Demand!F267)</f>
        <v>3771</v>
      </c>
      <c r="F267" s="46" t="n">
        <f aca="false">IF($A267="","",SUM(Weekly_Demand!G267:BF267))</f>
        <v>4085</v>
      </c>
      <c r="G267" s="51" t="n">
        <f aca="false">IF($A267="","",IFERROR(F267/Assumptions!$B$6,0))</f>
        <v>78.5576923076923</v>
      </c>
      <c r="H267" s="51" t="n">
        <f aca="false">IF($A267="","",STDEV(Weekly_Demand!G267:BF267))</f>
        <v>137.384591632758</v>
      </c>
      <c r="I267" s="52" t="n">
        <f aca="false">IF($A267="","",IFERROR(H267/G267,0))</f>
        <v>1.74883690695309</v>
      </c>
      <c r="J267" s="53" t="n">
        <f aca="false">IF($A267="","",F267*C267)</f>
        <v>5147.1</v>
      </c>
      <c r="K267" s="54" t="n">
        <f aca="false">IF($A267="","",IFERROR(J267/$J$505,0))</f>
        <v>0.00133182430402384</v>
      </c>
      <c r="L267" s="54" t="n">
        <f aca="false">IF($A267="","",IFERROR(SUMIFS($J$5:$J$504,$AB$5:$AB$504,"&lt;="&amp;AB267)/$J$505,0))</f>
        <v>0.756863858165483</v>
      </c>
      <c r="M267" s="55" t="str">
        <f aca="false">IF($A267="","",IF(L267&lt;=Assumptions!$B$7,"A",IF(L267&lt;=Assumptions!$B$8,"B","C")))</f>
        <v>A</v>
      </c>
      <c r="N267" s="55" t="str">
        <f aca="false">IF($A267="","",IF(I267&lt;=Assumptions!$B$9,"X",IF(I267&lt;=Assumptions!$B$10,"Y","Z")))</f>
        <v>Z</v>
      </c>
      <c r="O267" s="56" t="str">
        <f aca="false">IF($A267="","",M267&amp;N267)</f>
        <v>AZ</v>
      </c>
      <c r="P267" s="57" t="n">
        <f aca="false">IF($A267="","",INDEX(Assumptions!$B$35:$B$37,MATCH(M267,Assumptions!$A$35:$A$37,0)))</f>
        <v>0.98</v>
      </c>
      <c r="Q267" s="58" t="n">
        <f aca="false">IF($A267="","",NORMSINV(P267))</f>
        <v>2.05374891063182</v>
      </c>
      <c r="R267" s="48" t="n">
        <f aca="false">IF($A267="","",ROUNDUP(Q267*H267*SQRT(D267),0))</f>
        <v>565</v>
      </c>
      <c r="S267" s="48" t="n">
        <f aca="false">IF($A267="","",ROUNDUP(G267*D267+R267,0))</f>
        <v>880</v>
      </c>
      <c r="T267" s="46" t="n">
        <f aca="false">IF($A267="","",IFERROR(ROUND(SQRT(2*F267*Assumptions!$B$4/(Assumptions!$B$5*C267)),0),0))</f>
        <v>1139</v>
      </c>
      <c r="U267" s="53" t="n">
        <f aca="false">IF($A267="","",R267*C267)</f>
        <v>711.9</v>
      </c>
      <c r="V267" s="53" t="n">
        <f aca="false">IF($A267="","",E267*C267)</f>
        <v>4751.46</v>
      </c>
      <c r="W267" s="59" t="n">
        <f aca="false">IF($A267="","",IFERROR(E267/G267,0))</f>
        <v>48.0029375764994</v>
      </c>
      <c r="X267" s="48" t="n">
        <f aca="false">IF($A267="","",S267+T267)</f>
        <v>2019</v>
      </c>
      <c r="Y267" s="48" t="n">
        <f aca="false">IF($A267="","",MAX(0,E267-X267))</f>
        <v>1752</v>
      </c>
      <c r="Z267" s="53" t="n">
        <f aca="false">IF($A267="","",Y267*C267)</f>
        <v>2207.52</v>
      </c>
      <c r="AA267" s="56" t="str">
        <f aca="false">IF($A267="","",IF(E267&lt;=R267,"Below Safety Stock",IF(E267&lt;=S267,"Reorder Now",IF(E267&gt;X267,"Excess","Healthy"))))</f>
        <v>Excess</v>
      </c>
      <c r="AB267" s="48" t="n">
        <f aca="false">IF($A267="","",RANK(AF267,$AF$5:$AF$504,0)+COUNTIF($AF$5:AF267,AF267)-1)</f>
        <v>256</v>
      </c>
      <c r="AC267" s="44" t="str">
        <f aca="false">IF($A267="","",Weekly_Demand!B267)</f>
        <v>HAND WARMER UNION JACK</v>
      </c>
      <c r="AD267" s="59" t="n">
        <f aca="false">IF($A267="","",H267*SQRT(D267))</f>
        <v>274.769183265515</v>
      </c>
      <c r="AE267" s="53" t="n">
        <f aca="false">IF($A267="","",AD267*C267)</f>
        <v>346.209170914549</v>
      </c>
      <c r="AF267" s="53" t="n">
        <f aca="false">IF($A267="","",ROUND(J267,2))</f>
        <v>5147.1</v>
      </c>
    </row>
    <row r="268" customFormat="false" ht="15" hidden="false" customHeight="false" outlineLevel="0" collapsed="false">
      <c r="A268" s="44" t="str">
        <f aca="false">IF(Weekly_Demand!A268="","",Weekly_Demand!A268)</f>
        <v>22947</v>
      </c>
      <c r="B268" s="44" t="str">
        <f aca="false">IF($A268="","",Weekly_Demand!C268)</f>
        <v>Other</v>
      </c>
      <c r="C268" s="45" t="n">
        <f aca="false">IF($A268="","",Weekly_Demand!D268)</f>
        <v>4.77</v>
      </c>
      <c r="D268" s="46" t="n">
        <f aca="false">IF($A268="","",Weekly_Demand!E268+Assumptions!$B$19)</f>
        <v>8</v>
      </c>
      <c r="E268" s="46" t="n">
        <f aca="false">IF($A268="","",Weekly_Demand!F268)</f>
        <v>552</v>
      </c>
      <c r="F268" s="46" t="n">
        <f aca="false">IF($A268="","",SUM(Weekly_Demand!G268:BF268))</f>
        <v>736</v>
      </c>
      <c r="G268" s="51" t="n">
        <f aca="false">IF($A268="","",IFERROR(F268/Assumptions!$B$6,0))</f>
        <v>14.1538461538462</v>
      </c>
      <c r="H268" s="51" t="n">
        <f aca="false">IF($A268="","",STDEV(Weekly_Demand!G268:BF268))</f>
        <v>35.4248083091578</v>
      </c>
      <c r="I268" s="52" t="n">
        <f aca="false">IF($A268="","",IFERROR(H268/G268,0))</f>
        <v>2.50283971749484</v>
      </c>
      <c r="J268" s="53" t="n">
        <f aca="false">IF($A268="","",F268*C268)</f>
        <v>3510.72</v>
      </c>
      <c r="K268" s="54" t="n">
        <f aca="false">IF($A268="","",IFERROR(J268/$J$505,0))</f>
        <v>0.000908407107035528</v>
      </c>
      <c r="L268" s="54" t="n">
        <f aca="false">IF($A268="","",IFERROR(SUMIFS($J$5:$J$504,$AB$5:$AB$504,"&lt;="&amp;AB268)/$J$505,0))</f>
        <v>0.92600039198189</v>
      </c>
      <c r="M268" s="55" t="str">
        <f aca="false">IF($A268="","",IF(L268&lt;=Assumptions!$B$7,"A",IF(L268&lt;=Assumptions!$B$8,"B","C")))</f>
        <v>B</v>
      </c>
      <c r="N268" s="55" t="str">
        <f aca="false">IF($A268="","",IF(I268&lt;=Assumptions!$B$9,"X",IF(I268&lt;=Assumptions!$B$10,"Y","Z")))</f>
        <v>Z</v>
      </c>
      <c r="O268" s="56" t="str">
        <f aca="false">IF($A268="","",M268&amp;N268)</f>
        <v>BZ</v>
      </c>
      <c r="P268" s="57" t="n">
        <f aca="false">IF($A268="","",INDEX(Assumptions!$B$35:$B$37,MATCH(M268,Assumptions!$A$35:$A$37,0)))</f>
        <v>0.95</v>
      </c>
      <c r="Q268" s="58" t="n">
        <f aca="false">IF($A268="","",NORMSINV(P268))</f>
        <v>1.64485362695147</v>
      </c>
      <c r="R268" s="48" t="n">
        <f aca="false">IF($A268="","",ROUNDUP(Q268*H268*SQRT(D268),0))</f>
        <v>165</v>
      </c>
      <c r="S268" s="48" t="n">
        <f aca="false">IF($A268="","",ROUNDUP(G268*D268+R268,0))</f>
        <v>279</v>
      </c>
      <c r="T268" s="46" t="n">
        <f aca="false">IF($A268="","",IFERROR(ROUND(SQRT(2*F268*Assumptions!$B$4/(Assumptions!$B$5*C268)),0),0))</f>
        <v>248</v>
      </c>
      <c r="U268" s="53" t="n">
        <f aca="false">IF($A268="","",R268*C268)</f>
        <v>787.05</v>
      </c>
      <c r="V268" s="53" t="n">
        <f aca="false">IF($A268="","",E268*C268)</f>
        <v>2633.04</v>
      </c>
      <c r="W268" s="59" t="n">
        <f aca="false">IF($A268="","",IFERROR(E268/G268,0))</f>
        <v>39</v>
      </c>
      <c r="X268" s="48" t="n">
        <f aca="false">IF($A268="","",S268+T268)</f>
        <v>527</v>
      </c>
      <c r="Y268" s="48" t="n">
        <f aca="false">IF($A268="","",MAX(0,E268-X268))</f>
        <v>25</v>
      </c>
      <c r="Z268" s="53" t="n">
        <f aca="false">IF($A268="","",Y268*C268)</f>
        <v>119.25</v>
      </c>
      <c r="AA268" s="56" t="str">
        <f aca="false">IF($A268="","",IF(E268&lt;=R268,"Below Safety Stock",IF(E268&lt;=S268,"Reorder Now",IF(E268&gt;X268,"Excess","Healthy"))))</f>
        <v>Excess</v>
      </c>
      <c r="AB268" s="48" t="n">
        <f aca="false">IF($A268="","",RANK(AF268,$AF$5:$AF$504,0)+COUNTIF($AF$5:AF268,AF268)-1)</f>
        <v>409</v>
      </c>
      <c r="AC268" s="44" t="str">
        <f aca="false">IF($A268="","",Weekly_Demand!B268)</f>
        <v>WOODEN ADVENT CALENDAR RED</v>
      </c>
      <c r="AD268" s="59" t="n">
        <f aca="false">IF($A268="","",H268*SQRT(D268))</f>
        <v>100.196488710556</v>
      </c>
      <c r="AE268" s="53" t="n">
        <f aca="false">IF($A268="","",AD268*C268)</f>
        <v>477.937251149352</v>
      </c>
      <c r="AF268" s="53" t="n">
        <f aca="false">IF($A268="","",ROUND(J268,2))</f>
        <v>3510.72</v>
      </c>
    </row>
    <row r="269" customFormat="false" ht="15" hidden="false" customHeight="false" outlineLevel="0" collapsed="false">
      <c r="A269" s="44" t="str">
        <f aca="false">IF(Weekly_Demand!A269="","",Weekly_Demand!A269)</f>
        <v>22560</v>
      </c>
      <c r="B269" s="44" t="str">
        <f aca="false">IF($A269="","",Weekly_Demand!C269)</f>
        <v>Other</v>
      </c>
      <c r="C269" s="45" t="n">
        <f aca="false">IF($A269="","",Weekly_Demand!D269)</f>
        <v>0.75</v>
      </c>
      <c r="D269" s="46" t="n">
        <f aca="false">IF($A269="","",Weekly_Demand!E269+Assumptions!$B$19)</f>
        <v>2</v>
      </c>
      <c r="E269" s="46" t="n">
        <f aca="false">IF($A269="","",Weekly_Demand!F269)</f>
        <v>6474</v>
      </c>
      <c r="F269" s="46" t="n">
        <f aca="false">IF($A269="","",SUM(Weekly_Demand!G269:BF269))</f>
        <v>7163</v>
      </c>
      <c r="G269" s="51" t="n">
        <f aca="false">IF($A269="","",IFERROR(F269/Assumptions!$B$6,0))</f>
        <v>137.75</v>
      </c>
      <c r="H269" s="51" t="n">
        <f aca="false">IF($A269="","",STDEV(Weekly_Demand!G269:BF269))</f>
        <v>116.310246880538</v>
      </c>
      <c r="I269" s="52" t="n">
        <f aca="false">IF($A269="","",IFERROR(H269/G269,0))</f>
        <v>0.844357509114615</v>
      </c>
      <c r="J269" s="53" t="n">
        <f aca="false">IF($A269="","",F269*C269)</f>
        <v>5372.25</v>
      </c>
      <c r="K269" s="54" t="n">
        <f aca="false">IF($A269="","",IFERROR(J269/$J$505,0))</f>
        <v>0.00139008239927184</v>
      </c>
      <c r="L269" s="54" t="n">
        <f aca="false">IF($A269="","",IFERROR(SUMIFS($J$5:$J$504,$AB$5:$AB$504,"&lt;="&amp;AB269)/$J$505,0))</f>
        <v>0.739089860566573</v>
      </c>
      <c r="M269" s="55" t="str">
        <f aca="false">IF($A269="","",IF(L269&lt;=Assumptions!$B$7,"A",IF(L269&lt;=Assumptions!$B$8,"B","C")))</f>
        <v>A</v>
      </c>
      <c r="N269" s="55" t="str">
        <f aca="false">IF($A269="","",IF(I269&lt;=Assumptions!$B$9,"X",IF(I269&lt;=Assumptions!$B$10,"Y","Z")))</f>
        <v>Y</v>
      </c>
      <c r="O269" s="56" t="str">
        <f aca="false">IF($A269="","",M269&amp;N269)</f>
        <v>AY</v>
      </c>
      <c r="P269" s="57" t="n">
        <f aca="false">IF($A269="","",INDEX(Assumptions!$B$35:$B$37,MATCH(M269,Assumptions!$A$35:$A$37,0)))</f>
        <v>0.98</v>
      </c>
      <c r="Q269" s="58" t="n">
        <f aca="false">IF($A269="","",NORMSINV(P269))</f>
        <v>2.05374891063182</v>
      </c>
      <c r="R269" s="48" t="n">
        <f aca="false">IF($A269="","",ROUNDUP(Q269*H269*SQRT(D269),0))</f>
        <v>338</v>
      </c>
      <c r="S269" s="48" t="n">
        <f aca="false">IF($A269="","",ROUNDUP(G269*D269+R269,0))</f>
        <v>614</v>
      </c>
      <c r="T269" s="46" t="n">
        <f aca="false">IF($A269="","",IFERROR(ROUND(SQRT(2*F269*Assumptions!$B$4/(Assumptions!$B$5*C269)),0),0))</f>
        <v>1955</v>
      </c>
      <c r="U269" s="53" t="n">
        <f aca="false">IF($A269="","",R269*C269)</f>
        <v>253.5</v>
      </c>
      <c r="V269" s="53" t="n">
        <f aca="false">IF($A269="","",E269*C269)</f>
        <v>4855.5</v>
      </c>
      <c r="W269" s="59" t="n">
        <f aca="false">IF($A269="","",IFERROR(E269/G269,0))</f>
        <v>46.9981851179673</v>
      </c>
      <c r="X269" s="48" t="n">
        <f aca="false">IF($A269="","",S269+T269)</f>
        <v>2569</v>
      </c>
      <c r="Y269" s="48" t="n">
        <f aca="false">IF($A269="","",MAX(0,E269-X269))</f>
        <v>3905</v>
      </c>
      <c r="Z269" s="53" t="n">
        <f aca="false">IF($A269="","",Y269*C269)</f>
        <v>2928.75</v>
      </c>
      <c r="AA269" s="56" t="str">
        <f aca="false">IF($A269="","",IF(E269&lt;=R269,"Below Safety Stock",IF(E269&lt;=S269,"Reorder Now",IF(E269&gt;X269,"Excess","Healthy"))))</f>
        <v>Excess</v>
      </c>
      <c r="AB269" s="48" t="n">
        <f aca="false">IF($A269="","",RANK(AF269,$AF$5:$AF$504,0)+COUNTIF($AF$5:AF269,AF269)-1)</f>
        <v>243</v>
      </c>
      <c r="AC269" s="44" t="str">
        <f aca="false">IF($A269="","",Weekly_Demand!B269)</f>
        <v>TRADITIONAL MODELLING CLAY</v>
      </c>
      <c r="AD269" s="59" t="n">
        <f aca="false">IF($A269="","",H269*SQRT(D269))</f>
        <v>164.48752858142</v>
      </c>
      <c r="AE269" s="53" t="n">
        <f aca="false">IF($A269="","",AD269*C269)</f>
        <v>123.365646436065</v>
      </c>
      <c r="AF269" s="53" t="n">
        <f aca="false">IF($A269="","",ROUND(J269,2))</f>
        <v>5372.25</v>
      </c>
    </row>
    <row r="270" customFormat="false" ht="15" hidden="false" customHeight="false" outlineLevel="0" collapsed="false">
      <c r="A270" s="44" t="str">
        <f aca="false">IF(Weekly_Demand!A270="","",Weekly_Demand!A270)</f>
        <v>22147</v>
      </c>
      <c r="B270" s="44" t="str">
        <f aca="false">IF($A270="","",Weekly_Demand!C270)</f>
        <v>Other</v>
      </c>
      <c r="C270" s="45" t="n">
        <f aca="false">IF($A270="","",Weekly_Demand!D270)</f>
        <v>0.87</v>
      </c>
      <c r="D270" s="46" t="n">
        <f aca="false">IF($A270="","",Weekly_Demand!E270+Assumptions!$B$19)</f>
        <v>8</v>
      </c>
      <c r="E270" s="46" t="n">
        <f aca="false">IF($A270="","",Weekly_Demand!F270)</f>
        <v>4584</v>
      </c>
      <c r="F270" s="46" t="n">
        <f aca="false">IF($A270="","",SUM(Weekly_Demand!G270:BF270))</f>
        <v>6112</v>
      </c>
      <c r="G270" s="51" t="n">
        <f aca="false">IF($A270="","",IFERROR(F270/Assumptions!$B$6,0))</f>
        <v>117.538461538462</v>
      </c>
      <c r="H270" s="51" t="n">
        <f aca="false">IF($A270="","",STDEV(Weekly_Demand!G270:BF270))</f>
        <v>210.608033060811</v>
      </c>
      <c r="I270" s="52" t="n">
        <f aca="false">IF($A270="","",IFERROR(H270/G270,0))</f>
        <v>1.79182227080533</v>
      </c>
      <c r="J270" s="53" t="n">
        <f aca="false">IF($A270="","",F270*C270)</f>
        <v>5317.44</v>
      </c>
      <c r="K270" s="54" t="n">
        <f aca="false">IF($A270="","",IFERROR(J270/$J$505,0))</f>
        <v>0.00137590018208088</v>
      </c>
      <c r="L270" s="54" t="n">
        <f aca="false">IF($A270="","",IFERROR(SUMIFS($J$5:$J$504,$AB$5:$AB$504,"&lt;="&amp;AB270)/$J$505,0))</f>
        <v>0.747388468129165</v>
      </c>
      <c r="M270" s="55" t="str">
        <f aca="false">IF($A270="","",IF(L270&lt;=Assumptions!$B$7,"A",IF(L270&lt;=Assumptions!$B$8,"B","C")))</f>
        <v>A</v>
      </c>
      <c r="N270" s="55" t="str">
        <f aca="false">IF($A270="","",IF(I270&lt;=Assumptions!$B$9,"X",IF(I270&lt;=Assumptions!$B$10,"Y","Z")))</f>
        <v>Z</v>
      </c>
      <c r="O270" s="56" t="str">
        <f aca="false">IF($A270="","",M270&amp;N270)</f>
        <v>AZ</v>
      </c>
      <c r="P270" s="57" t="n">
        <f aca="false">IF($A270="","",INDEX(Assumptions!$B$35:$B$37,MATCH(M270,Assumptions!$A$35:$A$37,0)))</f>
        <v>0.98</v>
      </c>
      <c r="Q270" s="58" t="n">
        <f aca="false">IF($A270="","",NORMSINV(P270))</f>
        <v>2.05374891063182</v>
      </c>
      <c r="R270" s="48" t="n">
        <f aca="false">IF($A270="","",ROUNDUP(Q270*H270*SQRT(D270),0))</f>
        <v>1224</v>
      </c>
      <c r="S270" s="48" t="n">
        <f aca="false">IF($A270="","",ROUNDUP(G270*D270+R270,0))</f>
        <v>2165</v>
      </c>
      <c r="T270" s="46" t="n">
        <f aca="false">IF($A270="","",IFERROR(ROUND(SQRT(2*F270*Assumptions!$B$4/(Assumptions!$B$5*C270)),0),0))</f>
        <v>1676</v>
      </c>
      <c r="U270" s="53" t="n">
        <f aca="false">IF($A270="","",R270*C270)</f>
        <v>1064.88</v>
      </c>
      <c r="V270" s="53" t="n">
        <f aca="false">IF($A270="","",E270*C270)</f>
        <v>3988.08</v>
      </c>
      <c r="W270" s="59" t="n">
        <f aca="false">IF($A270="","",IFERROR(E270/G270,0))</f>
        <v>39</v>
      </c>
      <c r="X270" s="48" t="n">
        <f aca="false">IF($A270="","",S270+T270)</f>
        <v>3841</v>
      </c>
      <c r="Y270" s="48" t="n">
        <f aca="false">IF($A270="","",MAX(0,E270-X270))</f>
        <v>743</v>
      </c>
      <c r="Z270" s="53" t="n">
        <f aca="false">IF($A270="","",Y270*C270)</f>
        <v>646.41</v>
      </c>
      <c r="AA270" s="56" t="str">
        <f aca="false">IF($A270="","",IF(E270&lt;=R270,"Below Safety Stock",IF(E270&lt;=S270,"Reorder Now",IF(E270&gt;X270,"Excess","Healthy"))))</f>
        <v>Excess</v>
      </c>
      <c r="AB270" s="48" t="n">
        <f aca="false">IF($A270="","",RANK(AF270,$AF$5:$AF$504,0)+COUNTIF($AF$5:AF270,AF270)-1)</f>
        <v>249</v>
      </c>
      <c r="AC270" s="44" t="str">
        <f aca="false">IF($A270="","",Weekly_Demand!B270)</f>
        <v>FELTCRAFT BUTTERFLY HEARTS</v>
      </c>
      <c r="AD270" s="59" t="n">
        <f aca="false">IF($A270="","",H270*SQRT(D270))</f>
        <v>595.68947339864</v>
      </c>
      <c r="AE270" s="53" t="n">
        <f aca="false">IF($A270="","",AD270*C270)</f>
        <v>518.249841856817</v>
      </c>
      <c r="AF270" s="53" t="n">
        <f aca="false">IF($A270="","",ROUND(J270,2))</f>
        <v>5317.44</v>
      </c>
    </row>
    <row r="271" customFormat="false" ht="15" hidden="false" customHeight="false" outlineLevel="0" collapsed="false">
      <c r="A271" s="44" t="str">
        <f aca="false">IF(Weekly_Demand!A271="","",Weekly_Demand!A271)</f>
        <v>22652</v>
      </c>
      <c r="B271" s="44" t="str">
        <f aca="false">IF($A271="","",Weekly_Demand!C271)</f>
        <v>Other</v>
      </c>
      <c r="C271" s="45" t="n">
        <f aca="false">IF($A271="","",Weekly_Demand!D271)</f>
        <v>0.99</v>
      </c>
      <c r="D271" s="46" t="n">
        <f aca="false">IF($A271="","",Weekly_Demand!E271+Assumptions!$B$19)</f>
        <v>2</v>
      </c>
      <c r="E271" s="46" t="n">
        <f aca="false">IF($A271="","",Weekly_Demand!F271)</f>
        <v>4902</v>
      </c>
      <c r="F271" s="46" t="n">
        <f aca="false">IF($A271="","",SUM(Weekly_Demand!G271:BF271))</f>
        <v>4998</v>
      </c>
      <c r="G271" s="51" t="n">
        <f aca="false">IF($A271="","",IFERROR(F271/Assumptions!$B$6,0))</f>
        <v>96.1153846153846</v>
      </c>
      <c r="H271" s="51" t="n">
        <f aca="false">IF($A271="","",STDEV(Weekly_Demand!G271:BF271))</f>
        <v>88.6786783503612</v>
      </c>
      <c r="I271" s="52" t="n">
        <f aca="false">IF($A271="","",IFERROR(H271/G271,0))</f>
        <v>0.922627305766063</v>
      </c>
      <c r="J271" s="53" t="n">
        <f aca="false">IF($A271="","",F271*C271)</f>
        <v>4948.02</v>
      </c>
      <c r="K271" s="54" t="n">
        <f aca="false">IF($A271="","",IFERROR(J271/$J$505,0))</f>
        <v>0.00128031188296245</v>
      </c>
      <c r="L271" s="54" t="n">
        <f aca="false">IF($A271="","",IFERROR(SUMIFS($J$5:$J$504,$AB$5:$AB$504,"&lt;="&amp;AB271)/$J$505,0))</f>
        <v>0.77503576825815</v>
      </c>
      <c r="M271" s="55" t="str">
        <f aca="false">IF($A271="","",IF(L271&lt;=Assumptions!$B$7,"A",IF(L271&lt;=Assumptions!$B$8,"B","C")))</f>
        <v>A</v>
      </c>
      <c r="N271" s="55" t="str">
        <f aca="false">IF($A271="","",IF(I271&lt;=Assumptions!$B$9,"X",IF(I271&lt;=Assumptions!$B$10,"Y","Z")))</f>
        <v>Y</v>
      </c>
      <c r="O271" s="56" t="str">
        <f aca="false">IF($A271="","",M271&amp;N271)</f>
        <v>AY</v>
      </c>
      <c r="P271" s="57" t="n">
        <f aca="false">IF($A271="","",INDEX(Assumptions!$B$35:$B$37,MATCH(M271,Assumptions!$A$35:$A$37,0)))</f>
        <v>0.98</v>
      </c>
      <c r="Q271" s="58" t="n">
        <f aca="false">IF($A271="","",NORMSINV(P271))</f>
        <v>2.05374891063182</v>
      </c>
      <c r="R271" s="48" t="n">
        <f aca="false">IF($A271="","",ROUNDUP(Q271*H271*SQRT(D271),0))</f>
        <v>258</v>
      </c>
      <c r="S271" s="48" t="n">
        <f aca="false">IF($A271="","",ROUNDUP(G271*D271+R271,0))</f>
        <v>451</v>
      </c>
      <c r="T271" s="46" t="n">
        <f aca="false">IF($A271="","",IFERROR(ROUND(SQRT(2*F271*Assumptions!$B$4/(Assumptions!$B$5*C271)),0),0))</f>
        <v>1421</v>
      </c>
      <c r="U271" s="53" t="n">
        <f aca="false">IF($A271="","",R271*C271)</f>
        <v>255.42</v>
      </c>
      <c r="V271" s="53" t="n">
        <f aca="false">IF($A271="","",E271*C271)</f>
        <v>4852.98</v>
      </c>
      <c r="W271" s="59" t="n">
        <f aca="false">IF($A271="","",IFERROR(E271/G271,0))</f>
        <v>51.0012004801921</v>
      </c>
      <c r="X271" s="48" t="n">
        <f aca="false">IF($A271="","",S271+T271)</f>
        <v>1872</v>
      </c>
      <c r="Y271" s="48" t="n">
        <f aca="false">IF($A271="","",MAX(0,E271-X271))</f>
        <v>3030</v>
      </c>
      <c r="Z271" s="53" t="n">
        <f aca="false">IF($A271="","",Y271*C271)</f>
        <v>2999.7</v>
      </c>
      <c r="AA271" s="56" t="str">
        <f aca="false">IF($A271="","",IF(E271&lt;=R271,"Below Safety Stock",IF(E271&lt;=S271,"Reorder Now",IF(E271&gt;X271,"Excess","Healthy"))))</f>
        <v>Excess</v>
      </c>
      <c r="AB271" s="48" t="n">
        <f aca="false">IF($A271="","",RANK(AF271,$AF$5:$AF$504,0)+COUNTIF($AF$5:AF271,AF271)-1)</f>
        <v>270</v>
      </c>
      <c r="AC271" s="44" t="str">
        <f aca="false">IF($A271="","",Weekly_Demand!B271)</f>
        <v>TRAVEL SEWING KIT</v>
      </c>
      <c r="AD271" s="59" t="n">
        <f aca="false">IF($A271="","",H271*SQRT(D271))</f>
        <v>125.410589616402</v>
      </c>
      <c r="AE271" s="53" t="n">
        <f aca="false">IF($A271="","",AD271*C271)</f>
        <v>124.156483720238</v>
      </c>
      <c r="AF271" s="53" t="n">
        <f aca="false">IF($A271="","",ROUND(J271,2))</f>
        <v>4948.02</v>
      </c>
    </row>
    <row r="272" customFormat="false" ht="15" hidden="false" customHeight="false" outlineLevel="0" collapsed="false">
      <c r="A272" s="44" t="str">
        <f aca="false">IF(Weekly_Demand!A272="","",Weekly_Demand!A272)</f>
        <v>84945</v>
      </c>
      <c r="B272" s="44" t="str">
        <f aca="false">IF($A272="","",Weekly_Demand!C272)</f>
        <v>Lighting</v>
      </c>
      <c r="C272" s="45" t="n">
        <f aca="false">IF($A272="","",Weekly_Demand!D272)</f>
        <v>0.51</v>
      </c>
      <c r="D272" s="46" t="n">
        <f aca="false">IF($A272="","",Weekly_Demand!E272+Assumptions!$B$19)</f>
        <v>4</v>
      </c>
      <c r="E272" s="46" t="n">
        <f aca="false">IF($A272="","",Weekly_Demand!F272)</f>
        <v>2926</v>
      </c>
      <c r="F272" s="46" t="n">
        <f aca="false">IF($A272="","",SUM(Weekly_Demand!G272:BF272))</f>
        <v>10143</v>
      </c>
      <c r="G272" s="51" t="n">
        <f aca="false">IF($A272="","",IFERROR(F272/Assumptions!$B$6,0))</f>
        <v>195.057692307692</v>
      </c>
      <c r="H272" s="51" t="n">
        <f aca="false">IF($A272="","",STDEV(Weekly_Demand!G272:BF272))</f>
        <v>200.16673573931</v>
      </c>
      <c r="I272" s="52" t="n">
        <f aca="false">IF($A272="","",IFERROR(H272/G272,0))</f>
        <v>1.02619247347374</v>
      </c>
      <c r="J272" s="53" t="n">
        <f aca="false">IF($A272="","",F272*C272)</f>
        <v>5172.93</v>
      </c>
      <c r="K272" s="54" t="n">
        <f aca="false">IF($A272="","",IFERROR(J272/$J$505,0))</f>
        <v>0.00133850787764256</v>
      </c>
      <c r="L272" s="54" t="n">
        <f aca="false">IF($A272="","",IFERROR(SUMIFS($J$5:$J$504,$AB$5:$AB$504,"&lt;="&amp;AB272)/$J$505,0))</f>
        <v>0.754197857498426</v>
      </c>
      <c r="M272" s="55" t="str">
        <f aca="false">IF($A272="","",IF(L272&lt;=Assumptions!$B$7,"A",IF(L272&lt;=Assumptions!$B$8,"B","C")))</f>
        <v>A</v>
      </c>
      <c r="N272" s="55" t="str">
        <f aca="false">IF($A272="","",IF(I272&lt;=Assumptions!$B$9,"X",IF(I272&lt;=Assumptions!$B$10,"Y","Z")))</f>
        <v>Z</v>
      </c>
      <c r="O272" s="56" t="str">
        <f aca="false">IF($A272="","",M272&amp;N272)</f>
        <v>AZ</v>
      </c>
      <c r="P272" s="57" t="n">
        <f aca="false">IF($A272="","",INDEX(Assumptions!$B$35:$B$37,MATCH(M272,Assumptions!$A$35:$A$37,0)))</f>
        <v>0.98</v>
      </c>
      <c r="Q272" s="58" t="n">
        <f aca="false">IF($A272="","",NORMSINV(P272))</f>
        <v>2.05374891063182</v>
      </c>
      <c r="R272" s="48" t="n">
        <f aca="false">IF($A272="","",ROUNDUP(Q272*H272*SQRT(D272),0))</f>
        <v>823</v>
      </c>
      <c r="S272" s="48" t="n">
        <f aca="false">IF($A272="","",ROUNDUP(G272*D272+R272,0))</f>
        <v>1604</v>
      </c>
      <c r="T272" s="46" t="n">
        <f aca="false">IF($A272="","",IFERROR(ROUND(SQRT(2*F272*Assumptions!$B$4/(Assumptions!$B$5*C272)),0),0))</f>
        <v>2821</v>
      </c>
      <c r="U272" s="53" t="n">
        <f aca="false">IF($A272="","",R272*C272)</f>
        <v>419.73</v>
      </c>
      <c r="V272" s="53" t="n">
        <f aca="false">IF($A272="","",E272*C272)</f>
        <v>1492.26</v>
      </c>
      <c r="W272" s="59" t="n">
        <f aca="false">IF($A272="","",IFERROR(E272/G272,0))</f>
        <v>15.0006901311249</v>
      </c>
      <c r="X272" s="48" t="n">
        <f aca="false">IF($A272="","",S272+T272)</f>
        <v>4425</v>
      </c>
      <c r="Y272" s="48" t="n">
        <f aca="false">IF($A272="","",MAX(0,E272-X272))</f>
        <v>0</v>
      </c>
      <c r="Z272" s="53" t="n">
        <f aca="false">IF($A272="","",Y272*C272)</f>
        <v>0</v>
      </c>
      <c r="AA272" s="56" t="str">
        <f aca="false">IF($A272="","",IF(E272&lt;=R272,"Below Safety Stock",IF(E272&lt;=S272,"Reorder Now",IF(E272&gt;X272,"Excess","Healthy"))))</f>
        <v>Healthy</v>
      </c>
      <c r="AB272" s="48" t="n">
        <f aca="false">IF($A272="","",RANK(AF272,$AF$5:$AF$504,0)+COUNTIF($AF$5:AF272,AF272)-1)</f>
        <v>254</v>
      </c>
      <c r="AC272" s="44" t="str">
        <f aca="false">IF($A272="","",Weekly_Demand!B272)</f>
        <v>MULTI COLOUR SILVER T-LIGHT HOLDER</v>
      </c>
      <c r="AD272" s="59" t="n">
        <f aca="false">IF($A272="","",H272*SQRT(D272))</f>
        <v>400.333471478621</v>
      </c>
      <c r="AE272" s="53" t="n">
        <f aca="false">IF($A272="","",AD272*C272)</f>
        <v>204.170070454097</v>
      </c>
      <c r="AF272" s="53" t="n">
        <f aca="false">IF($A272="","",ROUND(J272,2))</f>
        <v>5172.93</v>
      </c>
    </row>
    <row r="273" customFormat="false" ht="15" hidden="false" customHeight="false" outlineLevel="0" collapsed="false">
      <c r="A273" s="44" t="str">
        <f aca="false">IF(Weekly_Demand!A273="","",Weekly_Demand!A273)</f>
        <v>23439</v>
      </c>
      <c r="B273" s="44" t="str">
        <f aca="false">IF($A273="","",Weekly_Demand!C273)</f>
        <v>Other</v>
      </c>
      <c r="C273" s="45" t="n">
        <f aca="false">IF($A273="","",Weekly_Demand!D273)</f>
        <v>1.26</v>
      </c>
      <c r="D273" s="46" t="n">
        <f aca="false">IF($A273="","",Weekly_Demand!E273+Assumptions!$B$19)</f>
        <v>8</v>
      </c>
      <c r="E273" s="46" t="n">
        <f aca="false">IF($A273="","",Weekly_Demand!F273)</f>
        <v>3100</v>
      </c>
      <c r="F273" s="46" t="n">
        <f aca="false">IF($A273="","",SUM(Weekly_Demand!G273:BF273))</f>
        <v>3749</v>
      </c>
      <c r="G273" s="51" t="n">
        <f aca="false">IF($A273="","",IFERROR(F273/Assumptions!$B$6,0))</f>
        <v>72.0961538461538</v>
      </c>
      <c r="H273" s="51" t="n">
        <f aca="false">IF($A273="","",STDEV(Weekly_Demand!G273:BF273))</f>
        <v>149.711128329531</v>
      </c>
      <c r="I273" s="52" t="n">
        <f aca="false">IF($A273="","",IFERROR(H273/G273,0))</f>
        <v>2.07654805898523</v>
      </c>
      <c r="J273" s="53" t="n">
        <f aca="false">IF($A273="","",F273*C273)</f>
        <v>4723.74</v>
      </c>
      <c r="K273" s="54" t="n">
        <f aca="false">IF($A273="","",IFERROR(J273/$J$505,0))</f>
        <v>0.00122227890227304</v>
      </c>
      <c r="L273" s="54" t="n">
        <f aca="false">IF($A273="","",IFERROR(SUMIFS($J$5:$J$504,$AB$5:$AB$504,"&lt;="&amp;AB273)/$J$505,0))</f>
        <v>0.796227605679397</v>
      </c>
      <c r="M273" s="55" t="str">
        <f aca="false">IF($A273="","",IF(L273&lt;=Assumptions!$B$7,"A",IF(L273&lt;=Assumptions!$B$8,"B","C")))</f>
        <v>A</v>
      </c>
      <c r="N273" s="55" t="str">
        <f aca="false">IF($A273="","",IF(I273&lt;=Assumptions!$B$9,"X",IF(I273&lt;=Assumptions!$B$10,"Y","Z")))</f>
        <v>Z</v>
      </c>
      <c r="O273" s="56" t="str">
        <f aca="false">IF($A273="","",M273&amp;N273)</f>
        <v>AZ</v>
      </c>
      <c r="P273" s="57" t="n">
        <f aca="false">IF($A273="","",INDEX(Assumptions!$B$35:$B$37,MATCH(M273,Assumptions!$A$35:$A$37,0)))</f>
        <v>0.98</v>
      </c>
      <c r="Q273" s="58" t="n">
        <f aca="false">IF($A273="","",NORMSINV(P273))</f>
        <v>2.05374891063182</v>
      </c>
      <c r="R273" s="48" t="n">
        <f aca="false">IF($A273="","",ROUNDUP(Q273*H273*SQRT(D273),0))</f>
        <v>870</v>
      </c>
      <c r="S273" s="48" t="n">
        <f aca="false">IF($A273="","",ROUNDUP(G273*D273+R273,0))</f>
        <v>1447</v>
      </c>
      <c r="T273" s="46" t="n">
        <f aca="false">IF($A273="","",IFERROR(ROUND(SQRT(2*F273*Assumptions!$B$4/(Assumptions!$B$5*C273)),0),0))</f>
        <v>1091</v>
      </c>
      <c r="U273" s="53" t="n">
        <f aca="false">IF($A273="","",R273*C273)</f>
        <v>1096.2</v>
      </c>
      <c r="V273" s="53" t="n">
        <f aca="false">IF($A273="","",E273*C273)</f>
        <v>3906</v>
      </c>
      <c r="W273" s="59" t="n">
        <f aca="false">IF($A273="","",IFERROR(E273/G273,0))</f>
        <v>42.9981328354228</v>
      </c>
      <c r="X273" s="48" t="n">
        <f aca="false">IF($A273="","",S273+T273)</f>
        <v>2538</v>
      </c>
      <c r="Y273" s="48" t="n">
        <f aca="false">IF($A273="","",MAX(0,E273-X273))</f>
        <v>562</v>
      </c>
      <c r="Z273" s="53" t="n">
        <f aca="false">IF($A273="","",Y273*C273)</f>
        <v>708.12</v>
      </c>
      <c r="AA273" s="56" t="str">
        <f aca="false">IF($A273="","",IF(E273&lt;=R273,"Below Safety Stock",IF(E273&lt;=S273,"Reorder Now",IF(E273&gt;X273,"Excess","Healthy"))))</f>
        <v>Excess</v>
      </c>
      <c r="AB273" s="48" t="n">
        <f aca="false">IF($A273="","",RANK(AF273,$AF$5:$AF$504,0)+COUNTIF($AF$5:AF273,AF273)-1)</f>
        <v>287</v>
      </c>
      <c r="AC273" s="44" t="str">
        <f aca="false">IF($A273="","",Weekly_Demand!B273)</f>
        <v>HAND WARMER RED LOVE HEART</v>
      </c>
      <c r="AD273" s="59" t="n">
        <f aca="false">IF($A273="","",H273*SQRT(D273))</f>
        <v>423.447016243604</v>
      </c>
      <c r="AE273" s="53" t="n">
        <f aca="false">IF($A273="","",AD273*C273)</f>
        <v>533.543240466941</v>
      </c>
      <c r="AF273" s="53" t="n">
        <f aca="false">IF($A273="","",ROUND(J273,2))</f>
        <v>4723.74</v>
      </c>
    </row>
    <row r="274" customFormat="false" ht="15" hidden="false" customHeight="false" outlineLevel="0" collapsed="false">
      <c r="A274" s="44" t="str">
        <f aca="false">IF(Weekly_Demand!A274="","",Weekly_Demand!A274)</f>
        <v>84378</v>
      </c>
      <c r="B274" s="44" t="str">
        <f aca="false">IF($A274="","",Weekly_Demand!C274)</f>
        <v>Other</v>
      </c>
      <c r="C274" s="45" t="n">
        <f aca="false">IF($A274="","",Weekly_Demand!D274)</f>
        <v>0.75</v>
      </c>
      <c r="D274" s="46" t="n">
        <f aca="false">IF($A274="","",Weekly_Demand!E274+Assumptions!$B$19)</f>
        <v>6</v>
      </c>
      <c r="E274" s="46" t="n">
        <f aca="false">IF($A274="","",Weekly_Demand!F274)</f>
        <v>1671</v>
      </c>
      <c r="F274" s="46" t="n">
        <f aca="false">IF($A274="","",SUM(Weekly_Demand!G274:BF274))</f>
        <v>6207</v>
      </c>
      <c r="G274" s="51" t="n">
        <f aca="false">IF($A274="","",IFERROR(F274/Assumptions!$B$6,0))</f>
        <v>119.365384615385</v>
      </c>
      <c r="H274" s="51" t="n">
        <f aca="false">IF($A274="","",STDEV(Weekly_Demand!G274:BF274))</f>
        <v>142.005527211699</v>
      </c>
      <c r="I274" s="52" t="n">
        <f aca="false">IF($A274="","",IFERROR(H274/G274,0))</f>
        <v>1.18967092234709</v>
      </c>
      <c r="J274" s="53" t="n">
        <f aca="false">IF($A274="","",F274*C274)</f>
        <v>4655.25</v>
      </c>
      <c r="K274" s="54" t="n">
        <f aca="false">IF($A274="","",IFERROR(J274/$J$505,0))</f>
        <v>0.00120455695271259</v>
      </c>
      <c r="L274" s="54" t="n">
        <f aca="false">IF($A274="","",IFERROR(SUMIFS($J$5:$J$504,$AB$5:$AB$504,"&lt;="&amp;AB274)/$J$505,0))</f>
        <v>0.79985501628818</v>
      </c>
      <c r="M274" s="55" t="str">
        <f aca="false">IF($A274="","",IF(L274&lt;=Assumptions!$B$7,"A",IF(L274&lt;=Assumptions!$B$8,"B","C")))</f>
        <v>A</v>
      </c>
      <c r="N274" s="55" t="str">
        <f aca="false">IF($A274="","",IF(I274&lt;=Assumptions!$B$9,"X",IF(I274&lt;=Assumptions!$B$10,"Y","Z")))</f>
        <v>Z</v>
      </c>
      <c r="O274" s="56" t="str">
        <f aca="false">IF($A274="","",M274&amp;N274)</f>
        <v>AZ</v>
      </c>
      <c r="P274" s="57" t="n">
        <f aca="false">IF($A274="","",INDEX(Assumptions!$B$35:$B$37,MATCH(M274,Assumptions!$A$35:$A$37,0)))</f>
        <v>0.98</v>
      </c>
      <c r="Q274" s="58" t="n">
        <f aca="false">IF($A274="","",NORMSINV(P274))</f>
        <v>2.05374891063182</v>
      </c>
      <c r="R274" s="48" t="n">
        <f aca="false">IF($A274="","",ROUNDUP(Q274*H274*SQRT(D274),0))</f>
        <v>715</v>
      </c>
      <c r="S274" s="48" t="n">
        <f aca="false">IF($A274="","",ROUNDUP(G274*D274+R274,0))</f>
        <v>1432</v>
      </c>
      <c r="T274" s="46" t="n">
        <f aca="false">IF($A274="","",IFERROR(ROUND(SQRT(2*F274*Assumptions!$B$4/(Assumptions!$B$5*C274)),0),0))</f>
        <v>1819</v>
      </c>
      <c r="U274" s="53" t="n">
        <f aca="false">IF($A274="","",R274*C274)</f>
        <v>536.25</v>
      </c>
      <c r="V274" s="53" t="n">
        <f aca="false">IF($A274="","",E274*C274)</f>
        <v>1253.25</v>
      </c>
      <c r="W274" s="59" t="n">
        <f aca="false">IF($A274="","",IFERROR(E274/G274,0))</f>
        <v>13.9990333494442</v>
      </c>
      <c r="X274" s="48" t="n">
        <f aca="false">IF($A274="","",S274+T274)</f>
        <v>3251</v>
      </c>
      <c r="Y274" s="48" t="n">
        <f aca="false">IF($A274="","",MAX(0,E274-X274))</f>
        <v>0</v>
      </c>
      <c r="Z274" s="53" t="n">
        <f aca="false">IF($A274="","",Y274*C274)</f>
        <v>0</v>
      </c>
      <c r="AA274" s="56" t="str">
        <f aca="false">IF($A274="","",IF(E274&lt;=R274,"Below Safety Stock",IF(E274&lt;=S274,"Reorder Now",IF(E274&gt;X274,"Excess","Healthy"))))</f>
        <v>Healthy</v>
      </c>
      <c r="AB274" s="48" t="n">
        <f aca="false">IF($A274="","",RANK(AF274,$AF$5:$AF$504,0)+COUNTIF($AF$5:AF274,AF274)-1)</f>
        <v>290</v>
      </c>
      <c r="AC274" s="44" t="str">
        <f aca="false">IF($A274="","",Weekly_Demand!B274)</f>
        <v>SET OF 3 HEART COOKIE CUTTERS</v>
      </c>
      <c r="AD274" s="59" t="n">
        <f aca="false">IF($A274="","",H274*SQRT(D274))</f>
        <v>347.841082323575</v>
      </c>
      <c r="AE274" s="53" t="n">
        <f aca="false">IF($A274="","",AD274*C274)</f>
        <v>260.880811742681</v>
      </c>
      <c r="AF274" s="53" t="n">
        <f aca="false">IF($A274="","",ROUND(J274,2))</f>
        <v>4655.25</v>
      </c>
    </row>
    <row r="275" customFormat="false" ht="15" hidden="false" customHeight="false" outlineLevel="0" collapsed="false">
      <c r="A275" s="44" t="str">
        <f aca="false">IF(Weekly_Demand!A275="","",Weekly_Demand!A275)</f>
        <v>23321</v>
      </c>
      <c r="B275" s="44" t="str">
        <f aca="false">IF($A275="","",Weekly_Demand!C275)</f>
        <v>Other</v>
      </c>
      <c r="C275" s="45" t="n">
        <f aca="false">IF($A275="","",Weekly_Demand!D275)</f>
        <v>0.99</v>
      </c>
      <c r="D275" s="46" t="n">
        <f aca="false">IF($A275="","",Weekly_Demand!E275+Assumptions!$B$19)</f>
        <v>4</v>
      </c>
      <c r="E275" s="46" t="n">
        <f aca="false">IF($A275="","",Weekly_Demand!F275)</f>
        <v>1421</v>
      </c>
      <c r="F275" s="46" t="n">
        <f aca="false">IF($A275="","",SUM(Weekly_Demand!G275:BF275))</f>
        <v>4619</v>
      </c>
      <c r="G275" s="51" t="n">
        <f aca="false">IF($A275="","",IFERROR(F275/Assumptions!$B$6,0))</f>
        <v>88.8269230769231</v>
      </c>
      <c r="H275" s="51" t="n">
        <f aca="false">IF($A275="","",STDEV(Weekly_Demand!G275:BF275))</f>
        <v>108.920680107374</v>
      </c>
      <c r="I275" s="52" t="n">
        <f aca="false">IF($A275="","",IFERROR(H275/G275,0))</f>
        <v>1.22621246278056</v>
      </c>
      <c r="J275" s="53" t="n">
        <f aca="false">IF($A275="","",F275*C275)</f>
        <v>4572.81</v>
      </c>
      <c r="K275" s="54" t="n">
        <f aca="false">IF($A275="","",IFERROR(J275/$J$505,0))</f>
        <v>0.00118322540764377</v>
      </c>
      <c r="L275" s="54" t="n">
        <f aca="false">IF($A275="","",IFERROR(SUMIFS($J$5:$J$504,$AB$5:$AB$504,"&lt;="&amp;AB275)/$J$505,0))</f>
        <v>0.809384084502863</v>
      </c>
      <c r="M275" s="55" t="str">
        <f aca="false">IF($A275="","",IF(L275&lt;=Assumptions!$B$7,"A",IF(L275&lt;=Assumptions!$B$8,"B","C")))</f>
        <v>B</v>
      </c>
      <c r="N275" s="55" t="str">
        <f aca="false">IF($A275="","",IF(I275&lt;=Assumptions!$B$9,"X",IF(I275&lt;=Assumptions!$B$10,"Y","Z")))</f>
        <v>Z</v>
      </c>
      <c r="O275" s="56" t="str">
        <f aca="false">IF($A275="","",M275&amp;N275)</f>
        <v>BZ</v>
      </c>
      <c r="P275" s="57" t="n">
        <f aca="false">IF($A275="","",INDEX(Assumptions!$B$35:$B$37,MATCH(M275,Assumptions!$A$35:$A$37,0)))</f>
        <v>0.95</v>
      </c>
      <c r="Q275" s="58" t="n">
        <f aca="false">IF($A275="","",NORMSINV(P275))</f>
        <v>1.64485362695147</v>
      </c>
      <c r="R275" s="48" t="n">
        <f aca="false">IF($A275="","",ROUNDUP(Q275*H275*SQRT(D275),0))</f>
        <v>359</v>
      </c>
      <c r="S275" s="48" t="n">
        <f aca="false">IF($A275="","",ROUNDUP(G275*D275+R275,0))</f>
        <v>715</v>
      </c>
      <c r="T275" s="46" t="n">
        <f aca="false">IF($A275="","",IFERROR(ROUND(SQRT(2*F275*Assumptions!$B$4/(Assumptions!$B$5*C275)),0),0))</f>
        <v>1366</v>
      </c>
      <c r="U275" s="53" t="n">
        <f aca="false">IF($A275="","",R275*C275)</f>
        <v>355.41</v>
      </c>
      <c r="V275" s="53" t="n">
        <f aca="false">IF($A275="","",E275*C275)</f>
        <v>1406.79</v>
      </c>
      <c r="W275" s="59" t="n">
        <f aca="false">IF($A275="","",IFERROR(E275/G275,0))</f>
        <v>15.9974020350725</v>
      </c>
      <c r="X275" s="48" t="n">
        <f aca="false">IF($A275="","",S275+T275)</f>
        <v>2081</v>
      </c>
      <c r="Y275" s="48" t="n">
        <f aca="false">IF($A275="","",MAX(0,E275-X275))</f>
        <v>0</v>
      </c>
      <c r="Z275" s="53" t="n">
        <f aca="false">IF($A275="","",Y275*C275)</f>
        <v>0</v>
      </c>
      <c r="AA275" s="56" t="str">
        <f aca="false">IF($A275="","",IF(E275&lt;=R275,"Below Safety Stock",IF(E275&lt;=S275,"Reorder Now",IF(E275&gt;X275,"Excess","Healthy"))))</f>
        <v>Healthy</v>
      </c>
      <c r="AB275" s="48" t="n">
        <f aca="false">IF($A275="","",RANK(AF275,$AF$5:$AF$504,0)+COUNTIF($AF$5:AF275,AF275)-1)</f>
        <v>298</v>
      </c>
      <c r="AC275" s="44" t="str">
        <f aca="false">IF($A275="","",Weekly_Demand!B275)</f>
        <v>SMALL WHITE HEART OF WICKER</v>
      </c>
      <c r="AD275" s="59" t="n">
        <f aca="false">IF($A275="","",H275*SQRT(D275))</f>
        <v>217.841360214747</v>
      </c>
      <c r="AE275" s="53" t="n">
        <f aca="false">IF($A275="","",AD275*C275)</f>
        <v>215.6629466126</v>
      </c>
      <c r="AF275" s="53" t="n">
        <f aca="false">IF($A275="","",ROUND(J275,2))</f>
        <v>4572.81</v>
      </c>
    </row>
    <row r="276" customFormat="false" ht="15" hidden="false" customHeight="false" outlineLevel="0" collapsed="false">
      <c r="A276" s="44" t="str">
        <f aca="false">IF(Weekly_Demand!A276="","",Weekly_Demand!A276)</f>
        <v>23082</v>
      </c>
      <c r="B276" s="44" t="str">
        <f aca="false">IF($A276="","",Weekly_Demand!C276)</f>
        <v>Other</v>
      </c>
      <c r="C276" s="45" t="n">
        <f aca="false">IF($A276="","",Weekly_Demand!D276)</f>
        <v>2.25</v>
      </c>
      <c r="D276" s="46" t="n">
        <f aca="false">IF($A276="","",Weekly_Demand!E276+Assumptions!$B$19)</f>
        <v>6</v>
      </c>
      <c r="E276" s="46" t="n">
        <f aca="false">IF($A276="","",Weekly_Demand!F276)</f>
        <v>1467</v>
      </c>
      <c r="F276" s="46" t="n">
        <f aca="false">IF($A276="","",SUM(Weekly_Demand!G276:BF276))</f>
        <v>2244</v>
      </c>
      <c r="G276" s="51" t="n">
        <f aca="false">IF($A276="","",IFERROR(F276/Assumptions!$B$6,0))</f>
        <v>43.1538461538462</v>
      </c>
      <c r="H276" s="51" t="n">
        <f aca="false">IF($A276="","",STDEV(Weekly_Demand!G276:BF276))</f>
        <v>52.5664414739173</v>
      </c>
      <c r="I276" s="52" t="n">
        <f aca="false">IF($A276="","",IFERROR(H276/G276,0))</f>
        <v>1.21811718210503</v>
      </c>
      <c r="J276" s="53" t="n">
        <f aca="false">IF($A276="","",F276*C276)</f>
        <v>5049</v>
      </c>
      <c r="K276" s="54" t="n">
        <f aca="false">IF($A276="","",IFERROR(J276/$J$505,0))</f>
        <v>0.00130644069690046</v>
      </c>
      <c r="L276" s="54" t="n">
        <f aca="false">IF($A276="","",IFERROR(SUMIFS($J$5:$J$504,$AB$5:$AB$504,"&lt;="&amp;AB276)/$J$505,0))</f>
        <v>0.762138998667125</v>
      </c>
      <c r="M276" s="55" t="str">
        <f aca="false">IF($A276="","",IF(L276&lt;=Assumptions!$B$7,"A",IF(L276&lt;=Assumptions!$B$8,"B","C")))</f>
        <v>A</v>
      </c>
      <c r="N276" s="55" t="str">
        <f aca="false">IF($A276="","",IF(I276&lt;=Assumptions!$B$9,"X",IF(I276&lt;=Assumptions!$B$10,"Y","Z")))</f>
        <v>Z</v>
      </c>
      <c r="O276" s="56" t="str">
        <f aca="false">IF($A276="","",M276&amp;N276)</f>
        <v>AZ</v>
      </c>
      <c r="P276" s="57" t="n">
        <f aca="false">IF($A276="","",INDEX(Assumptions!$B$35:$B$37,MATCH(M276,Assumptions!$A$35:$A$37,0)))</f>
        <v>0.98</v>
      </c>
      <c r="Q276" s="58" t="n">
        <f aca="false">IF($A276="","",NORMSINV(P276))</f>
        <v>2.05374891063182</v>
      </c>
      <c r="R276" s="48" t="n">
        <f aca="false">IF($A276="","",ROUNDUP(Q276*H276*SQRT(D276),0))</f>
        <v>265</v>
      </c>
      <c r="S276" s="48" t="n">
        <f aca="false">IF($A276="","",ROUNDUP(G276*D276+R276,0))</f>
        <v>524</v>
      </c>
      <c r="T276" s="46" t="n">
        <f aca="false">IF($A276="","",IFERROR(ROUND(SQRT(2*F276*Assumptions!$B$4/(Assumptions!$B$5*C276)),0),0))</f>
        <v>632</v>
      </c>
      <c r="U276" s="53" t="n">
        <f aca="false">IF($A276="","",R276*C276)</f>
        <v>596.25</v>
      </c>
      <c r="V276" s="53" t="n">
        <f aca="false">IF($A276="","",E276*C276)</f>
        <v>3300.75</v>
      </c>
      <c r="W276" s="59" t="n">
        <f aca="false">IF($A276="","",IFERROR(E276/G276,0))</f>
        <v>33.9946524064171</v>
      </c>
      <c r="X276" s="48" t="n">
        <f aca="false">IF($A276="","",S276+T276)</f>
        <v>1156</v>
      </c>
      <c r="Y276" s="48" t="n">
        <f aca="false">IF($A276="","",MAX(0,E276-X276))</f>
        <v>311</v>
      </c>
      <c r="Z276" s="53" t="n">
        <f aca="false">IF($A276="","",Y276*C276)</f>
        <v>699.75</v>
      </c>
      <c r="AA276" s="56" t="str">
        <f aca="false">IF($A276="","",IF(E276&lt;=R276,"Below Safety Stock",IF(E276&lt;=S276,"Reorder Now",IF(E276&gt;X276,"Excess","Healthy"))))</f>
        <v>Excess</v>
      </c>
      <c r="AB276" s="48" t="n">
        <f aca="false">IF($A276="","",RANK(AF276,$AF$5:$AF$504,0)+COUNTIF($AF$5:AF276,AF276)-1)</f>
        <v>260</v>
      </c>
      <c r="AC276" s="44" t="str">
        <f aca="false">IF($A276="","",Weekly_Demand!B276)</f>
        <v>SET 6 PAPER TABLE LANTERN HEARTS</v>
      </c>
      <c r="AD276" s="59" t="n">
        <f aca="false">IF($A276="","",H276*SQRT(D276))</f>
        <v>128.760959204973</v>
      </c>
      <c r="AE276" s="53" t="n">
        <f aca="false">IF($A276="","",AD276*C276)</f>
        <v>289.712158211188</v>
      </c>
      <c r="AF276" s="53" t="n">
        <f aca="false">IF($A276="","",ROUND(J276,2))</f>
        <v>5049</v>
      </c>
    </row>
    <row r="277" customFormat="false" ht="15" hidden="false" customHeight="false" outlineLevel="0" collapsed="false">
      <c r="A277" s="44" t="str">
        <f aca="false">IF(Weekly_Demand!A277="","",Weekly_Demand!A277)</f>
        <v>21213</v>
      </c>
      <c r="B277" s="44" t="str">
        <f aca="false">IF($A277="","",Weekly_Demand!C277)</f>
        <v>Kitchen</v>
      </c>
      <c r="C277" s="45" t="n">
        <f aca="false">IF($A277="","",Weekly_Demand!D277)</f>
        <v>0.33</v>
      </c>
      <c r="D277" s="46" t="n">
        <f aca="false">IF($A277="","",Weekly_Demand!E277+Assumptions!$B$19)</f>
        <v>4</v>
      </c>
      <c r="E277" s="46" t="n">
        <f aca="false">IF($A277="","",Weekly_Demand!F277)</f>
        <v>2585</v>
      </c>
      <c r="F277" s="46" t="n">
        <f aca="false">IF($A277="","",SUM(Weekly_Demand!G277:BF277))</f>
        <v>14937</v>
      </c>
      <c r="G277" s="51" t="n">
        <f aca="false">IF($A277="","",IFERROR(F277/Assumptions!$B$6,0))</f>
        <v>287.25</v>
      </c>
      <c r="H277" s="51" t="n">
        <f aca="false">IF($A277="","",STDEV(Weekly_Demand!G277:BF277))</f>
        <v>220.065219833558</v>
      </c>
      <c r="I277" s="52" t="n">
        <f aca="false">IF($A277="","",IFERROR(H277/G277,0))</f>
        <v>0.766110425878356</v>
      </c>
      <c r="J277" s="53" t="n">
        <f aca="false">IF($A277="","",F277*C277)</f>
        <v>4929.21</v>
      </c>
      <c r="K277" s="54" t="n">
        <f aca="false">IF($A277="","",IFERROR(J277/$J$505,0))</f>
        <v>0.00127544475095439</v>
      </c>
      <c r="L277" s="54" t="n">
        <f aca="false">IF($A277="","",IFERROR(SUMIFS($J$5:$J$504,$AB$5:$AB$504,"&lt;="&amp;AB277)/$J$505,0))</f>
        <v>0.777588062785407</v>
      </c>
      <c r="M277" s="55" t="str">
        <f aca="false">IF($A277="","",IF(L277&lt;=Assumptions!$B$7,"A",IF(L277&lt;=Assumptions!$B$8,"B","C")))</f>
        <v>A</v>
      </c>
      <c r="N277" s="55" t="str">
        <f aca="false">IF($A277="","",IF(I277&lt;=Assumptions!$B$9,"X",IF(I277&lt;=Assumptions!$B$10,"Y","Z")))</f>
        <v>Y</v>
      </c>
      <c r="O277" s="56" t="str">
        <f aca="false">IF($A277="","",M277&amp;N277)</f>
        <v>AY</v>
      </c>
      <c r="P277" s="57" t="n">
        <f aca="false">IF($A277="","",INDEX(Assumptions!$B$35:$B$37,MATCH(M277,Assumptions!$A$35:$A$37,0)))</f>
        <v>0.98</v>
      </c>
      <c r="Q277" s="58" t="n">
        <f aca="false">IF($A277="","",NORMSINV(P277))</f>
        <v>2.05374891063182</v>
      </c>
      <c r="R277" s="48" t="n">
        <f aca="false">IF($A277="","",ROUNDUP(Q277*H277*SQRT(D277),0))</f>
        <v>904</v>
      </c>
      <c r="S277" s="48" t="n">
        <f aca="false">IF($A277="","",ROUNDUP(G277*D277+R277,0))</f>
        <v>2053</v>
      </c>
      <c r="T277" s="46" t="n">
        <f aca="false">IF($A277="","",IFERROR(ROUND(SQRT(2*F277*Assumptions!$B$4/(Assumptions!$B$5*C277)),0),0))</f>
        <v>4255</v>
      </c>
      <c r="U277" s="53" t="n">
        <f aca="false">IF($A277="","",R277*C277)</f>
        <v>298.32</v>
      </c>
      <c r="V277" s="53" t="n">
        <f aca="false">IF($A277="","",E277*C277)</f>
        <v>853.05</v>
      </c>
      <c r="W277" s="59" t="n">
        <f aca="false">IF($A277="","",IFERROR(E277/G277,0))</f>
        <v>8.99912967798085</v>
      </c>
      <c r="X277" s="48" t="n">
        <f aca="false">IF($A277="","",S277+T277)</f>
        <v>6308</v>
      </c>
      <c r="Y277" s="48" t="n">
        <f aca="false">IF($A277="","",MAX(0,E277-X277))</f>
        <v>0</v>
      </c>
      <c r="Z277" s="53" t="n">
        <f aca="false">IF($A277="","",Y277*C277)</f>
        <v>0</v>
      </c>
      <c r="AA277" s="56" t="str">
        <f aca="false">IF($A277="","",IF(E277&lt;=R277,"Below Safety Stock",IF(E277&lt;=S277,"Reorder Now",IF(E277&gt;X277,"Excess","Healthy"))))</f>
        <v>Healthy</v>
      </c>
      <c r="AB277" s="48" t="n">
        <f aca="false">IF($A277="","",RANK(AF277,$AF$5:$AF$504,0)+COUNTIF($AF$5:AF277,AF277)-1)</f>
        <v>272</v>
      </c>
      <c r="AC277" s="44" t="str">
        <f aca="false">IF($A277="","",Weekly_Demand!B277)</f>
        <v>PACK OF 72 SKULL CAKE CASES</v>
      </c>
      <c r="AD277" s="59" t="n">
        <f aca="false">IF($A277="","",H277*SQRT(D277))</f>
        <v>440.130439667116</v>
      </c>
      <c r="AE277" s="53" t="n">
        <f aca="false">IF($A277="","",AD277*C277)</f>
        <v>145.243045090148</v>
      </c>
      <c r="AF277" s="53" t="n">
        <f aca="false">IF($A277="","",ROUND(J277,2))</f>
        <v>4929.21</v>
      </c>
    </row>
    <row r="278" customFormat="false" ht="15" hidden="false" customHeight="false" outlineLevel="0" collapsed="false">
      <c r="A278" s="44" t="str">
        <f aca="false">IF(Weekly_Demand!A278="","",Weekly_Demand!A278)</f>
        <v>23256</v>
      </c>
      <c r="B278" s="44" t="str">
        <f aca="false">IF($A278="","",Weekly_Demand!C278)</f>
        <v>Other</v>
      </c>
      <c r="C278" s="45" t="n">
        <f aca="false">IF($A278="","",Weekly_Demand!D278)</f>
        <v>2.49</v>
      </c>
      <c r="D278" s="46" t="n">
        <f aca="false">IF($A278="","",Weekly_Demand!E278+Assumptions!$B$19)</f>
        <v>2</v>
      </c>
      <c r="E278" s="46" t="n">
        <f aca="false">IF($A278="","",Weekly_Demand!F278)</f>
        <v>424</v>
      </c>
      <c r="F278" s="46" t="n">
        <f aca="false">IF($A278="","",SUM(Weekly_Demand!G278:BF278))</f>
        <v>2003</v>
      </c>
      <c r="G278" s="51" t="n">
        <f aca="false">IF($A278="","",IFERROR(F278/Assumptions!$B$6,0))</f>
        <v>38.5192307692308</v>
      </c>
      <c r="H278" s="51" t="n">
        <f aca="false">IF($A278="","",STDEV(Weekly_Demand!G278:BF278))</f>
        <v>38.8332232858571</v>
      </c>
      <c r="I278" s="52" t="n">
        <f aca="false">IF($A278="","",IFERROR(H278/G278,0))</f>
        <v>1.00815157806519</v>
      </c>
      <c r="J278" s="53" t="n">
        <f aca="false">IF($A278="","",F278*C278)</f>
        <v>4987.47</v>
      </c>
      <c r="K278" s="54" t="n">
        <f aca="false">IF($A278="","",IFERROR(J278/$J$505,0))</f>
        <v>0.0012905196638087</v>
      </c>
      <c r="L278" s="54" t="n">
        <f aca="false">IF($A278="","",IFERROR(SUMIFS($J$5:$J$504,$AB$5:$AB$504,"&lt;="&amp;AB278)/$J$505,0))</f>
        <v>0.767324003299509</v>
      </c>
      <c r="M278" s="55" t="str">
        <f aca="false">IF($A278="","",IF(L278&lt;=Assumptions!$B$7,"A",IF(L278&lt;=Assumptions!$B$8,"B","C")))</f>
        <v>A</v>
      </c>
      <c r="N278" s="55" t="str">
        <f aca="false">IF($A278="","",IF(I278&lt;=Assumptions!$B$9,"X",IF(I278&lt;=Assumptions!$B$10,"Y","Z")))</f>
        <v>Z</v>
      </c>
      <c r="O278" s="56" t="str">
        <f aca="false">IF($A278="","",M278&amp;N278)</f>
        <v>AZ</v>
      </c>
      <c r="P278" s="57" t="n">
        <f aca="false">IF($A278="","",INDEX(Assumptions!$B$35:$B$37,MATCH(M278,Assumptions!$A$35:$A$37,0)))</f>
        <v>0.98</v>
      </c>
      <c r="Q278" s="58" t="n">
        <f aca="false">IF($A278="","",NORMSINV(P278))</f>
        <v>2.05374891063182</v>
      </c>
      <c r="R278" s="48" t="n">
        <f aca="false">IF($A278="","",ROUNDUP(Q278*H278*SQRT(D278),0))</f>
        <v>113</v>
      </c>
      <c r="S278" s="48" t="n">
        <f aca="false">IF($A278="","",ROUNDUP(G278*D278+R278,0))</f>
        <v>191</v>
      </c>
      <c r="T278" s="46" t="n">
        <f aca="false">IF($A278="","",IFERROR(ROUND(SQRT(2*F278*Assumptions!$B$4/(Assumptions!$B$5*C278)),0),0))</f>
        <v>567</v>
      </c>
      <c r="U278" s="53" t="n">
        <f aca="false">IF($A278="","",R278*C278)</f>
        <v>281.37</v>
      </c>
      <c r="V278" s="53" t="n">
        <f aca="false">IF($A278="","",E278*C278)</f>
        <v>1055.76</v>
      </c>
      <c r="W278" s="59" t="n">
        <f aca="false">IF($A278="","",IFERROR(E278/G278,0))</f>
        <v>11.0074887668497</v>
      </c>
      <c r="X278" s="48" t="n">
        <f aca="false">IF($A278="","",S278+T278)</f>
        <v>758</v>
      </c>
      <c r="Y278" s="48" t="n">
        <f aca="false">IF($A278="","",MAX(0,E278-X278))</f>
        <v>0</v>
      </c>
      <c r="Z278" s="53" t="n">
        <f aca="false">IF($A278="","",Y278*C278)</f>
        <v>0</v>
      </c>
      <c r="AA278" s="56" t="str">
        <f aca="false">IF($A278="","",IF(E278&lt;=R278,"Below Safety Stock",IF(E278&lt;=S278,"Reorder Now",IF(E278&gt;X278,"Excess","Healthy"))))</f>
        <v>Healthy</v>
      </c>
      <c r="AB278" s="48" t="n">
        <f aca="false">IF($A278="","",RANK(AF278,$AF$5:$AF$504,0)+COUNTIF($AF$5:AF278,AF278)-1)</f>
        <v>264</v>
      </c>
      <c r="AC278" s="44" t="str">
        <f aca="false">IF($A278="","",Weekly_Demand!B278)</f>
        <v>CHILDRENS CUTLERY SPACEBOY</v>
      </c>
      <c r="AD278" s="59" t="n">
        <f aca="false">IF($A278="","",H278*SQRT(D278))</f>
        <v>54.9184710415217</v>
      </c>
      <c r="AE278" s="53" t="n">
        <f aca="false">IF($A278="","",AD278*C278)</f>
        <v>136.746992893389</v>
      </c>
      <c r="AF278" s="53" t="n">
        <f aca="false">IF($A278="","",ROUND(J278,2))</f>
        <v>4987.47</v>
      </c>
    </row>
    <row r="279" customFormat="false" ht="15" hidden="false" customHeight="false" outlineLevel="0" collapsed="false">
      <c r="A279" s="44" t="str">
        <f aca="false">IF(Weekly_Demand!A279="","",Weekly_Demand!A279)</f>
        <v>23534</v>
      </c>
      <c r="B279" s="44" t="str">
        <f aca="false">IF($A279="","",Weekly_Demand!C279)</f>
        <v>Other</v>
      </c>
      <c r="C279" s="45" t="n">
        <f aca="false">IF($A279="","",Weekly_Demand!D279)</f>
        <v>3.57</v>
      </c>
      <c r="D279" s="46" t="n">
        <f aca="false">IF($A279="","",Weekly_Demand!E279+Assumptions!$B$19)</f>
        <v>6</v>
      </c>
      <c r="E279" s="46" t="n">
        <f aca="false">IF($A279="","",Weekly_Demand!F279)</f>
        <v>52</v>
      </c>
      <c r="F279" s="46" t="n">
        <f aca="false">IF($A279="","",SUM(Weekly_Demand!G279:BF279))</f>
        <v>1348</v>
      </c>
      <c r="G279" s="51" t="n">
        <f aca="false">IF($A279="","",IFERROR(F279/Assumptions!$B$6,0))</f>
        <v>25.9230769230769</v>
      </c>
      <c r="H279" s="51" t="n">
        <f aca="false">IF($A279="","",STDEV(Weekly_Demand!G279:BF279))</f>
        <v>77.8187552759606</v>
      </c>
      <c r="I279" s="52" t="n">
        <f aca="false">IF($A279="","",IFERROR(H279/G279,0))</f>
        <v>3.00191044091243</v>
      </c>
      <c r="J279" s="53" t="n">
        <f aca="false">IF($A279="","",F279*C279)</f>
        <v>4812.36</v>
      </c>
      <c r="K279" s="54" t="n">
        <f aca="false">IF($A279="","",IFERROR(J279/$J$505,0))</f>
        <v>0.00124520953696492</v>
      </c>
      <c r="L279" s="54" t="n">
        <f aca="false">IF($A279="","",IFERROR(SUMIFS($J$5:$J$504,$AB$5:$AB$504,"&lt;="&amp;AB279)/$J$505,0))</f>
        <v>0.783895232442061</v>
      </c>
      <c r="M279" s="55" t="str">
        <f aca="false">IF($A279="","",IF(L279&lt;=Assumptions!$B$7,"A",IF(L279&lt;=Assumptions!$B$8,"B","C")))</f>
        <v>A</v>
      </c>
      <c r="N279" s="55" t="str">
        <f aca="false">IF($A279="","",IF(I279&lt;=Assumptions!$B$9,"X",IF(I279&lt;=Assumptions!$B$10,"Y","Z")))</f>
        <v>Z</v>
      </c>
      <c r="O279" s="56" t="str">
        <f aca="false">IF($A279="","",M279&amp;N279)</f>
        <v>AZ</v>
      </c>
      <c r="P279" s="57" t="n">
        <f aca="false">IF($A279="","",INDEX(Assumptions!$B$35:$B$37,MATCH(M279,Assumptions!$A$35:$A$37,0)))</f>
        <v>0.98</v>
      </c>
      <c r="Q279" s="58" t="n">
        <f aca="false">IF($A279="","",NORMSINV(P279))</f>
        <v>2.05374891063182</v>
      </c>
      <c r="R279" s="48" t="n">
        <f aca="false">IF($A279="","",ROUNDUP(Q279*H279*SQRT(D279),0))</f>
        <v>392</v>
      </c>
      <c r="S279" s="48" t="n">
        <f aca="false">IF($A279="","",ROUNDUP(G279*D279+R279,0))</f>
        <v>548</v>
      </c>
      <c r="T279" s="46" t="n">
        <f aca="false">IF($A279="","",IFERROR(ROUND(SQRT(2*F279*Assumptions!$B$4/(Assumptions!$B$5*C279)),0),0))</f>
        <v>389</v>
      </c>
      <c r="U279" s="53" t="n">
        <f aca="false">IF($A279="","",R279*C279)</f>
        <v>1399.44</v>
      </c>
      <c r="V279" s="53" t="n">
        <f aca="false">IF($A279="","",E279*C279)</f>
        <v>185.64</v>
      </c>
      <c r="W279" s="59" t="n">
        <f aca="false">IF($A279="","",IFERROR(E279/G279,0))</f>
        <v>2.00593471810089</v>
      </c>
      <c r="X279" s="48" t="n">
        <f aca="false">IF($A279="","",S279+T279)</f>
        <v>937</v>
      </c>
      <c r="Y279" s="48" t="n">
        <f aca="false">IF($A279="","",MAX(0,E279-X279))</f>
        <v>0</v>
      </c>
      <c r="Z279" s="53" t="n">
        <f aca="false">IF($A279="","",Y279*C279)</f>
        <v>0</v>
      </c>
      <c r="AA279" s="56" t="str">
        <f aca="false">IF($A279="","",IF(E279&lt;=R279,"Below Safety Stock",IF(E279&lt;=S279,"Reorder Now",IF(E279&gt;X279,"Excess","Healthy"))))</f>
        <v>Below Safety Stock</v>
      </c>
      <c r="AB279" s="48" t="n">
        <f aca="false">IF($A279="","",RANK(AF279,$AF$5:$AF$504,0)+COUNTIF($AF$5:AF279,AF279)-1)</f>
        <v>277</v>
      </c>
      <c r="AC279" s="44" t="str">
        <f aca="false">IF($A279="","",Weekly_Demand!B279)</f>
        <v>WALL ART STOP FOR TEA</v>
      </c>
      <c r="AD279" s="59" t="n">
        <f aca="false">IF($A279="","",H279*SQRT(D279))</f>
        <v>190.61624284462</v>
      </c>
      <c r="AE279" s="53" t="n">
        <f aca="false">IF($A279="","",AD279*C279)</f>
        <v>680.499986955293</v>
      </c>
      <c r="AF279" s="53" t="n">
        <f aca="false">IF($A279="","",ROUND(J279,2))</f>
        <v>4812.36</v>
      </c>
    </row>
    <row r="280" customFormat="false" ht="15" hidden="false" customHeight="false" outlineLevel="0" collapsed="false">
      <c r="A280" s="44" t="str">
        <f aca="false">IF(Weekly_Demand!A280="","",Weekly_Demand!A280)</f>
        <v>21210</v>
      </c>
      <c r="B280" s="44" t="str">
        <f aca="false">IF($A280="","",Weekly_Demand!C280)</f>
        <v>Other</v>
      </c>
      <c r="C280" s="45" t="n">
        <f aca="false">IF($A280="","",Weekly_Demand!D280)</f>
        <v>0.87</v>
      </c>
      <c r="D280" s="46" t="n">
        <f aca="false">IF($A280="","",Weekly_Demand!E280+Assumptions!$B$19)</f>
        <v>6</v>
      </c>
      <c r="E280" s="46" t="n">
        <f aca="false">IF($A280="","",Weekly_Demand!F280)</f>
        <v>982</v>
      </c>
      <c r="F280" s="46" t="n">
        <f aca="false">IF($A280="","",SUM(Weekly_Demand!G280:BF280))</f>
        <v>5672</v>
      </c>
      <c r="G280" s="51" t="n">
        <f aca="false">IF($A280="","",IFERROR(F280/Assumptions!$B$6,0))</f>
        <v>109.076923076923</v>
      </c>
      <c r="H280" s="51" t="n">
        <f aca="false">IF($A280="","",STDEV(Weekly_Demand!G280:BF280))</f>
        <v>96.4561967339897</v>
      </c>
      <c r="I280" s="52" t="n">
        <f aca="false">IF($A280="","",IFERROR(H280/G280,0))</f>
        <v>0.884295174571133</v>
      </c>
      <c r="J280" s="53" t="n">
        <f aca="false">IF($A280="","",F280*C280)</f>
        <v>4934.64</v>
      </c>
      <c r="K280" s="54" t="n">
        <f aca="false">IF($A280="","",IFERROR(J280/$J$505,0))</f>
        <v>0.00127684977630281</v>
      </c>
      <c r="L280" s="54" t="n">
        <f aca="false">IF($A280="","",IFERROR(SUMIFS($J$5:$J$504,$AB$5:$AB$504,"&lt;="&amp;AB280)/$J$505,0))</f>
        <v>0.776312618034452</v>
      </c>
      <c r="M280" s="55" t="str">
        <f aca="false">IF($A280="","",IF(L280&lt;=Assumptions!$B$7,"A",IF(L280&lt;=Assumptions!$B$8,"B","C")))</f>
        <v>A</v>
      </c>
      <c r="N280" s="55" t="str">
        <f aca="false">IF($A280="","",IF(I280&lt;=Assumptions!$B$9,"X",IF(I280&lt;=Assumptions!$B$10,"Y","Z")))</f>
        <v>Y</v>
      </c>
      <c r="O280" s="56" t="str">
        <f aca="false">IF($A280="","",M280&amp;N280)</f>
        <v>AY</v>
      </c>
      <c r="P280" s="57" t="n">
        <f aca="false">IF($A280="","",INDEX(Assumptions!$B$35:$B$37,MATCH(M280,Assumptions!$A$35:$A$37,0)))</f>
        <v>0.98</v>
      </c>
      <c r="Q280" s="58" t="n">
        <f aca="false">IF($A280="","",NORMSINV(P280))</f>
        <v>2.05374891063182</v>
      </c>
      <c r="R280" s="48" t="n">
        <f aca="false">IF($A280="","",ROUNDUP(Q280*H280*SQRT(D280),0))</f>
        <v>486</v>
      </c>
      <c r="S280" s="48" t="n">
        <f aca="false">IF($A280="","",ROUNDUP(G280*D280+R280,0))</f>
        <v>1141</v>
      </c>
      <c r="T280" s="46" t="n">
        <f aca="false">IF($A280="","",IFERROR(ROUND(SQRT(2*F280*Assumptions!$B$4/(Assumptions!$B$5*C280)),0),0))</f>
        <v>1615</v>
      </c>
      <c r="U280" s="53" t="n">
        <f aca="false">IF($A280="","",R280*C280)</f>
        <v>422.82</v>
      </c>
      <c r="V280" s="53" t="n">
        <f aca="false">IF($A280="","",E280*C280)</f>
        <v>854.34</v>
      </c>
      <c r="W280" s="59" t="n">
        <f aca="false">IF($A280="","",IFERROR(E280/G280,0))</f>
        <v>9.00282087447109</v>
      </c>
      <c r="X280" s="48" t="n">
        <f aca="false">IF($A280="","",S280+T280)</f>
        <v>2756</v>
      </c>
      <c r="Y280" s="48" t="n">
        <f aca="false">IF($A280="","",MAX(0,E280-X280))</f>
        <v>0</v>
      </c>
      <c r="Z280" s="53" t="n">
        <f aca="false">IF($A280="","",Y280*C280)</f>
        <v>0</v>
      </c>
      <c r="AA280" s="56" t="str">
        <f aca="false">IF($A280="","",IF(E280&lt;=R280,"Below Safety Stock",IF(E280&lt;=S280,"Reorder Now",IF(E280&gt;X280,"Excess","Healthy"))))</f>
        <v>Reorder Now</v>
      </c>
      <c r="AB280" s="48" t="n">
        <f aca="false">IF($A280="","",RANK(AF280,$AF$5:$AF$504,0)+COUNTIF($AF$5:AF280,AF280)-1)</f>
        <v>271</v>
      </c>
      <c r="AC280" s="44" t="str">
        <f aca="false">IF($A280="","",Weekly_Demand!B280)</f>
        <v>SET OF 72 RETROSPOT PAPER  DOILIES</v>
      </c>
      <c r="AD280" s="59" t="n">
        <f aca="false">IF($A280="","",H280*SQRT(D280))</f>
        <v>236.268464527784</v>
      </c>
      <c r="AE280" s="53" t="n">
        <f aca="false">IF($A280="","",AD280*C280)</f>
        <v>205.553564139172</v>
      </c>
      <c r="AF280" s="53" t="n">
        <f aca="false">IF($A280="","",ROUND(J280,2))</f>
        <v>4934.64</v>
      </c>
    </row>
    <row r="281" customFormat="false" ht="15" hidden="false" customHeight="false" outlineLevel="0" collapsed="false">
      <c r="A281" s="44" t="str">
        <f aca="false">IF(Weekly_Demand!A281="","",Weekly_Demand!A281)</f>
        <v>21035</v>
      </c>
      <c r="B281" s="44" t="str">
        <f aca="false">IF($A281="","",Weekly_Demand!C281)</f>
        <v>Other</v>
      </c>
      <c r="C281" s="45" t="n">
        <f aca="false">IF($A281="","",Weekly_Demand!D281)</f>
        <v>1.95</v>
      </c>
      <c r="D281" s="46" t="n">
        <f aca="false">IF($A281="","",Weekly_Demand!E281+Assumptions!$B$19)</f>
        <v>8</v>
      </c>
      <c r="E281" s="46" t="n">
        <f aca="false">IF($A281="","",Weekly_Demand!F281)</f>
        <v>563</v>
      </c>
      <c r="F281" s="46" t="n">
        <f aca="false">IF($A281="","",SUM(Weekly_Demand!G281:BF281))</f>
        <v>2441</v>
      </c>
      <c r="G281" s="51" t="n">
        <f aca="false">IF($A281="","",IFERROR(F281/Assumptions!$B$6,0))</f>
        <v>46.9423076923077</v>
      </c>
      <c r="H281" s="51" t="n">
        <f aca="false">IF($A281="","",STDEV(Weekly_Demand!G281:BF281))</f>
        <v>64.54863296848</v>
      </c>
      <c r="I281" s="52" t="n">
        <f aca="false">IF($A281="","",IFERROR(H281/G281,0))</f>
        <v>1.3750630538144</v>
      </c>
      <c r="J281" s="53" t="n">
        <f aca="false">IF($A281="","",F281*C281)</f>
        <v>4759.95</v>
      </c>
      <c r="K281" s="54" t="n">
        <f aca="false">IF($A281="","",IFERROR(J281/$J$505,0))</f>
        <v>0.00123164832545283</v>
      </c>
      <c r="L281" s="54" t="n">
        <f aca="false">IF($A281="","",IFERROR(SUMIFS($J$5:$J$504,$AB$5:$AB$504,"&lt;="&amp;AB281)/$J$505,0))</f>
        <v>0.791333327960599</v>
      </c>
      <c r="M281" s="55" t="str">
        <f aca="false">IF($A281="","",IF(L281&lt;=Assumptions!$B$7,"A",IF(L281&lt;=Assumptions!$B$8,"B","C")))</f>
        <v>A</v>
      </c>
      <c r="N281" s="55" t="str">
        <f aca="false">IF($A281="","",IF(I281&lt;=Assumptions!$B$9,"X",IF(I281&lt;=Assumptions!$B$10,"Y","Z")))</f>
        <v>Z</v>
      </c>
      <c r="O281" s="56" t="str">
        <f aca="false">IF($A281="","",M281&amp;N281)</f>
        <v>AZ</v>
      </c>
      <c r="P281" s="57" t="n">
        <f aca="false">IF($A281="","",INDEX(Assumptions!$B$35:$B$37,MATCH(M281,Assumptions!$A$35:$A$37,0)))</f>
        <v>0.98</v>
      </c>
      <c r="Q281" s="58" t="n">
        <f aca="false">IF($A281="","",NORMSINV(P281))</f>
        <v>2.05374891063182</v>
      </c>
      <c r="R281" s="48" t="n">
        <f aca="false">IF($A281="","",ROUNDUP(Q281*H281*SQRT(D281),0))</f>
        <v>375</v>
      </c>
      <c r="S281" s="48" t="n">
        <f aca="false">IF($A281="","",ROUNDUP(G281*D281+R281,0))</f>
        <v>751</v>
      </c>
      <c r="T281" s="46" t="n">
        <f aca="false">IF($A281="","",IFERROR(ROUND(SQRT(2*F281*Assumptions!$B$4/(Assumptions!$B$5*C281)),0),0))</f>
        <v>708</v>
      </c>
      <c r="U281" s="53" t="n">
        <f aca="false">IF($A281="","",R281*C281)</f>
        <v>731.25</v>
      </c>
      <c r="V281" s="53" t="n">
        <f aca="false">IF($A281="","",E281*C281)</f>
        <v>1097.85</v>
      </c>
      <c r="W281" s="59" t="n">
        <f aca="false">IF($A281="","",IFERROR(E281/G281,0))</f>
        <v>11.9934453092995</v>
      </c>
      <c r="X281" s="48" t="n">
        <f aca="false">IF($A281="","",S281+T281)</f>
        <v>1459</v>
      </c>
      <c r="Y281" s="48" t="n">
        <f aca="false">IF($A281="","",MAX(0,E281-X281))</f>
        <v>0</v>
      </c>
      <c r="Z281" s="53" t="n">
        <f aca="false">IF($A281="","",Y281*C281)</f>
        <v>0</v>
      </c>
      <c r="AA281" s="56" t="str">
        <f aca="false">IF($A281="","",IF(E281&lt;=R281,"Below Safety Stock",IF(E281&lt;=S281,"Reorder Now",IF(E281&gt;X281,"Excess","Healthy"))))</f>
        <v>Reorder Now</v>
      </c>
      <c r="AB281" s="48" t="n">
        <f aca="false">IF($A281="","",RANK(AF281,$AF$5:$AF$504,0)+COUNTIF($AF$5:AF281,AF281)-1)</f>
        <v>283</v>
      </c>
      <c r="AC281" s="44" t="str">
        <f aca="false">IF($A281="","",Weekly_Demand!B281)</f>
        <v>SET/2 RED RETROSPOT TEA TOWELS</v>
      </c>
      <c r="AD281" s="59" t="n">
        <f aca="false">IF($A281="","",H281*SQRT(D281))</f>
        <v>182.571104353335</v>
      </c>
      <c r="AE281" s="53" t="n">
        <f aca="false">IF($A281="","",AD281*C281)</f>
        <v>356.013653489004</v>
      </c>
      <c r="AF281" s="53" t="n">
        <f aca="false">IF($A281="","",ROUND(J281,2))</f>
        <v>4759.95</v>
      </c>
    </row>
    <row r="282" customFormat="false" ht="15" hidden="false" customHeight="false" outlineLevel="0" collapsed="false">
      <c r="A282" s="44" t="str">
        <f aca="false">IF(Weekly_Demand!A282="","",Weekly_Demand!A282)</f>
        <v>23493</v>
      </c>
      <c r="B282" s="44" t="str">
        <f aca="false">IF($A282="","",Weekly_Demand!C282)</f>
        <v>Other</v>
      </c>
      <c r="C282" s="45" t="n">
        <f aca="false">IF($A282="","",Weekly_Demand!D282)</f>
        <v>1.17</v>
      </c>
      <c r="D282" s="46" t="n">
        <f aca="false">IF($A282="","",Weekly_Demand!E282+Assumptions!$B$19)</f>
        <v>4</v>
      </c>
      <c r="E282" s="46" t="n">
        <f aca="false">IF($A282="","",Weekly_Demand!F282)</f>
        <v>2962</v>
      </c>
      <c r="F282" s="46" t="n">
        <f aca="false">IF($A282="","",SUM(Weekly_Demand!G282:BF282))</f>
        <v>3757</v>
      </c>
      <c r="G282" s="51" t="n">
        <f aca="false">IF($A282="","",IFERROR(F282/Assumptions!$B$6,0))</f>
        <v>72.25</v>
      </c>
      <c r="H282" s="51" t="n">
        <f aca="false">IF($A282="","",STDEV(Weekly_Demand!G282:BF282))</f>
        <v>154.350870345685</v>
      </c>
      <c r="I282" s="52" t="n">
        <f aca="false">IF($A282="","",IFERROR(H282/G282,0))</f>
        <v>2.13634422623786</v>
      </c>
      <c r="J282" s="53" t="n">
        <f aca="false">IF($A282="","",F282*C282)</f>
        <v>4395.69</v>
      </c>
      <c r="K282" s="54" t="n">
        <f aca="false">IF($A282="","",IFERROR(J282/$J$505,0))</f>
        <v>0.00113739518854395</v>
      </c>
      <c r="L282" s="54" t="n">
        <f aca="false">IF($A282="","",IFERROR(SUMIFS($J$5:$J$504,$AB$5:$AB$504,"&lt;="&amp;AB282)/$J$505,0))</f>
        <v>0.824466317461615</v>
      </c>
      <c r="M282" s="55" t="str">
        <f aca="false">IF($A282="","",IF(L282&lt;=Assumptions!$B$7,"A",IF(L282&lt;=Assumptions!$B$8,"B","C")))</f>
        <v>B</v>
      </c>
      <c r="N282" s="55" t="str">
        <f aca="false">IF($A282="","",IF(I282&lt;=Assumptions!$B$9,"X",IF(I282&lt;=Assumptions!$B$10,"Y","Z")))</f>
        <v>Z</v>
      </c>
      <c r="O282" s="56" t="str">
        <f aca="false">IF($A282="","",M282&amp;N282)</f>
        <v>BZ</v>
      </c>
      <c r="P282" s="57" t="n">
        <f aca="false">IF($A282="","",INDEX(Assumptions!$B$35:$B$37,MATCH(M282,Assumptions!$A$35:$A$37,0)))</f>
        <v>0.95</v>
      </c>
      <c r="Q282" s="58" t="n">
        <f aca="false">IF($A282="","",NORMSINV(P282))</f>
        <v>1.64485362695147</v>
      </c>
      <c r="R282" s="48" t="n">
        <f aca="false">IF($A282="","",ROUNDUP(Q282*H282*SQRT(D282),0))</f>
        <v>508</v>
      </c>
      <c r="S282" s="48" t="n">
        <f aca="false">IF($A282="","",ROUNDUP(G282*D282+R282,0))</f>
        <v>797</v>
      </c>
      <c r="T282" s="46" t="n">
        <f aca="false">IF($A282="","",IFERROR(ROUND(SQRT(2*F282*Assumptions!$B$4/(Assumptions!$B$5*C282)),0),0))</f>
        <v>1133</v>
      </c>
      <c r="U282" s="53" t="n">
        <f aca="false">IF($A282="","",R282*C282)</f>
        <v>594.36</v>
      </c>
      <c r="V282" s="53" t="n">
        <f aca="false">IF($A282="","",E282*C282)</f>
        <v>3465.54</v>
      </c>
      <c r="W282" s="59" t="n">
        <f aca="false">IF($A282="","",IFERROR(E282/G282,0))</f>
        <v>40.9965397923875</v>
      </c>
      <c r="X282" s="48" t="n">
        <f aca="false">IF($A282="","",S282+T282)</f>
        <v>1930</v>
      </c>
      <c r="Y282" s="48" t="n">
        <f aca="false">IF($A282="","",MAX(0,E282-X282))</f>
        <v>1032</v>
      </c>
      <c r="Z282" s="53" t="n">
        <f aca="false">IF($A282="","",Y282*C282)</f>
        <v>1207.44</v>
      </c>
      <c r="AA282" s="56" t="str">
        <f aca="false">IF($A282="","",IF(E282&lt;=R282,"Below Safety Stock",IF(E282&lt;=S282,"Reorder Now",IF(E282&gt;X282,"Excess","Healthy"))))</f>
        <v>Excess</v>
      </c>
      <c r="AB282" s="48" t="n">
        <f aca="false">IF($A282="","",RANK(AF282,$AF$5:$AF$504,0)+COUNTIF($AF$5:AF282,AF282)-1)</f>
        <v>311</v>
      </c>
      <c r="AC282" s="44" t="str">
        <f aca="false">IF($A282="","",Weekly_Demand!B282)</f>
        <v>VINTAGE DOILY TRAVEL SEWING KIT</v>
      </c>
      <c r="AD282" s="59" t="n">
        <f aca="false">IF($A282="","",H282*SQRT(D282))</f>
        <v>308.701740691371</v>
      </c>
      <c r="AE282" s="53" t="n">
        <f aca="false">IF($A282="","",AD282*C282)</f>
        <v>361.181036608904</v>
      </c>
      <c r="AF282" s="53" t="n">
        <f aca="false">IF($A282="","",ROUND(J282,2))</f>
        <v>4395.69</v>
      </c>
    </row>
    <row r="283" customFormat="false" ht="15" hidden="false" customHeight="false" outlineLevel="0" collapsed="false">
      <c r="A283" s="44" t="str">
        <f aca="false">IF(Weekly_Demand!A283="","",Weekly_Demand!A283)</f>
        <v>22795</v>
      </c>
      <c r="B283" s="44" t="str">
        <f aca="false">IF($A283="","",Weekly_Demand!C283)</f>
        <v>Other</v>
      </c>
      <c r="C283" s="45" t="n">
        <f aca="false">IF($A283="","",Weekly_Demand!D283)</f>
        <v>4.05</v>
      </c>
      <c r="D283" s="46" t="n">
        <f aca="false">IF($A283="","",Weekly_Demand!E283+Assumptions!$B$19)</f>
        <v>8</v>
      </c>
      <c r="E283" s="46" t="n">
        <f aca="false">IF($A283="","",Weekly_Demand!F283)</f>
        <v>220</v>
      </c>
      <c r="F283" s="46" t="n">
        <f aca="false">IF($A283="","",SUM(Weekly_Demand!G283:BF283))</f>
        <v>1145</v>
      </c>
      <c r="G283" s="51" t="n">
        <f aca="false">IF($A283="","",IFERROR(F283/Assumptions!$B$6,0))</f>
        <v>22.0192307692308</v>
      </c>
      <c r="H283" s="51" t="n">
        <f aca="false">IF($A283="","",STDEV(Weekly_Demand!G283:BF283))</f>
        <v>21.6165245293968</v>
      </c>
      <c r="I283" s="52" t="n">
        <f aca="false">IF($A283="","",IFERROR(H283/G283,0))</f>
        <v>0.98171115766693</v>
      </c>
      <c r="J283" s="53" t="n">
        <f aca="false">IF($A283="","",F283*C283)</f>
        <v>4637.25</v>
      </c>
      <c r="K283" s="54" t="n">
        <f aca="false">IF($A283="","",IFERROR(J283/$J$505,0))</f>
        <v>0.00119989941012114</v>
      </c>
      <c r="L283" s="54" t="n">
        <f aca="false">IF($A283="","",IFERROR(SUMIFS($J$5:$J$504,$AB$5:$AB$504,"&lt;="&amp;AB283)/$J$505,0))</f>
        <v>0.801054915698301</v>
      </c>
      <c r="M283" s="55" t="str">
        <f aca="false">IF($A283="","",IF(L283&lt;=Assumptions!$B$7,"A",IF(L283&lt;=Assumptions!$B$8,"B","C")))</f>
        <v>B</v>
      </c>
      <c r="N283" s="55" t="str">
        <f aca="false">IF($A283="","",IF(I283&lt;=Assumptions!$B$9,"X",IF(I283&lt;=Assumptions!$B$10,"Y","Z")))</f>
        <v>Y</v>
      </c>
      <c r="O283" s="56" t="str">
        <f aca="false">IF($A283="","",M283&amp;N283)</f>
        <v>BY</v>
      </c>
      <c r="P283" s="57" t="n">
        <f aca="false">IF($A283="","",INDEX(Assumptions!$B$35:$B$37,MATCH(M283,Assumptions!$A$35:$A$37,0)))</f>
        <v>0.95</v>
      </c>
      <c r="Q283" s="58" t="n">
        <f aca="false">IF($A283="","",NORMSINV(P283))</f>
        <v>1.64485362695147</v>
      </c>
      <c r="R283" s="48" t="n">
        <f aca="false">IF($A283="","",ROUNDUP(Q283*H283*SQRT(D283),0))</f>
        <v>101</v>
      </c>
      <c r="S283" s="48" t="n">
        <f aca="false">IF($A283="","",ROUNDUP(G283*D283+R283,0))</f>
        <v>278</v>
      </c>
      <c r="T283" s="46" t="n">
        <f aca="false">IF($A283="","",IFERROR(ROUND(SQRT(2*F283*Assumptions!$B$4/(Assumptions!$B$5*C283)),0),0))</f>
        <v>336</v>
      </c>
      <c r="U283" s="53" t="n">
        <f aca="false">IF($A283="","",R283*C283)</f>
        <v>409.05</v>
      </c>
      <c r="V283" s="53" t="n">
        <f aca="false">IF($A283="","",E283*C283)</f>
        <v>891</v>
      </c>
      <c r="W283" s="59" t="n">
        <f aca="false">IF($A283="","",IFERROR(E283/G283,0))</f>
        <v>9.99126637554585</v>
      </c>
      <c r="X283" s="48" t="n">
        <f aca="false">IF($A283="","",S283+T283)</f>
        <v>614</v>
      </c>
      <c r="Y283" s="48" t="n">
        <f aca="false">IF($A283="","",MAX(0,E283-X283))</f>
        <v>0</v>
      </c>
      <c r="Z283" s="53" t="n">
        <f aca="false">IF($A283="","",Y283*C283)</f>
        <v>0</v>
      </c>
      <c r="AA283" s="56" t="str">
        <f aca="false">IF($A283="","",IF(E283&lt;=R283,"Below Safety Stock",IF(E283&lt;=S283,"Reorder Now",IF(E283&gt;X283,"Excess","Healthy"))))</f>
        <v>Reorder Now</v>
      </c>
      <c r="AB283" s="48" t="n">
        <f aca="false">IF($A283="","",RANK(AF283,$AF$5:$AF$504,0)+COUNTIF($AF$5:AF283,AF283)-1)</f>
        <v>291</v>
      </c>
      <c r="AC283" s="44" t="str">
        <f aca="false">IF($A283="","",Weekly_Demand!B283)</f>
        <v>SWEETHEART RECIPE BOOK STAND</v>
      </c>
      <c r="AD283" s="59" t="n">
        <f aca="false">IF($A283="","",H283*SQRT(D283))</f>
        <v>61.1407643216874</v>
      </c>
      <c r="AE283" s="53" t="n">
        <f aca="false">IF($A283="","",AD283*C283)</f>
        <v>247.620095502834</v>
      </c>
      <c r="AF283" s="53" t="n">
        <f aca="false">IF($A283="","",ROUND(J283,2))</f>
        <v>4637.25</v>
      </c>
    </row>
    <row r="284" customFormat="false" ht="15" hidden="false" customHeight="false" outlineLevel="0" collapsed="false">
      <c r="A284" s="44" t="str">
        <f aca="false">IF(Weekly_Demand!A284="","",Weekly_Demand!A284)</f>
        <v>22804</v>
      </c>
      <c r="B284" s="44" t="str">
        <f aca="false">IF($A284="","",Weekly_Demand!C284)</f>
        <v>Other</v>
      </c>
      <c r="C284" s="45" t="n">
        <f aca="false">IF($A284="","",Weekly_Demand!D284)</f>
        <v>1.77</v>
      </c>
      <c r="D284" s="46" t="n">
        <f aca="false">IF($A284="","",Weekly_Demand!E284+Assumptions!$B$19)</f>
        <v>2</v>
      </c>
      <c r="E284" s="46" t="n">
        <f aca="false">IF($A284="","",Weekly_Demand!F284)</f>
        <v>238</v>
      </c>
      <c r="F284" s="46" t="n">
        <f aca="false">IF($A284="","",SUM(Weekly_Demand!G284:BF284))</f>
        <v>3091</v>
      </c>
      <c r="G284" s="51" t="n">
        <f aca="false">IF($A284="","",IFERROR(F284/Assumptions!$B$6,0))</f>
        <v>59.4423076923077</v>
      </c>
      <c r="H284" s="51" t="n">
        <f aca="false">IF($A284="","",STDEV(Weekly_Demand!G284:BF284))</f>
        <v>95.7430002482214</v>
      </c>
      <c r="I284" s="52" t="n">
        <f aca="false">IF($A284="","",IFERROR(H284/G284,0))</f>
        <v>1.61068780747574</v>
      </c>
      <c r="J284" s="53" t="n">
        <f aca="false">IF($A284="","",F284*C284)</f>
        <v>5471.07</v>
      </c>
      <c r="K284" s="54" t="n">
        <f aca="false">IF($A284="","",IFERROR(J284/$J$505,0))</f>
        <v>0.00141565230809887</v>
      </c>
      <c r="L284" s="54" t="n">
        <f aca="false">IF($A284="","",IFERROR(SUMIFS($J$5:$J$504,$AB$5:$AB$504,"&lt;="&amp;AB284)/$J$505,0))</f>
        <v>0.729280990480708</v>
      </c>
      <c r="M284" s="55" t="str">
        <f aca="false">IF($A284="","",IF(L284&lt;=Assumptions!$B$7,"A",IF(L284&lt;=Assumptions!$B$8,"B","C")))</f>
        <v>A</v>
      </c>
      <c r="N284" s="55" t="str">
        <f aca="false">IF($A284="","",IF(I284&lt;=Assumptions!$B$9,"X",IF(I284&lt;=Assumptions!$B$10,"Y","Z")))</f>
        <v>Z</v>
      </c>
      <c r="O284" s="56" t="str">
        <f aca="false">IF($A284="","",M284&amp;N284)</f>
        <v>AZ</v>
      </c>
      <c r="P284" s="57" t="n">
        <f aca="false">IF($A284="","",INDEX(Assumptions!$B$35:$B$37,MATCH(M284,Assumptions!$A$35:$A$37,0)))</f>
        <v>0.98</v>
      </c>
      <c r="Q284" s="58" t="n">
        <f aca="false">IF($A284="","",NORMSINV(P284))</f>
        <v>2.05374891063182</v>
      </c>
      <c r="R284" s="48" t="n">
        <f aca="false">IF($A284="","",ROUNDUP(Q284*H284*SQRT(D284),0))</f>
        <v>279</v>
      </c>
      <c r="S284" s="48" t="n">
        <f aca="false">IF($A284="","",ROUNDUP(G284*D284+R284,0))</f>
        <v>398</v>
      </c>
      <c r="T284" s="46" t="n">
        <f aca="false">IF($A284="","",IFERROR(ROUND(SQRT(2*F284*Assumptions!$B$4/(Assumptions!$B$5*C284)),0),0))</f>
        <v>836</v>
      </c>
      <c r="U284" s="53" t="n">
        <f aca="false">IF($A284="","",R284*C284)</f>
        <v>493.83</v>
      </c>
      <c r="V284" s="53" t="n">
        <f aca="false">IF($A284="","",E284*C284)</f>
        <v>421.26</v>
      </c>
      <c r="W284" s="59" t="n">
        <f aca="false">IF($A284="","",IFERROR(E284/G284,0))</f>
        <v>4.00388223875768</v>
      </c>
      <c r="X284" s="48" t="n">
        <f aca="false">IF($A284="","",S284+T284)</f>
        <v>1234</v>
      </c>
      <c r="Y284" s="48" t="n">
        <f aca="false">IF($A284="","",MAX(0,E284-X284))</f>
        <v>0</v>
      </c>
      <c r="Z284" s="53" t="n">
        <f aca="false">IF($A284="","",Y284*C284)</f>
        <v>0</v>
      </c>
      <c r="AA284" s="56" t="str">
        <f aca="false">IF($A284="","",IF(E284&lt;=R284,"Below Safety Stock",IF(E284&lt;=S284,"Reorder Now",IF(E284&gt;X284,"Excess","Healthy"))))</f>
        <v>Below Safety Stock</v>
      </c>
      <c r="AB284" s="48" t="n">
        <f aca="false">IF($A284="","",RANK(AF284,$AF$5:$AF$504,0)+COUNTIF($AF$5:AF284,AF284)-1)</f>
        <v>236</v>
      </c>
      <c r="AC284" s="44" t="str">
        <f aca="false">IF($A284="","",Weekly_Demand!B284)</f>
        <v>CANDLEHOLDER PINK HANGING HEART</v>
      </c>
      <c r="AD284" s="59" t="n">
        <f aca="false">IF($A284="","",H284*SQRT(D284))</f>
        <v>135.401049453325</v>
      </c>
      <c r="AE284" s="53" t="n">
        <f aca="false">IF($A284="","",AD284*C284)</f>
        <v>239.659857532386</v>
      </c>
      <c r="AF284" s="53" t="n">
        <f aca="false">IF($A284="","",ROUND(J284,2))</f>
        <v>5471.07</v>
      </c>
    </row>
    <row r="285" customFormat="false" ht="15" hidden="false" customHeight="false" outlineLevel="0" collapsed="false">
      <c r="A285" s="44" t="str">
        <f aca="false">IF(Weekly_Demand!A285="","",Weekly_Demand!A285)</f>
        <v>71053</v>
      </c>
      <c r="B285" s="44" t="str">
        <f aca="false">IF($A285="","",Weekly_Demand!C285)</f>
        <v>Other</v>
      </c>
      <c r="C285" s="45" t="n">
        <f aca="false">IF($A285="","",Weekly_Demand!D285)</f>
        <v>2.25</v>
      </c>
      <c r="D285" s="46" t="n">
        <f aca="false">IF($A285="","",Weekly_Demand!E285+Assumptions!$B$19)</f>
        <v>4</v>
      </c>
      <c r="E285" s="46" t="n">
        <f aca="false">IF($A285="","",Weekly_Demand!F285)</f>
        <v>35</v>
      </c>
      <c r="F285" s="46" t="n">
        <f aca="false">IF($A285="","",SUM(Weekly_Demand!G285:BF285))</f>
        <v>1808</v>
      </c>
      <c r="G285" s="51" t="n">
        <f aca="false">IF($A285="","",IFERROR(F285/Assumptions!$B$6,0))</f>
        <v>34.7692307692308</v>
      </c>
      <c r="H285" s="51" t="n">
        <f aca="false">IF($A285="","",STDEV(Weekly_Demand!G285:BF285))</f>
        <v>31.5766204059178</v>
      </c>
      <c r="I285" s="52" t="n">
        <f aca="false">IF($A285="","",IFERROR(H285/G285,0))</f>
        <v>0.908177135568433</v>
      </c>
      <c r="J285" s="53" t="n">
        <f aca="false">IF($A285="","",F285*C285)</f>
        <v>4068</v>
      </c>
      <c r="K285" s="54" t="n">
        <f aca="false">IF($A285="","",IFERROR(J285/$J$505,0))</f>
        <v>0.00105260462566668</v>
      </c>
      <c r="L285" s="54" t="n">
        <f aca="false">IF($A285="","",IFERROR(SUMIFS($J$5:$J$504,$AB$5:$AB$504,"&lt;="&amp;AB285)/$J$505,0))</f>
        <v>0.874854260252578</v>
      </c>
      <c r="M285" s="55" t="str">
        <f aca="false">IF($A285="","",IF(L285&lt;=Assumptions!$B$7,"A",IF(L285&lt;=Assumptions!$B$8,"B","C")))</f>
        <v>B</v>
      </c>
      <c r="N285" s="55" t="str">
        <f aca="false">IF($A285="","",IF(I285&lt;=Assumptions!$B$9,"X",IF(I285&lt;=Assumptions!$B$10,"Y","Z")))</f>
        <v>Y</v>
      </c>
      <c r="O285" s="56" t="str">
        <f aca="false">IF($A285="","",M285&amp;N285)</f>
        <v>BY</v>
      </c>
      <c r="P285" s="57" t="n">
        <f aca="false">IF($A285="","",INDEX(Assumptions!$B$35:$B$37,MATCH(M285,Assumptions!$A$35:$A$37,0)))</f>
        <v>0.95</v>
      </c>
      <c r="Q285" s="58" t="n">
        <f aca="false">IF($A285="","",NORMSINV(P285))</f>
        <v>1.64485362695147</v>
      </c>
      <c r="R285" s="48" t="n">
        <f aca="false">IF($A285="","",ROUNDUP(Q285*H285*SQRT(D285),0))</f>
        <v>104</v>
      </c>
      <c r="S285" s="48" t="n">
        <f aca="false">IF($A285="","",ROUNDUP(G285*D285+R285,0))</f>
        <v>244</v>
      </c>
      <c r="T285" s="46" t="n">
        <f aca="false">IF($A285="","",IFERROR(ROUND(SQRT(2*F285*Assumptions!$B$4/(Assumptions!$B$5*C285)),0),0))</f>
        <v>567</v>
      </c>
      <c r="U285" s="53" t="n">
        <f aca="false">IF($A285="","",R285*C285)</f>
        <v>234</v>
      </c>
      <c r="V285" s="53" t="n">
        <f aca="false">IF($A285="","",E285*C285)</f>
        <v>78.75</v>
      </c>
      <c r="W285" s="59" t="n">
        <f aca="false">IF($A285="","",IFERROR(E285/G285,0))</f>
        <v>1.00663716814159</v>
      </c>
      <c r="X285" s="48" t="n">
        <f aca="false">IF($A285="","",S285+T285)</f>
        <v>811</v>
      </c>
      <c r="Y285" s="48" t="n">
        <f aca="false">IF($A285="","",MAX(0,E285-X285))</f>
        <v>0</v>
      </c>
      <c r="Z285" s="53" t="n">
        <f aca="false">IF($A285="","",Y285*C285)</f>
        <v>0</v>
      </c>
      <c r="AA285" s="56" t="str">
        <f aca="false">IF($A285="","",IF(E285&lt;=R285,"Below Safety Stock",IF(E285&lt;=S285,"Reorder Now",IF(E285&gt;X285,"Excess","Healthy"))))</f>
        <v>Below Safety Stock</v>
      </c>
      <c r="AB285" s="48" t="n">
        <f aca="false">IF($A285="","",RANK(AF285,$AF$5:$AF$504,0)+COUNTIF($AF$5:AF285,AF285)-1)</f>
        <v>357</v>
      </c>
      <c r="AC285" s="44" t="str">
        <f aca="false">IF($A285="","",Weekly_Demand!B285)</f>
        <v>WHITE METAL LANTERN</v>
      </c>
      <c r="AD285" s="59" t="n">
        <f aca="false">IF($A285="","",H285*SQRT(D285))</f>
        <v>63.1532408118357</v>
      </c>
      <c r="AE285" s="53" t="n">
        <f aca="false">IF($A285="","",AD285*C285)</f>
        <v>142.09479182663</v>
      </c>
      <c r="AF285" s="53" t="n">
        <f aca="false">IF($A285="","",ROUND(J285,2))</f>
        <v>4068</v>
      </c>
    </row>
    <row r="286" customFormat="false" ht="15" hidden="false" customHeight="false" outlineLevel="0" collapsed="false">
      <c r="A286" s="44" t="str">
        <f aca="false">IF(Weekly_Demand!A286="","",Weekly_Demand!A286)</f>
        <v>22192</v>
      </c>
      <c r="B286" s="44" t="str">
        <f aca="false">IF($A286="","",Weekly_Demand!C286)</f>
        <v>Other</v>
      </c>
      <c r="C286" s="45" t="n">
        <f aca="false">IF($A286="","",Weekly_Demand!D286)</f>
        <v>5.1</v>
      </c>
      <c r="D286" s="46" t="n">
        <f aca="false">IF($A286="","",Weekly_Demand!E286+Assumptions!$B$19)</f>
        <v>2</v>
      </c>
      <c r="E286" s="46" t="n">
        <f aca="false">IF($A286="","",Weekly_Demand!F286)</f>
        <v>177</v>
      </c>
      <c r="F286" s="46" t="n">
        <f aca="false">IF($A286="","",SUM(Weekly_Demand!G286:BF286))</f>
        <v>919</v>
      </c>
      <c r="G286" s="51" t="n">
        <f aca="false">IF($A286="","",IFERROR(F286/Assumptions!$B$6,0))</f>
        <v>17.6730769230769</v>
      </c>
      <c r="H286" s="51" t="n">
        <f aca="false">IF($A286="","",STDEV(Weekly_Demand!G286:BF286))</f>
        <v>12.2036978546382</v>
      </c>
      <c r="I286" s="52" t="n">
        <f aca="false">IF($A286="","",IFERROR(H286/G286,0))</f>
        <v>0.690524796998025</v>
      </c>
      <c r="J286" s="53" t="n">
        <f aca="false">IF($A286="","",F286*C286)</f>
        <v>4686.9</v>
      </c>
      <c r="K286" s="54" t="n">
        <f aca="false">IF($A286="","",IFERROR(J286/$J$505,0))</f>
        <v>0.00121274646510255</v>
      </c>
      <c r="L286" s="54" t="n">
        <f aca="false">IF($A286="","",IFERROR(SUMIFS($J$5:$J$504,$AB$5:$AB$504,"&lt;="&amp;AB286)/$J$505,0))</f>
        <v>0.7974403521445</v>
      </c>
      <c r="M286" s="55" t="str">
        <f aca="false">IF($A286="","",IF(L286&lt;=Assumptions!$B$7,"A",IF(L286&lt;=Assumptions!$B$8,"B","C")))</f>
        <v>A</v>
      </c>
      <c r="N286" s="55" t="str">
        <f aca="false">IF($A286="","",IF(I286&lt;=Assumptions!$B$9,"X",IF(I286&lt;=Assumptions!$B$10,"Y","Z")))</f>
        <v>Y</v>
      </c>
      <c r="O286" s="56" t="str">
        <f aca="false">IF($A286="","",M286&amp;N286)</f>
        <v>AY</v>
      </c>
      <c r="P286" s="57" t="n">
        <f aca="false">IF($A286="","",INDEX(Assumptions!$B$35:$B$37,MATCH(M286,Assumptions!$A$35:$A$37,0)))</f>
        <v>0.98</v>
      </c>
      <c r="Q286" s="58" t="n">
        <f aca="false">IF($A286="","",NORMSINV(P286))</f>
        <v>2.05374891063182</v>
      </c>
      <c r="R286" s="48" t="n">
        <f aca="false">IF($A286="","",ROUNDUP(Q286*H286*SQRT(D286),0))</f>
        <v>36</v>
      </c>
      <c r="S286" s="48" t="n">
        <f aca="false">IF($A286="","",ROUNDUP(G286*D286+R286,0))</f>
        <v>72</v>
      </c>
      <c r="T286" s="46" t="n">
        <f aca="false">IF($A286="","",IFERROR(ROUND(SQRT(2*F286*Assumptions!$B$4/(Assumptions!$B$5*C286)),0),0))</f>
        <v>268</v>
      </c>
      <c r="U286" s="53" t="n">
        <f aca="false">IF($A286="","",R286*C286)</f>
        <v>183.6</v>
      </c>
      <c r="V286" s="53" t="n">
        <f aca="false">IF($A286="","",E286*C286)</f>
        <v>902.7</v>
      </c>
      <c r="W286" s="59" t="n">
        <f aca="false">IF($A286="","",IFERROR(E286/G286,0))</f>
        <v>10.0152339499456</v>
      </c>
      <c r="X286" s="48" t="n">
        <f aca="false">IF($A286="","",S286+T286)</f>
        <v>340</v>
      </c>
      <c r="Y286" s="48" t="n">
        <f aca="false">IF($A286="","",MAX(0,E286-X286))</f>
        <v>0</v>
      </c>
      <c r="Z286" s="53" t="n">
        <f aca="false">IF($A286="","",Y286*C286)</f>
        <v>0</v>
      </c>
      <c r="AA286" s="56" t="str">
        <f aca="false">IF($A286="","",IF(E286&lt;=R286,"Below Safety Stock",IF(E286&lt;=S286,"Reorder Now",IF(E286&gt;X286,"Excess","Healthy"))))</f>
        <v>Healthy</v>
      </c>
      <c r="AB286" s="48" t="n">
        <f aca="false">IF($A286="","",RANK(AF286,$AF$5:$AF$504,0)+COUNTIF($AF$5:AF286,AF286)-1)</f>
        <v>288</v>
      </c>
      <c r="AC286" s="44" t="str">
        <f aca="false">IF($A286="","",Weekly_Demand!B286)</f>
        <v>BLUE DINER WALL CLOCK</v>
      </c>
      <c r="AD286" s="59" t="n">
        <f aca="false">IF($A286="","",H286*SQRT(D286))</f>
        <v>17.2586350171327</v>
      </c>
      <c r="AE286" s="53" t="n">
        <f aca="false">IF($A286="","",AD286*C286)</f>
        <v>88.019038587377</v>
      </c>
      <c r="AF286" s="53" t="n">
        <f aca="false">IF($A286="","",ROUND(J286,2))</f>
        <v>4686.9</v>
      </c>
    </row>
    <row r="287" customFormat="false" ht="15" hidden="false" customHeight="false" outlineLevel="0" collapsed="false">
      <c r="A287" s="44" t="str">
        <f aca="false">IF(Weekly_Demand!A287="","",Weekly_Demand!A287)</f>
        <v>84380</v>
      </c>
      <c r="B287" s="44" t="str">
        <f aca="false">IF($A287="","",Weekly_Demand!C287)</f>
        <v>Other</v>
      </c>
      <c r="C287" s="45" t="n">
        <f aca="false">IF($A287="","",Weekly_Demand!D287)</f>
        <v>0.75</v>
      </c>
      <c r="D287" s="46" t="n">
        <f aca="false">IF($A287="","",Weekly_Demand!E287+Assumptions!$B$19)</f>
        <v>2</v>
      </c>
      <c r="E287" s="46" t="n">
        <f aca="false">IF($A287="","",Weekly_Demand!F287)</f>
        <v>434</v>
      </c>
      <c r="F287" s="46" t="n">
        <f aca="false">IF($A287="","",SUM(Weekly_Demand!G287:BF287))</f>
        <v>5640</v>
      </c>
      <c r="G287" s="51" t="n">
        <f aca="false">IF($A287="","",IFERROR(F287/Assumptions!$B$6,0))</f>
        <v>108.461538461538</v>
      </c>
      <c r="H287" s="51" t="n">
        <f aca="false">IF($A287="","",STDEV(Weekly_Demand!G287:BF287))</f>
        <v>73.7019598373153</v>
      </c>
      <c r="I287" s="52" t="n">
        <f aca="false">IF($A287="","",IFERROR(H287/G287,0))</f>
        <v>0.679521615521347</v>
      </c>
      <c r="J287" s="53" t="n">
        <f aca="false">IF($A287="","",F287*C287)</f>
        <v>4230</v>
      </c>
      <c r="K287" s="54" t="n">
        <f aca="false">IF($A287="","",IFERROR(J287/$J$505,0))</f>
        <v>0.00109452250898969</v>
      </c>
      <c r="L287" s="54" t="n">
        <f aca="false">IF($A287="","",IFERROR(SUMIFS($J$5:$J$504,$AB$5:$AB$504,"&lt;="&amp;AB287)/$J$505,0))</f>
        <v>0.85118821976819</v>
      </c>
      <c r="M287" s="55" t="str">
        <f aca="false">IF($A287="","",IF(L287&lt;=Assumptions!$B$7,"A",IF(L287&lt;=Assumptions!$B$8,"B","C")))</f>
        <v>B</v>
      </c>
      <c r="N287" s="55" t="str">
        <f aca="false">IF($A287="","",IF(I287&lt;=Assumptions!$B$9,"X",IF(I287&lt;=Assumptions!$B$10,"Y","Z")))</f>
        <v>Y</v>
      </c>
      <c r="O287" s="56" t="str">
        <f aca="false">IF($A287="","",M287&amp;N287)</f>
        <v>BY</v>
      </c>
      <c r="P287" s="57" t="n">
        <f aca="false">IF($A287="","",INDEX(Assumptions!$B$35:$B$37,MATCH(M287,Assumptions!$A$35:$A$37,0)))</f>
        <v>0.95</v>
      </c>
      <c r="Q287" s="58" t="n">
        <f aca="false">IF($A287="","",NORMSINV(P287))</f>
        <v>1.64485362695147</v>
      </c>
      <c r="R287" s="48" t="n">
        <f aca="false">IF($A287="","",ROUNDUP(Q287*H287*SQRT(D287),0))</f>
        <v>172</v>
      </c>
      <c r="S287" s="48" t="n">
        <f aca="false">IF($A287="","",ROUNDUP(G287*D287+R287,0))</f>
        <v>389</v>
      </c>
      <c r="T287" s="46" t="n">
        <f aca="false">IF($A287="","",IFERROR(ROUND(SQRT(2*F287*Assumptions!$B$4/(Assumptions!$B$5*C287)),0),0))</f>
        <v>1734</v>
      </c>
      <c r="U287" s="53" t="n">
        <f aca="false">IF($A287="","",R287*C287)</f>
        <v>129</v>
      </c>
      <c r="V287" s="53" t="n">
        <f aca="false">IF($A287="","",E287*C287)</f>
        <v>325.5</v>
      </c>
      <c r="W287" s="59" t="n">
        <f aca="false">IF($A287="","",IFERROR(E287/G287,0))</f>
        <v>4.00141843971631</v>
      </c>
      <c r="X287" s="48" t="n">
        <f aca="false">IF($A287="","",S287+T287)</f>
        <v>2123</v>
      </c>
      <c r="Y287" s="48" t="n">
        <f aca="false">IF($A287="","",MAX(0,E287-X287))</f>
        <v>0</v>
      </c>
      <c r="Z287" s="53" t="n">
        <f aca="false">IF($A287="","",Y287*C287)</f>
        <v>0</v>
      </c>
      <c r="AA287" s="56" t="str">
        <f aca="false">IF($A287="","",IF(E287&lt;=R287,"Below Safety Stock",IF(E287&lt;=S287,"Reorder Now",IF(E287&gt;X287,"Excess","Healthy"))))</f>
        <v>Healthy</v>
      </c>
      <c r="AB287" s="48" t="n">
        <f aca="false">IF($A287="","",RANK(AF287,$AF$5:$AF$504,0)+COUNTIF($AF$5:AF287,AF287)-1)</f>
        <v>335</v>
      </c>
      <c r="AC287" s="44" t="str">
        <f aca="false">IF($A287="","",Weekly_Demand!B287)</f>
        <v>SET OF 3 BUTTERFLY COOKIE CUTTERS</v>
      </c>
      <c r="AD287" s="59" t="n">
        <f aca="false">IF($A287="","",H287*SQRT(D287))</f>
        <v>104.230311175408</v>
      </c>
      <c r="AE287" s="53" t="n">
        <f aca="false">IF($A287="","",AD287*C287)</f>
        <v>78.1727333815563</v>
      </c>
      <c r="AF287" s="53" t="n">
        <f aca="false">IF($A287="","",ROUND(J287,2))</f>
        <v>4230</v>
      </c>
    </row>
    <row r="288" customFormat="false" ht="15" hidden="false" customHeight="false" outlineLevel="0" collapsed="false">
      <c r="A288" s="44" t="str">
        <f aca="false">IF(Weekly_Demand!A288="","",Weekly_Demand!A288)</f>
        <v>22655</v>
      </c>
      <c r="B288" s="44" t="str">
        <f aca="false">IF($A288="","",Weekly_Demand!C288)</f>
        <v>Other</v>
      </c>
      <c r="C288" s="45" t="n">
        <f aca="false">IF($A288="","",Weekly_Demand!D288)</f>
        <v>75</v>
      </c>
      <c r="D288" s="46" t="n">
        <f aca="false">IF($A288="","",Weekly_Demand!E288+Assumptions!$B$19)</f>
        <v>8</v>
      </c>
      <c r="E288" s="46" t="n">
        <f aca="false">IF($A288="","",Weekly_Demand!F288)</f>
        <v>40</v>
      </c>
      <c r="F288" s="46" t="n">
        <f aca="false">IF($A288="","",SUM(Weekly_Demand!G288:BF288))</f>
        <v>59</v>
      </c>
      <c r="G288" s="51" t="n">
        <f aca="false">IF($A288="","",IFERROR(F288/Assumptions!$B$6,0))</f>
        <v>1.13461538461538</v>
      </c>
      <c r="H288" s="51" t="n">
        <f aca="false">IF($A288="","",STDEV(Weekly_Demand!G288:BF288))</f>
        <v>2.10535122265599</v>
      </c>
      <c r="I288" s="52" t="n">
        <f aca="false">IF($A288="","",IFERROR(H288/G288,0))</f>
        <v>1.85556378945952</v>
      </c>
      <c r="J288" s="53" t="n">
        <f aca="false">IF($A288="","",F288*C288)</f>
        <v>4425</v>
      </c>
      <c r="K288" s="54" t="n">
        <f aca="false">IF($A288="","",IFERROR(J288/$J$505,0))</f>
        <v>0.00114497922039702</v>
      </c>
      <c r="L288" s="54" t="n">
        <f aca="false">IF($A288="","",IFERROR(SUMIFS($J$5:$J$504,$AB$5:$AB$504,"&lt;="&amp;AB288)/$J$505,0))</f>
        <v>0.823328922273071</v>
      </c>
      <c r="M288" s="55" t="str">
        <f aca="false">IF($A288="","",IF(L288&lt;=Assumptions!$B$7,"A",IF(L288&lt;=Assumptions!$B$8,"B","C")))</f>
        <v>B</v>
      </c>
      <c r="N288" s="55" t="str">
        <f aca="false">IF($A288="","",IF(I288&lt;=Assumptions!$B$9,"X",IF(I288&lt;=Assumptions!$B$10,"Y","Z")))</f>
        <v>Z</v>
      </c>
      <c r="O288" s="56" t="str">
        <f aca="false">IF($A288="","",M288&amp;N288)</f>
        <v>BZ</v>
      </c>
      <c r="P288" s="57" t="n">
        <f aca="false">IF($A288="","",INDEX(Assumptions!$B$35:$B$37,MATCH(M288,Assumptions!$A$35:$A$37,0)))</f>
        <v>0.95</v>
      </c>
      <c r="Q288" s="58" t="n">
        <f aca="false">IF($A288="","",NORMSINV(P288))</f>
        <v>1.64485362695147</v>
      </c>
      <c r="R288" s="48" t="n">
        <f aca="false">IF($A288="","",ROUNDUP(Q288*H288*SQRT(D288),0))</f>
        <v>10</v>
      </c>
      <c r="S288" s="48" t="n">
        <f aca="false">IF($A288="","",ROUNDUP(G288*D288+R288,0))</f>
        <v>20</v>
      </c>
      <c r="T288" s="46" t="n">
        <f aca="false">IF($A288="","",IFERROR(ROUND(SQRT(2*F288*Assumptions!$B$4/(Assumptions!$B$5*C288)),0),0))</f>
        <v>18</v>
      </c>
      <c r="U288" s="53" t="n">
        <f aca="false">IF($A288="","",R288*C288)</f>
        <v>750</v>
      </c>
      <c r="V288" s="53" t="n">
        <f aca="false">IF($A288="","",E288*C288)</f>
        <v>3000</v>
      </c>
      <c r="W288" s="59" t="n">
        <f aca="false">IF($A288="","",IFERROR(E288/G288,0))</f>
        <v>35.2542372881356</v>
      </c>
      <c r="X288" s="48" t="n">
        <f aca="false">IF($A288="","",S288+T288)</f>
        <v>38</v>
      </c>
      <c r="Y288" s="48" t="n">
        <f aca="false">IF($A288="","",MAX(0,E288-X288))</f>
        <v>2</v>
      </c>
      <c r="Z288" s="53" t="n">
        <f aca="false">IF($A288="","",Y288*C288)</f>
        <v>150</v>
      </c>
      <c r="AA288" s="56" t="str">
        <f aca="false">IF($A288="","",IF(E288&lt;=R288,"Below Safety Stock",IF(E288&lt;=S288,"Reorder Now",IF(E288&gt;X288,"Excess","Healthy"))))</f>
        <v>Excess</v>
      </c>
      <c r="AB288" s="48" t="n">
        <f aca="false">IF($A288="","",RANK(AF288,$AF$5:$AF$504,0)+COUNTIF($AF$5:AF288,AF288)-1)</f>
        <v>310</v>
      </c>
      <c r="AC288" s="44" t="str">
        <f aca="false">IF($A288="","",Weekly_Demand!B288)</f>
        <v>VINTAGE RED KITCHEN CABINET</v>
      </c>
      <c r="AD288" s="59" t="n">
        <f aca="false">IF($A288="","",H288*SQRT(D288))</f>
        <v>5.95483250527776</v>
      </c>
      <c r="AE288" s="53" t="n">
        <f aca="false">IF($A288="","",AD288*C288)</f>
        <v>446.612437895832</v>
      </c>
      <c r="AF288" s="53" t="n">
        <f aca="false">IF($A288="","",ROUND(J288,2))</f>
        <v>4425</v>
      </c>
    </row>
    <row r="289" customFormat="false" ht="15" hidden="false" customHeight="false" outlineLevel="0" collapsed="false">
      <c r="A289" s="44" t="str">
        <f aca="false">IF(Weekly_Demand!A289="","",Weekly_Demand!A289)</f>
        <v>21770</v>
      </c>
      <c r="B289" s="44" t="str">
        <f aca="false">IF($A289="","",Weekly_Demand!C289)</f>
        <v>Other</v>
      </c>
      <c r="C289" s="45" t="n">
        <f aca="false">IF($A289="","",Weekly_Demand!D289)</f>
        <v>2.97</v>
      </c>
      <c r="D289" s="46" t="n">
        <f aca="false">IF($A289="","",Weekly_Demand!E289+Assumptions!$B$19)</f>
        <v>6</v>
      </c>
      <c r="E289" s="46" t="n">
        <f aca="false">IF($A289="","",Weekly_Demand!F289)</f>
        <v>218</v>
      </c>
      <c r="F289" s="46" t="n">
        <f aca="false">IF($A289="","",SUM(Weekly_Demand!G289:BF289))</f>
        <v>1617</v>
      </c>
      <c r="G289" s="51" t="n">
        <f aca="false">IF($A289="","",IFERROR(F289/Assumptions!$B$6,0))</f>
        <v>31.0961538461538</v>
      </c>
      <c r="H289" s="51" t="n">
        <f aca="false">IF($A289="","",STDEV(Weekly_Demand!G289:BF289))</f>
        <v>61.9079834616634</v>
      </c>
      <c r="I289" s="52" t="n">
        <f aca="false">IF($A289="","",IFERROR(H289/G289,0))</f>
        <v>1.99085661101206</v>
      </c>
      <c r="J289" s="53" t="n">
        <f aca="false">IF($A289="","",F289*C289)</f>
        <v>4802.49</v>
      </c>
      <c r="K289" s="54" t="n">
        <f aca="false">IF($A289="","",IFERROR(J289/$J$505,0))</f>
        <v>0.00124265565111061</v>
      </c>
      <c r="L289" s="54" t="n">
        <f aca="false">IF($A289="","",IFERROR(SUMIFS($J$5:$J$504,$AB$5:$AB$504,"&lt;="&amp;AB289)/$J$505,0))</f>
        <v>0.787625178850994</v>
      </c>
      <c r="M289" s="55" t="str">
        <f aca="false">IF($A289="","",IF(L289&lt;=Assumptions!$B$7,"A",IF(L289&lt;=Assumptions!$B$8,"B","C")))</f>
        <v>A</v>
      </c>
      <c r="N289" s="55" t="str">
        <f aca="false">IF($A289="","",IF(I289&lt;=Assumptions!$B$9,"X",IF(I289&lt;=Assumptions!$B$10,"Y","Z")))</f>
        <v>Z</v>
      </c>
      <c r="O289" s="56" t="str">
        <f aca="false">IF($A289="","",M289&amp;N289)</f>
        <v>AZ</v>
      </c>
      <c r="P289" s="57" t="n">
        <f aca="false">IF($A289="","",INDEX(Assumptions!$B$35:$B$37,MATCH(M289,Assumptions!$A$35:$A$37,0)))</f>
        <v>0.98</v>
      </c>
      <c r="Q289" s="58" t="n">
        <f aca="false">IF($A289="","",NORMSINV(P289))</f>
        <v>2.05374891063182</v>
      </c>
      <c r="R289" s="48" t="n">
        <f aca="false">IF($A289="","",ROUNDUP(Q289*H289*SQRT(D289),0))</f>
        <v>312</v>
      </c>
      <c r="S289" s="48" t="n">
        <f aca="false">IF($A289="","",ROUNDUP(G289*D289+R289,0))</f>
        <v>499</v>
      </c>
      <c r="T289" s="46" t="n">
        <f aca="false">IF($A289="","",IFERROR(ROUND(SQRT(2*F289*Assumptions!$B$4/(Assumptions!$B$5*C289)),0),0))</f>
        <v>467</v>
      </c>
      <c r="U289" s="53" t="n">
        <f aca="false">IF($A289="","",R289*C289)</f>
        <v>926.64</v>
      </c>
      <c r="V289" s="53" t="n">
        <f aca="false">IF($A289="","",E289*C289)</f>
        <v>647.46</v>
      </c>
      <c r="W289" s="59" t="n">
        <f aca="false">IF($A289="","",IFERROR(E289/G289,0))</f>
        <v>7.01051329622758</v>
      </c>
      <c r="X289" s="48" t="n">
        <f aca="false">IF($A289="","",S289+T289)</f>
        <v>966</v>
      </c>
      <c r="Y289" s="48" t="n">
        <f aca="false">IF($A289="","",MAX(0,E289-X289))</f>
        <v>0</v>
      </c>
      <c r="Z289" s="53" t="n">
        <f aca="false">IF($A289="","",Y289*C289)</f>
        <v>0</v>
      </c>
      <c r="AA289" s="56" t="str">
        <f aca="false">IF($A289="","",IF(E289&lt;=R289,"Below Safety Stock",IF(E289&lt;=S289,"Reorder Now",IF(E289&gt;X289,"Excess","Healthy"))))</f>
        <v>Below Safety Stock</v>
      </c>
      <c r="AB289" s="48" t="n">
        <f aca="false">IF($A289="","",RANK(AF289,$AF$5:$AF$504,0)+COUNTIF($AF$5:AF289,AF289)-1)</f>
        <v>280</v>
      </c>
      <c r="AC289" s="44" t="str">
        <f aca="false">IF($A289="","",Weekly_Demand!B289)</f>
        <v>OPEN CLOSED METAL SIGN</v>
      </c>
      <c r="AD289" s="59" t="n">
        <f aca="false">IF($A289="","",H289*SQRT(D289))</f>
        <v>151.642970485735</v>
      </c>
      <c r="AE289" s="53" t="n">
        <f aca="false">IF($A289="","",AD289*C289)</f>
        <v>450.379622342633</v>
      </c>
      <c r="AF289" s="53" t="n">
        <f aca="false">IF($A289="","",ROUND(J289,2))</f>
        <v>4802.49</v>
      </c>
    </row>
    <row r="290" customFormat="false" ht="15" hidden="false" customHeight="false" outlineLevel="0" collapsed="false">
      <c r="A290" s="44" t="str">
        <f aca="false">IF(Weekly_Demand!A290="","",Weekly_Demand!A290)</f>
        <v>84970S</v>
      </c>
      <c r="B290" s="44" t="str">
        <f aca="false">IF($A290="","",Weekly_Demand!C290)</f>
        <v>Lighting</v>
      </c>
      <c r="C290" s="45" t="n">
        <f aca="false">IF($A290="","",Weekly_Demand!D290)</f>
        <v>0.51</v>
      </c>
      <c r="D290" s="46" t="n">
        <f aca="false">IF($A290="","",Weekly_Demand!E290+Assumptions!$B$19)</f>
        <v>6</v>
      </c>
      <c r="E290" s="46" t="n">
        <f aca="false">IF($A290="","",Weekly_Demand!F290)</f>
        <v>1184</v>
      </c>
      <c r="F290" s="46" t="n">
        <f aca="false">IF($A290="","",SUM(Weekly_Demand!G290:BF290))</f>
        <v>8792</v>
      </c>
      <c r="G290" s="51" t="n">
        <f aca="false">IF($A290="","",IFERROR(F290/Assumptions!$B$6,0))</f>
        <v>169.076923076923</v>
      </c>
      <c r="H290" s="51" t="n">
        <f aca="false">IF($A290="","",STDEV(Weekly_Demand!G290:BF290))</f>
        <v>102.821918422066</v>
      </c>
      <c r="I290" s="52" t="n">
        <f aca="false">IF($A290="","",IFERROR(H290/G290,0))</f>
        <v>0.608136915144157</v>
      </c>
      <c r="J290" s="53" t="n">
        <f aca="false">IF($A290="","",F290*C290)</f>
        <v>4483.92</v>
      </c>
      <c r="K290" s="54" t="n">
        <f aca="false">IF($A290="","",IFERROR(J290/$J$505,0))</f>
        <v>0.00116022490981301</v>
      </c>
      <c r="L290" s="54" t="n">
        <f aca="false">IF($A290="","",IFERROR(SUMIFS($J$5:$J$504,$AB$5:$AB$504,"&lt;="&amp;AB290)/$J$505,0))</f>
        <v>0.817573946208516</v>
      </c>
      <c r="M290" s="55" t="str">
        <f aca="false">IF($A290="","",IF(L290&lt;=Assumptions!$B$7,"A",IF(L290&lt;=Assumptions!$B$8,"B","C")))</f>
        <v>B</v>
      </c>
      <c r="N290" s="55" t="str">
        <f aca="false">IF($A290="","",IF(I290&lt;=Assumptions!$B$9,"X",IF(I290&lt;=Assumptions!$B$10,"Y","Z")))</f>
        <v>Y</v>
      </c>
      <c r="O290" s="56" t="str">
        <f aca="false">IF($A290="","",M290&amp;N290)</f>
        <v>BY</v>
      </c>
      <c r="P290" s="57" t="n">
        <f aca="false">IF($A290="","",INDEX(Assumptions!$B$35:$B$37,MATCH(M290,Assumptions!$A$35:$A$37,0)))</f>
        <v>0.95</v>
      </c>
      <c r="Q290" s="58" t="n">
        <f aca="false">IF($A290="","",NORMSINV(P290))</f>
        <v>1.64485362695147</v>
      </c>
      <c r="R290" s="48" t="n">
        <f aca="false">IF($A290="","",ROUNDUP(Q290*H290*SQRT(D290),0))</f>
        <v>415</v>
      </c>
      <c r="S290" s="48" t="n">
        <f aca="false">IF($A290="","",ROUNDUP(G290*D290+R290,0))</f>
        <v>1430</v>
      </c>
      <c r="T290" s="46" t="n">
        <f aca="false">IF($A290="","",IFERROR(ROUND(SQRT(2*F290*Assumptions!$B$4/(Assumptions!$B$5*C290)),0),0))</f>
        <v>2626</v>
      </c>
      <c r="U290" s="53" t="n">
        <f aca="false">IF($A290="","",R290*C290)</f>
        <v>211.65</v>
      </c>
      <c r="V290" s="53" t="n">
        <f aca="false">IF($A290="","",E290*C290)</f>
        <v>603.84</v>
      </c>
      <c r="W290" s="59" t="n">
        <f aca="false">IF($A290="","",IFERROR(E290/G290,0))</f>
        <v>7.00272975432211</v>
      </c>
      <c r="X290" s="48" t="n">
        <f aca="false">IF($A290="","",S290+T290)</f>
        <v>4056</v>
      </c>
      <c r="Y290" s="48" t="n">
        <f aca="false">IF($A290="","",MAX(0,E290-X290))</f>
        <v>0</v>
      </c>
      <c r="Z290" s="53" t="n">
        <f aca="false">IF($A290="","",Y290*C290)</f>
        <v>0</v>
      </c>
      <c r="AA290" s="56" t="str">
        <f aca="false">IF($A290="","",IF(E290&lt;=R290,"Below Safety Stock",IF(E290&lt;=S290,"Reorder Now",IF(E290&gt;X290,"Excess","Healthy"))))</f>
        <v>Reorder Now</v>
      </c>
      <c r="AB290" s="48" t="n">
        <f aca="false">IF($A290="","",RANK(AF290,$AF$5:$AF$504,0)+COUNTIF($AF$5:AF290,AF290)-1)</f>
        <v>305</v>
      </c>
      <c r="AC290" s="44" t="str">
        <f aca="false">IF($A290="","",Weekly_Demand!B290)</f>
        <v>HANGING HEART ZINC T-LIGHT HOLDER</v>
      </c>
      <c r="AD290" s="59" t="n">
        <f aca="false">IF($A290="","",H290*SQRT(D290))</f>
        <v>251.861234508139</v>
      </c>
      <c r="AE290" s="53" t="n">
        <f aca="false">IF($A290="","",AD290*C290)</f>
        <v>128.449229599151</v>
      </c>
      <c r="AF290" s="53" t="n">
        <f aca="false">IF($A290="","",ROUND(J290,2))</f>
        <v>4483.92</v>
      </c>
    </row>
    <row r="291" customFormat="false" ht="15" hidden="false" customHeight="false" outlineLevel="0" collapsed="false">
      <c r="A291" s="44" t="str">
        <f aca="false">IF(Weekly_Demand!A291="","",Weekly_Demand!A291)</f>
        <v>72741</v>
      </c>
      <c r="B291" s="44" t="str">
        <f aca="false">IF($A291="","",Weekly_Demand!C291)</f>
        <v>Other</v>
      </c>
      <c r="C291" s="45" t="n">
        <f aca="false">IF($A291="","",Weekly_Demand!D291)</f>
        <v>0.87</v>
      </c>
      <c r="D291" s="46" t="n">
        <f aca="false">IF($A291="","",Weekly_Demand!E291+Assumptions!$B$19)</f>
        <v>4</v>
      </c>
      <c r="E291" s="46" t="n">
        <f aca="false">IF($A291="","",Weekly_Demand!F291)</f>
        <v>1306</v>
      </c>
      <c r="F291" s="46" t="n">
        <f aca="false">IF($A291="","",SUM(Weekly_Demand!G291:BF291))</f>
        <v>5661</v>
      </c>
      <c r="G291" s="51" t="n">
        <f aca="false">IF($A291="","",IFERROR(F291/Assumptions!$B$6,0))</f>
        <v>108.865384615385</v>
      </c>
      <c r="H291" s="51" t="n">
        <f aca="false">IF($A291="","",STDEV(Weekly_Demand!G291:BF291))</f>
        <v>123.764645217168</v>
      </c>
      <c r="I291" s="52" t="n">
        <f aca="false">IF($A291="","",IFERROR(H291/G291,0))</f>
        <v>1.13685948618491</v>
      </c>
      <c r="J291" s="53" t="n">
        <f aca="false">IF($A291="","",F291*C291)</f>
        <v>4925.07</v>
      </c>
      <c r="K291" s="54" t="n">
        <f aca="false">IF($A291="","",IFERROR(J291/$J$505,0))</f>
        <v>0.00127437351615836</v>
      </c>
      <c r="L291" s="54" t="n">
        <f aca="false">IF($A291="","",IFERROR(SUMIFS($J$5:$J$504,$AB$5:$AB$504,"&lt;="&amp;AB291)/$J$505,0))</f>
        <v>0.778862436301565</v>
      </c>
      <c r="M291" s="55" t="str">
        <f aca="false">IF($A291="","",IF(L291&lt;=Assumptions!$B$7,"A",IF(L291&lt;=Assumptions!$B$8,"B","C")))</f>
        <v>A</v>
      </c>
      <c r="N291" s="55" t="str">
        <f aca="false">IF($A291="","",IF(I291&lt;=Assumptions!$B$9,"X",IF(I291&lt;=Assumptions!$B$10,"Y","Z")))</f>
        <v>Z</v>
      </c>
      <c r="O291" s="56" t="str">
        <f aca="false">IF($A291="","",M291&amp;N291)</f>
        <v>AZ</v>
      </c>
      <c r="P291" s="57" t="n">
        <f aca="false">IF($A291="","",INDEX(Assumptions!$B$35:$B$37,MATCH(M291,Assumptions!$A$35:$A$37,0)))</f>
        <v>0.98</v>
      </c>
      <c r="Q291" s="58" t="n">
        <f aca="false">IF($A291="","",NORMSINV(P291))</f>
        <v>2.05374891063182</v>
      </c>
      <c r="R291" s="48" t="n">
        <f aca="false">IF($A291="","",ROUNDUP(Q291*H291*SQRT(D291),0))</f>
        <v>509</v>
      </c>
      <c r="S291" s="48" t="n">
        <f aca="false">IF($A291="","",ROUNDUP(G291*D291+R291,0))</f>
        <v>945</v>
      </c>
      <c r="T291" s="46" t="n">
        <f aca="false">IF($A291="","",IFERROR(ROUND(SQRT(2*F291*Assumptions!$B$4/(Assumptions!$B$5*C291)),0),0))</f>
        <v>1613</v>
      </c>
      <c r="U291" s="53" t="n">
        <f aca="false">IF($A291="","",R291*C291)</f>
        <v>442.83</v>
      </c>
      <c r="V291" s="53" t="n">
        <f aca="false">IF($A291="","",E291*C291)</f>
        <v>1136.22</v>
      </c>
      <c r="W291" s="59" t="n">
        <f aca="false">IF($A291="","",IFERROR(E291/G291,0))</f>
        <v>11.9964670552906</v>
      </c>
      <c r="X291" s="48" t="n">
        <f aca="false">IF($A291="","",S291+T291)</f>
        <v>2558</v>
      </c>
      <c r="Y291" s="48" t="n">
        <f aca="false">IF($A291="","",MAX(0,E291-X291))</f>
        <v>0</v>
      </c>
      <c r="Z291" s="53" t="n">
        <f aca="false">IF($A291="","",Y291*C291)</f>
        <v>0</v>
      </c>
      <c r="AA291" s="56" t="str">
        <f aca="false">IF($A291="","",IF(E291&lt;=R291,"Below Safety Stock",IF(E291&lt;=S291,"Reorder Now",IF(E291&gt;X291,"Excess","Healthy"))))</f>
        <v>Healthy</v>
      </c>
      <c r="AB291" s="48" t="n">
        <f aca="false">IF($A291="","",RANK(AF291,$AF$5:$AF$504,0)+COUNTIF($AF$5:AF291,AF291)-1)</f>
        <v>273</v>
      </c>
      <c r="AC291" s="44" t="str">
        <f aca="false">IF($A291="","",Weekly_Demand!B291)</f>
        <v>GRAND CHOCOLATECANDLE</v>
      </c>
      <c r="AD291" s="59" t="n">
        <f aca="false">IF($A291="","",H291*SQRT(D291))</f>
        <v>247.529290434336</v>
      </c>
      <c r="AE291" s="53" t="n">
        <f aca="false">IF($A291="","",AD291*C291)</f>
        <v>215.350482677873</v>
      </c>
      <c r="AF291" s="53" t="n">
        <f aca="false">IF($A291="","",ROUND(J291,2))</f>
        <v>4925.07</v>
      </c>
    </row>
    <row r="292" customFormat="false" ht="15" hidden="false" customHeight="false" outlineLevel="0" collapsed="false">
      <c r="A292" s="44" t="str">
        <f aca="false">IF(Weekly_Demand!A292="","",Weekly_Demand!A292)</f>
        <v>22725</v>
      </c>
      <c r="B292" s="44" t="str">
        <f aca="false">IF($A292="","",Weekly_Demand!C292)</f>
        <v>Other</v>
      </c>
      <c r="C292" s="45" t="n">
        <f aca="false">IF($A292="","",Weekly_Demand!D292)</f>
        <v>2.25</v>
      </c>
      <c r="D292" s="46" t="n">
        <f aca="false">IF($A292="","",Weekly_Demand!E292+Assumptions!$B$19)</f>
        <v>4</v>
      </c>
      <c r="E292" s="46" t="n">
        <f aca="false">IF($A292="","",Weekly_Demand!F292)</f>
        <v>1898</v>
      </c>
      <c r="F292" s="46" t="n">
        <f aca="false">IF($A292="","",SUM(Weekly_Demand!G292:BF292))</f>
        <v>1898</v>
      </c>
      <c r="G292" s="51" t="n">
        <f aca="false">IF($A292="","",IFERROR(F292/Assumptions!$B$6,0))</f>
        <v>36.5</v>
      </c>
      <c r="H292" s="51" t="n">
        <f aca="false">IF($A292="","",STDEV(Weekly_Demand!G292:BF292))</f>
        <v>31.6168855357449</v>
      </c>
      <c r="I292" s="52" t="n">
        <f aca="false">IF($A292="","",IFERROR(H292/G292,0))</f>
        <v>0.866216042075201</v>
      </c>
      <c r="J292" s="53" t="n">
        <f aca="false">IF($A292="","",F292*C292)</f>
        <v>4270.5</v>
      </c>
      <c r="K292" s="54" t="n">
        <f aca="false">IF($A292="","",IFERROR(J292/$J$505,0))</f>
        <v>0.00110500197982044</v>
      </c>
      <c r="L292" s="54" t="n">
        <f aca="false">IF($A292="","",IFERROR(SUMIFS($J$5:$J$504,$AB$5:$AB$504,"&lt;="&amp;AB292)/$J$505,0))</f>
        <v>0.844595817545694</v>
      </c>
      <c r="M292" s="55" t="str">
        <f aca="false">IF($A292="","",IF(L292&lt;=Assumptions!$B$7,"A",IF(L292&lt;=Assumptions!$B$8,"B","C")))</f>
        <v>B</v>
      </c>
      <c r="N292" s="55" t="str">
        <f aca="false">IF($A292="","",IF(I292&lt;=Assumptions!$B$9,"X",IF(I292&lt;=Assumptions!$B$10,"Y","Z")))</f>
        <v>Y</v>
      </c>
      <c r="O292" s="56" t="str">
        <f aca="false">IF($A292="","",M292&amp;N292)</f>
        <v>BY</v>
      </c>
      <c r="P292" s="57" t="n">
        <f aca="false">IF($A292="","",INDEX(Assumptions!$B$35:$B$37,MATCH(M292,Assumptions!$A$35:$A$37,0)))</f>
        <v>0.95</v>
      </c>
      <c r="Q292" s="58" t="n">
        <f aca="false">IF($A292="","",NORMSINV(P292))</f>
        <v>1.64485362695147</v>
      </c>
      <c r="R292" s="48" t="n">
        <f aca="false">IF($A292="","",ROUNDUP(Q292*H292*SQRT(D292),0))</f>
        <v>105</v>
      </c>
      <c r="S292" s="48" t="n">
        <f aca="false">IF($A292="","",ROUNDUP(G292*D292+R292,0))</f>
        <v>251</v>
      </c>
      <c r="T292" s="46" t="n">
        <f aca="false">IF($A292="","",IFERROR(ROUND(SQRT(2*F292*Assumptions!$B$4/(Assumptions!$B$5*C292)),0),0))</f>
        <v>581</v>
      </c>
      <c r="U292" s="53" t="n">
        <f aca="false">IF($A292="","",R292*C292)</f>
        <v>236.25</v>
      </c>
      <c r="V292" s="53" t="n">
        <f aca="false">IF($A292="","",E292*C292)</f>
        <v>4270.5</v>
      </c>
      <c r="W292" s="59" t="n">
        <f aca="false">IF($A292="","",IFERROR(E292/G292,0))</f>
        <v>52</v>
      </c>
      <c r="X292" s="48" t="n">
        <f aca="false">IF($A292="","",S292+T292)</f>
        <v>832</v>
      </c>
      <c r="Y292" s="48" t="n">
        <f aca="false">IF($A292="","",MAX(0,E292-X292))</f>
        <v>1066</v>
      </c>
      <c r="Z292" s="53" t="n">
        <f aca="false">IF($A292="","",Y292*C292)</f>
        <v>2398.5</v>
      </c>
      <c r="AA292" s="56" t="str">
        <f aca="false">IF($A292="","",IF(E292&lt;=R292,"Below Safety Stock",IF(E292&lt;=S292,"Reorder Now",IF(E292&gt;X292,"Excess","Healthy"))))</f>
        <v>Excess</v>
      </c>
      <c r="AB292" s="48" t="n">
        <f aca="false">IF($A292="","",RANK(AF292,$AF$5:$AF$504,0)+COUNTIF($AF$5:AF292,AF292)-1)</f>
        <v>329</v>
      </c>
      <c r="AC292" s="44" t="str">
        <f aca="false">IF($A292="","",Weekly_Demand!B292)</f>
        <v>ALARM CLOCK BAKELIKE CHOCOLATE</v>
      </c>
      <c r="AD292" s="59" t="n">
        <f aca="false">IF($A292="","",H292*SQRT(D292))</f>
        <v>63.2337710714897</v>
      </c>
      <c r="AE292" s="53" t="n">
        <f aca="false">IF($A292="","",AD292*C292)</f>
        <v>142.275984910852</v>
      </c>
      <c r="AF292" s="53" t="n">
        <f aca="false">IF($A292="","",ROUND(J292,2))</f>
        <v>4270.5</v>
      </c>
    </row>
    <row r="293" customFormat="false" ht="15" hidden="false" customHeight="false" outlineLevel="0" collapsed="false">
      <c r="A293" s="44" t="str">
        <f aca="false">IF(Weekly_Demand!A293="","",Weekly_Demand!A293)</f>
        <v>21136</v>
      </c>
      <c r="B293" s="44" t="str">
        <f aca="false">IF($A293="","",Weekly_Demand!C293)</f>
        <v>Other</v>
      </c>
      <c r="C293" s="45" t="n">
        <f aca="false">IF($A293="","",Weekly_Demand!D293)</f>
        <v>1.014</v>
      </c>
      <c r="D293" s="46" t="n">
        <f aca="false">IF($A293="","",Weekly_Demand!E293+Assumptions!$B$19)</f>
        <v>2</v>
      </c>
      <c r="E293" s="46" t="n">
        <f aca="false">IF($A293="","",Weekly_Demand!F293)</f>
        <v>2868</v>
      </c>
      <c r="F293" s="46" t="n">
        <f aca="false">IF($A293="","",SUM(Weekly_Demand!G293:BF293))</f>
        <v>4660</v>
      </c>
      <c r="G293" s="51" t="n">
        <f aca="false">IF($A293="","",IFERROR(F293/Assumptions!$B$6,0))</f>
        <v>89.6153846153846</v>
      </c>
      <c r="H293" s="51" t="n">
        <f aca="false">IF($A293="","",STDEV(Weekly_Demand!G293:BF293))</f>
        <v>58.0649243945707</v>
      </c>
      <c r="I293" s="52" t="n">
        <f aca="false">IF($A293="","",IFERROR(H293/G293,0))</f>
        <v>0.647934778651862</v>
      </c>
      <c r="J293" s="53" t="n">
        <f aca="false">IF($A293="","",F293*C293)</f>
        <v>4725.24</v>
      </c>
      <c r="K293" s="54" t="n">
        <f aca="false">IF($A293="","",IFERROR(J293/$J$505,0))</f>
        <v>0.00122266703082233</v>
      </c>
      <c r="L293" s="54" t="n">
        <f aca="false">IF($A293="","",IFERROR(SUMIFS($J$5:$J$504,$AB$5:$AB$504,"&lt;="&amp;AB293)/$J$505,0))</f>
        <v>0.795005326777124</v>
      </c>
      <c r="M293" s="55" t="str">
        <f aca="false">IF($A293="","",IF(L293&lt;=Assumptions!$B$7,"A",IF(L293&lt;=Assumptions!$B$8,"B","C")))</f>
        <v>A</v>
      </c>
      <c r="N293" s="55" t="str">
        <f aca="false">IF($A293="","",IF(I293&lt;=Assumptions!$B$9,"X",IF(I293&lt;=Assumptions!$B$10,"Y","Z")))</f>
        <v>Y</v>
      </c>
      <c r="O293" s="56" t="str">
        <f aca="false">IF($A293="","",M293&amp;N293)</f>
        <v>AY</v>
      </c>
      <c r="P293" s="57" t="n">
        <f aca="false">IF($A293="","",INDEX(Assumptions!$B$35:$B$37,MATCH(M293,Assumptions!$A$35:$A$37,0)))</f>
        <v>0.98</v>
      </c>
      <c r="Q293" s="58" t="n">
        <f aca="false">IF($A293="","",NORMSINV(P293))</f>
        <v>2.05374891063182</v>
      </c>
      <c r="R293" s="48" t="n">
        <f aca="false">IF($A293="","",ROUNDUP(Q293*H293*SQRT(D293),0))</f>
        <v>169</v>
      </c>
      <c r="S293" s="48" t="n">
        <f aca="false">IF($A293="","",ROUNDUP(G293*D293+R293,0))</f>
        <v>349</v>
      </c>
      <c r="T293" s="46" t="n">
        <f aca="false">IF($A293="","",IFERROR(ROUND(SQRT(2*F293*Assumptions!$B$4/(Assumptions!$B$5*C293)),0),0))</f>
        <v>1356</v>
      </c>
      <c r="U293" s="53" t="n">
        <f aca="false">IF($A293="","",R293*C293)</f>
        <v>171.366</v>
      </c>
      <c r="V293" s="53" t="n">
        <f aca="false">IF($A293="","",E293*C293)</f>
        <v>2908.152</v>
      </c>
      <c r="W293" s="59" t="n">
        <f aca="false">IF($A293="","",IFERROR(E293/G293,0))</f>
        <v>32.0034334763949</v>
      </c>
      <c r="X293" s="48" t="n">
        <f aca="false">IF($A293="","",S293+T293)</f>
        <v>1705</v>
      </c>
      <c r="Y293" s="48" t="n">
        <f aca="false">IF($A293="","",MAX(0,E293-X293))</f>
        <v>1163</v>
      </c>
      <c r="Z293" s="53" t="n">
        <f aca="false">IF($A293="","",Y293*C293)</f>
        <v>1179.282</v>
      </c>
      <c r="AA293" s="56" t="str">
        <f aca="false">IF($A293="","",IF(E293&lt;=R293,"Below Safety Stock",IF(E293&lt;=S293,"Reorder Now",IF(E293&gt;X293,"Excess","Healthy"))))</f>
        <v>Excess</v>
      </c>
      <c r="AB293" s="48" t="n">
        <f aca="false">IF($A293="","",RANK(AF293,$AF$5:$AF$504,0)+COUNTIF($AF$5:AF293,AF293)-1)</f>
        <v>286</v>
      </c>
      <c r="AC293" s="44" t="str">
        <f aca="false">IF($A293="","",Weekly_Demand!B293)</f>
        <v>PAINTED METAL PEARS ASSORTED</v>
      </c>
      <c r="AD293" s="59" t="n">
        <f aca="false">IF($A293="","",H293*SQRT(D293))</f>
        <v>82.1162035769702</v>
      </c>
      <c r="AE293" s="53" t="n">
        <f aca="false">IF($A293="","",AD293*C293)</f>
        <v>83.2658304270478</v>
      </c>
      <c r="AF293" s="53" t="n">
        <f aca="false">IF($A293="","",ROUND(J293,2))</f>
        <v>4725.24</v>
      </c>
    </row>
    <row r="294" customFormat="false" ht="15" hidden="false" customHeight="false" outlineLevel="0" collapsed="false">
      <c r="A294" s="44" t="str">
        <f aca="false">IF(Weekly_Demand!A294="","",Weekly_Demand!A294)</f>
        <v>22487</v>
      </c>
      <c r="B294" s="44" t="str">
        <f aca="false">IF($A294="","",Weekly_Demand!C294)</f>
        <v>Other</v>
      </c>
      <c r="C294" s="45" t="n">
        <f aca="false">IF($A294="","",Weekly_Demand!D294)</f>
        <v>5.97</v>
      </c>
      <c r="D294" s="46" t="n">
        <f aca="false">IF($A294="","",Weekly_Demand!E294+Assumptions!$B$19)</f>
        <v>8</v>
      </c>
      <c r="E294" s="46" t="n">
        <f aca="false">IF($A294="","",Weekly_Demand!F294)</f>
        <v>206</v>
      </c>
      <c r="F294" s="46" t="n">
        <f aca="false">IF($A294="","",SUM(Weekly_Demand!G294:BF294))</f>
        <v>765</v>
      </c>
      <c r="G294" s="51" t="n">
        <f aca="false">IF($A294="","",IFERROR(F294/Assumptions!$B$6,0))</f>
        <v>14.7115384615385</v>
      </c>
      <c r="H294" s="51" t="n">
        <f aca="false">IF($A294="","",STDEV(Weekly_Demand!G294:BF294))</f>
        <v>9.31862259126807</v>
      </c>
      <c r="I294" s="52" t="n">
        <f aca="false">IF($A294="","",IFERROR(H294/G294,0))</f>
        <v>0.633422712086196</v>
      </c>
      <c r="J294" s="53" t="n">
        <f aca="false">IF($A294="","",F294*C294)</f>
        <v>4567.05</v>
      </c>
      <c r="K294" s="54" t="n">
        <f aca="false">IF($A294="","",IFERROR(J294/$J$505,0))</f>
        <v>0.00118173499401451</v>
      </c>
      <c r="L294" s="54" t="n">
        <f aca="false">IF($A294="","",IFERROR(SUMIFS($J$5:$J$504,$AB$5:$AB$504,"&lt;="&amp;AB294)/$J$505,0))</f>
        <v>0.810565819496878</v>
      </c>
      <c r="M294" s="55" t="str">
        <f aca="false">IF($A294="","",IF(L294&lt;=Assumptions!$B$7,"A",IF(L294&lt;=Assumptions!$B$8,"B","C")))</f>
        <v>B</v>
      </c>
      <c r="N294" s="55" t="str">
        <f aca="false">IF($A294="","",IF(I294&lt;=Assumptions!$B$9,"X",IF(I294&lt;=Assumptions!$B$10,"Y","Z")))</f>
        <v>Y</v>
      </c>
      <c r="O294" s="56" t="str">
        <f aca="false">IF($A294="","",M294&amp;N294)</f>
        <v>BY</v>
      </c>
      <c r="P294" s="57" t="n">
        <f aca="false">IF($A294="","",INDEX(Assumptions!$B$35:$B$37,MATCH(M294,Assumptions!$A$35:$A$37,0)))</f>
        <v>0.95</v>
      </c>
      <c r="Q294" s="58" t="n">
        <f aca="false">IF($A294="","",NORMSINV(P294))</f>
        <v>1.64485362695147</v>
      </c>
      <c r="R294" s="48" t="n">
        <f aca="false">IF($A294="","",ROUNDUP(Q294*H294*SQRT(D294),0))</f>
        <v>44</v>
      </c>
      <c r="S294" s="48" t="n">
        <f aca="false">IF($A294="","",ROUNDUP(G294*D294+R294,0))</f>
        <v>162</v>
      </c>
      <c r="T294" s="46" t="n">
        <f aca="false">IF($A294="","",IFERROR(ROUND(SQRT(2*F294*Assumptions!$B$4/(Assumptions!$B$5*C294)),0),0))</f>
        <v>226</v>
      </c>
      <c r="U294" s="53" t="n">
        <f aca="false">IF($A294="","",R294*C294)</f>
        <v>262.68</v>
      </c>
      <c r="V294" s="53" t="n">
        <f aca="false">IF($A294="","",E294*C294)</f>
        <v>1229.82</v>
      </c>
      <c r="W294" s="59" t="n">
        <f aca="false">IF($A294="","",IFERROR(E294/G294,0))</f>
        <v>14.002614379085</v>
      </c>
      <c r="X294" s="48" t="n">
        <f aca="false">IF($A294="","",S294+T294)</f>
        <v>388</v>
      </c>
      <c r="Y294" s="48" t="n">
        <f aca="false">IF($A294="","",MAX(0,E294-X294))</f>
        <v>0</v>
      </c>
      <c r="Z294" s="53" t="n">
        <f aca="false">IF($A294="","",Y294*C294)</f>
        <v>0</v>
      </c>
      <c r="AA294" s="56" t="str">
        <f aca="false">IF($A294="","",IF(E294&lt;=R294,"Below Safety Stock",IF(E294&lt;=S294,"Reorder Now",IF(E294&gt;X294,"Excess","Healthy"))))</f>
        <v>Healthy</v>
      </c>
      <c r="AB294" s="48" t="n">
        <f aca="false">IF($A294="","",RANK(AF294,$AF$5:$AF$504,0)+COUNTIF($AF$5:AF294,AF294)-1)</f>
        <v>299</v>
      </c>
      <c r="AC294" s="44" t="str">
        <f aca="false">IF($A294="","",Weekly_Demand!B294)</f>
        <v>WHITE WOOD GARDEN PLANT LADDER</v>
      </c>
      <c r="AD294" s="59" t="n">
        <f aca="false">IF($A294="","",H294*SQRT(D294))</f>
        <v>26.3570449024153</v>
      </c>
      <c r="AE294" s="53" t="n">
        <f aca="false">IF($A294="","",AD294*C294)</f>
        <v>157.351558067419</v>
      </c>
      <c r="AF294" s="53" t="n">
        <f aca="false">IF($A294="","",ROUND(J294,2))</f>
        <v>4567.05</v>
      </c>
    </row>
    <row r="295" customFormat="false" ht="15" hidden="false" customHeight="false" outlineLevel="0" collapsed="false">
      <c r="A295" s="44" t="str">
        <f aca="false">IF(Weekly_Demand!A295="","",Weekly_Demand!A295)</f>
        <v>21484</v>
      </c>
      <c r="B295" s="44" t="str">
        <f aca="false">IF($A295="","",Weekly_Demand!C295)</f>
        <v>Other</v>
      </c>
      <c r="C295" s="45" t="n">
        <f aca="false">IF($A295="","",Weekly_Demand!D295)</f>
        <v>2.55</v>
      </c>
      <c r="D295" s="46" t="n">
        <f aca="false">IF($A295="","",Weekly_Demand!E295+Assumptions!$B$19)</f>
        <v>2</v>
      </c>
      <c r="E295" s="46" t="n">
        <f aca="false">IF($A295="","",Weekly_Demand!F295)</f>
        <v>458</v>
      </c>
      <c r="F295" s="46" t="n">
        <f aca="false">IF($A295="","",SUM(Weekly_Demand!G295:BF295))</f>
        <v>1700</v>
      </c>
      <c r="G295" s="51" t="n">
        <f aca="false">IF($A295="","",IFERROR(F295/Assumptions!$B$6,0))</f>
        <v>32.6923076923077</v>
      </c>
      <c r="H295" s="51" t="n">
        <f aca="false">IF($A295="","",STDEV(Weekly_Demand!G295:BF295))</f>
        <v>52.3893936509973</v>
      </c>
      <c r="I295" s="52" t="n">
        <f aca="false">IF($A295="","",IFERROR(H295/G295,0))</f>
        <v>1.60249909991286</v>
      </c>
      <c r="J295" s="53" t="n">
        <f aca="false">IF($A295="","",F295*C295)</f>
        <v>4335</v>
      </c>
      <c r="K295" s="54" t="n">
        <f aca="false">IF($A295="","",IFERROR(J295/$J$505,0))</f>
        <v>0.00112169150743979</v>
      </c>
      <c r="L295" s="54" t="n">
        <f aca="false">IF($A295="","",IFERROR(SUMIFS($J$5:$J$504,$AB$5:$AB$504,"&lt;="&amp;AB295)/$J$505,0))</f>
        <v>0.831236451509401</v>
      </c>
      <c r="M295" s="55" t="str">
        <f aca="false">IF($A295="","",IF(L295&lt;=Assumptions!$B$7,"A",IF(L295&lt;=Assumptions!$B$8,"B","C")))</f>
        <v>B</v>
      </c>
      <c r="N295" s="55" t="str">
        <f aca="false">IF($A295="","",IF(I295&lt;=Assumptions!$B$9,"X",IF(I295&lt;=Assumptions!$B$10,"Y","Z")))</f>
        <v>Z</v>
      </c>
      <c r="O295" s="56" t="str">
        <f aca="false">IF($A295="","",M295&amp;N295)</f>
        <v>BZ</v>
      </c>
      <c r="P295" s="57" t="n">
        <f aca="false">IF($A295="","",INDEX(Assumptions!$B$35:$B$37,MATCH(M295,Assumptions!$A$35:$A$37,0)))</f>
        <v>0.95</v>
      </c>
      <c r="Q295" s="58" t="n">
        <f aca="false">IF($A295="","",NORMSINV(P295))</f>
        <v>1.64485362695147</v>
      </c>
      <c r="R295" s="48" t="n">
        <f aca="false">IF($A295="","",ROUNDUP(Q295*H295*SQRT(D295),0))</f>
        <v>122</v>
      </c>
      <c r="S295" s="48" t="n">
        <f aca="false">IF($A295="","",ROUNDUP(G295*D295+R295,0))</f>
        <v>188</v>
      </c>
      <c r="T295" s="46" t="n">
        <f aca="false">IF($A295="","",IFERROR(ROUND(SQRT(2*F295*Assumptions!$B$4/(Assumptions!$B$5*C295)),0),0))</f>
        <v>516</v>
      </c>
      <c r="U295" s="53" t="n">
        <f aca="false">IF($A295="","",R295*C295)</f>
        <v>311.1</v>
      </c>
      <c r="V295" s="53" t="n">
        <f aca="false">IF($A295="","",E295*C295)</f>
        <v>1167.9</v>
      </c>
      <c r="W295" s="59" t="n">
        <f aca="false">IF($A295="","",IFERROR(E295/G295,0))</f>
        <v>14.0094117647059</v>
      </c>
      <c r="X295" s="48" t="n">
        <f aca="false">IF($A295="","",S295+T295)</f>
        <v>704</v>
      </c>
      <c r="Y295" s="48" t="n">
        <f aca="false">IF($A295="","",MAX(0,E295-X295))</f>
        <v>0</v>
      </c>
      <c r="Z295" s="53" t="n">
        <f aca="false">IF($A295="","",Y295*C295)</f>
        <v>0</v>
      </c>
      <c r="AA295" s="56" t="str">
        <f aca="false">IF($A295="","",IF(E295&lt;=R295,"Below Safety Stock",IF(E295&lt;=S295,"Reorder Now",IF(E295&gt;X295,"Excess","Healthy"))))</f>
        <v>Healthy</v>
      </c>
      <c r="AB295" s="48" t="n">
        <f aca="false">IF($A295="","",RANK(AF295,$AF$5:$AF$504,0)+COUNTIF($AF$5:AF295,AF295)-1)</f>
        <v>317</v>
      </c>
      <c r="AC295" s="44" t="str">
        <f aca="false">IF($A295="","",Weekly_Demand!B295)</f>
        <v>CHICK GREY HOT WATER BOTTLE</v>
      </c>
      <c r="AD295" s="59" t="n">
        <f aca="false">IF($A295="","",H295*SQRT(D295))</f>
        <v>74.0897910257433</v>
      </c>
      <c r="AE295" s="53" t="n">
        <f aca="false">IF($A295="","",AD295*C295)</f>
        <v>188.928967115645</v>
      </c>
      <c r="AF295" s="53" t="n">
        <f aca="false">IF($A295="","",ROUND(J295,2))</f>
        <v>4335</v>
      </c>
    </row>
    <row r="296" customFormat="false" ht="15" hidden="false" customHeight="false" outlineLevel="0" collapsed="false">
      <c r="A296" s="44" t="str">
        <f aca="false">IF(Weekly_Demand!A296="","",Weekly_Demand!A296)</f>
        <v>22352</v>
      </c>
      <c r="B296" s="44" t="str">
        <f aca="false">IF($A296="","",Weekly_Demand!C296)</f>
        <v>Other</v>
      </c>
      <c r="C296" s="45" t="n">
        <f aca="false">IF($A296="","",Weekly_Demand!D296)</f>
        <v>1.53</v>
      </c>
      <c r="D296" s="46" t="n">
        <f aca="false">IF($A296="","",Weekly_Demand!E296+Assumptions!$B$19)</f>
        <v>2</v>
      </c>
      <c r="E296" s="46" t="n">
        <f aca="false">IF($A296="","",Weekly_Demand!F296)</f>
        <v>2963</v>
      </c>
      <c r="F296" s="46" t="n">
        <f aca="false">IF($A296="","",SUM(Weekly_Demand!G296:BF296))</f>
        <v>3021</v>
      </c>
      <c r="G296" s="51" t="n">
        <f aca="false">IF($A296="","",IFERROR(F296/Assumptions!$B$6,0))</f>
        <v>58.0961538461539</v>
      </c>
      <c r="H296" s="51" t="n">
        <f aca="false">IF($A296="","",STDEV(Weekly_Demand!G296:BF296))</f>
        <v>45.026466994592</v>
      </c>
      <c r="I296" s="52" t="n">
        <f aca="false">IF($A296="","",IFERROR(H296/G296,0))</f>
        <v>0.775033526553719</v>
      </c>
      <c r="J296" s="53" t="n">
        <f aca="false">IF($A296="","",F296*C296)</f>
        <v>4622.13</v>
      </c>
      <c r="K296" s="54" t="n">
        <f aca="false">IF($A296="","",IFERROR(J296/$J$505,0))</f>
        <v>0.00119598707434433</v>
      </c>
      <c r="L296" s="54" t="n">
        <f aca="false">IF($A296="","",IFERROR(SUMIFS($J$5:$J$504,$AB$5:$AB$504,"&lt;="&amp;AB296)/$J$505,0))</f>
        <v>0.802250902772645</v>
      </c>
      <c r="M296" s="55" t="str">
        <f aca="false">IF($A296="","",IF(L296&lt;=Assumptions!$B$7,"A",IF(L296&lt;=Assumptions!$B$8,"B","C")))</f>
        <v>B</v>
      </c>
      <c r="N296" s="55" t="str">
        <f aca="false">IF($A296="","",IF(I296&lt;=Assumptions!$B$9,"X",IF(I296&lt;=Assumptions!$B$10,"Y","Z")))</f>
        <v>Y</v>
      </c>
      <c r="O296" s="56" t="str">
        <f aca="false">IF($A296="","",M296&amp;N296)</f>
        <v>BY</v>
      </c>
      <c r="P296" s="57" t="n">
        <f aca="false">IF($A296="","",INDEX(Assumptions!$B$35:$B$37,MATCH(M296,Assumptions!$A$35:$A$37,0)))</f>
        <v>0.95</v>
      </c>
      <c r="Q296" s="58" t="n">
        <f aca="false">IF($A296="","",NORMSINV(P296))</f>
        <v>1.64485362695147</v>
      </c>
      <c r="R296" s="48" t="n">
        <f aca="false">IF($A296="","",ROUNDUP(Q296*H296*SQRT(D296),0))</f>
        <v>105</v>
      </c>
      <c r="S296" s="48" t="n">
        <f aca="false">IF($A296="","",ROUNDUP(G296*D296+R296,0))</f>
        <v>222</v>
      </c>
      <c r="T296" s="46" t="n">
        <f aca="false">IF($A296="","",IFERROR(ROUND(SQRT(2*F296*Assumptions!$B$4/(Assumptions!$B$5*C296)),0),0))</f>
        <v>889</v>
      </c>
      <c r="U296" s="53" t="n">
        <f aca="false">IF($A296="","",R296*C296)</f>
        <v>160.65</v>
      </c>
      <c r="V296" s="53" t="n">
        <f aca="false">IF($A296="","",E296*C296)</f>
        <v>4533.39</v>
      </c>
      <c r="W296" s="59" t="n">
        <f aca="false">IF($A296="","",IFERROR(E296/G296,0))</f>
        <v>51.001655081099</v>
      </c>
      <c r="X296" s="48" t="n">
        <f aca="false">IF($A296="","",S296+T296)</f>
        <v>1111</v>
      </c>
      <c r="Y296" s="48" t="n">
        <f aca="false">IF($A296="","",MAX(0,E296-X296))</f>
        <v>1852</v>
      </c>
      <c r="Z296" s="53" t="n">
        <f aca="false">IF($A296="","",Y296*C296)</f>
        <v>2833.56</v>
      </c>
      <c r="AA296" s="56" t="str">
        <f aca="false">IF($A296="","",IF(E296&lt;=R296,"Below Safety Stock",IF(E296&lt;=S296,"Reorder Now",IF(E296&gt;X296,"Excess","Healthy"))))</f>
        <v>Excess</v>
      </c>
      <c r="AB296" s="48" t="n">
        <f aca="false">IF($A296="","",RANK(AF296,$AF$5:$AF$504,0)+COUNTIF($AF$5:AF296,AF296)-1)</f>
        <v>292</v>
      </c>
      <c r="AC296" s="44" t="str">
        <f aca="false">IF($A296="","",Weekly_Demand!B296)</f>
        <v>LUNCH BOX WITH CUTLERY RETROSPOT</v>
      </c>
      <c r="AD296" s="59" t="n">
        <f aca="false">IF($A296="","",H296*SQRT(D296))</f>
        <v>63.6770402894966</v>
      </c>
      <c r="AE296" s="53" t="n">
        <f aca="false">IF($A296="","",AD296*C296)</f>
        <v>97.4258716429297</v>
      </c>
      <c r="AF296" s="53" t="n">
        <f aca="false">IF($A296="","",ROUND(J296,2))</f>
        <v>4622.13</v>
      </c>
    </row>
    <row r="297" customFormat="false" ht="15" hidden="false" customHeight="false" outlineLevel="0" collapsed="false">
      <c r="A297" s="44" t="str">
        <f aca="false">IF(Weekly_Demand!A297="","",Weekly_Demand!A297)</f>
        <v>23007</v>
      </c>
      <c r="B297" s="44" t="str">
        <f aca="false">IF($A297="","",Weekly_Demand!C297)</f>
        <v>Other</v>
      </c>
      <c r="C297" s="45" t="n">
        <f aca="false">IF($A297="","",Weekly_Demand!D297)</f>
        <v>10.17</v>
      </c>
      <c r="D297" s="46" t="n">
        <f aca="false">IF($A297="","",Weekly_Demand!E297+Assumptions!$B$19)</f>
        <v>8</v>
      </c>
      <c r="E297" s="46" t="n">
        <f aca="false">IF($A297="","",Weekly_Demand!F297)</f>
        <v>28</v>
      </c>
      <c r="F297" s="46" t="n">
        <f aca="false">IF($A297="","",SUM(Weekly_Demand!G297:BF297))</f>
        <v>489</v>
      </c>
      <c r="G297" s="51" t="n">
        <f aca="false">IF($A297="","",IFERROR(F297/Assumptions!$B$6,0))</f>
        <v>9.40384615384615</v>
      </c>
      <c r="H297" s="51" t="n">
        <f aca="false">IF($A297="","",STDEV(Weekly_Demand!G297:BF297))</f>
        <v>11.7777783706613</v>
      </c>
      <c r="I297" s="52" t="n">
        <f aca="false">IF($A297="","",IFERROR(H297/G297,0))</f>
        <v>1.25244268972267</v>
      </c>
      <c r="J297" s="53" t="n">
        <f aca="false">IF($A297="","",F297*C297)</f>
        <v>4973.13</v>
      </c>
      <c r="K297" s="54" t="n">
        <f aca="false">IF($A297="","",IFERROR(J297/$J$505,0))</f>
        <v>0.00128680915487752</v>
      </c>
      <c r="L297" s="54" t="n">
        <f aca="false">IF($A297="","",IFERROR(SUMIFS($J$5:$J$504,$AB$5:$AB$504,"&lt;="&amp;AB297)/$J$505,0))</f>
        <v>0.771189080544162</v>
      </c>
      <c r="M297" s="55" t="str">
        <f aca="false">IF($A297="","",IF(L297&lt;=Assumptions!$B$7,"A",IF(L297&lt;=Assumptions!$B$8,"B","C")))</f>
        <v>A</v>
      </c>
      <c r="N297" s="55" t="str">
        <f aca="false">IF($A297="","",IF(I297&lt;=Assumptions!$B$9,"X",IF(I297&lt;=Assumptions!$B$10,"Y","Z")))</f>
        <v>Z</v>
      </c>
      <c r="O297" s="56" t="str">
        <f aca="false">IF($A297="","",M297&amp;N297)</f>
        <v>AZ</v>
      </c>
      <c r="P297" s="57" t="n">
        <f aca="false">IF($A297="","",INDEX(Assumptions!$B$35:$B$37,MATCH(M297,Assumptions!$A$35:$A$37,0)))</f>
        <v>0.98</v>
      </c>
      <c r="Q297" s="58" t="n">
        <f aca="false">IF($A297="","",NORMSINV(P297))</f>
        <v>2.05374891063182</v>
      </c>
      <c r="R297" s="48" t="n">
        <f aca="false">IF($A297="","",ROUNDUP(Q297*H297*SQRT(D297),0))</f>
        <v>69</v>
      </c>
      <c r="S297" s="48" t="n">
        <f aca="false">IF($A297="","",ROUNDUP(G297*D297+R297,0))</f>
        <v>145</v>
      </c>
      <c r="T297" s="46" t="n">
        <f aca="false">IF($A297="","",IFERROR(ROUND(SQRT(2*F297*Assumptions!$B$4/(Assumptions!$B$5*C297)),0),0))</f>
        <v>139</v>
      </c>
      <c r="U297" s="53" t="n">
        <f aca="false">IF($A297="","",R297*C297)</f>
        <v>701.73</v>
      </c>
      <c r="V297" s="53" t="n">
        <f aca="false">IF($A297="","",E297*C297)</f>
        <v>284.76</v>
      </c>
      <c r="W297" s="59" t="n">
        <f aca="false">IF($A297="","",IFERROR(E297/G297,0))</f>
        <v>2.97750511247444</v>
      </c>
      <c r="X297" s="48" t="n">
        <f aca="false">IF($A297="","",S297+T297)</f>
        <v>284</v>
      </c>
      <c r="Y297" s="48" t="n">
        <f aca="false">IF($A297="","",MAX(0,E297-X297))</f>
        <v>0</v>
      </c>
      <c r="Z297" s="53" t="n">
        <f aca="false">IF($A297="","",Y297*C297)</f>
        <v>0</v>
      </c>
      <c r="AA297" s="56" t="str">
        <f aca="false">IF($A297="","",IF(E297&lt;=R297,"Below Safety Stock",IF(E297&lt;=S297,"Reorder Now",IF(E297&gt;X297,"Excess","Healthy"))))</f>
        <v>Below Safety Stock</v>
      </c>
      <c r="AB297" s="48" t="n">
        <f aca="false">IF($A297="","",RANK(AF297,$AF$5:$AF$504,0)+COUNTIF($AF$5:AF297,AF297)-1)</f>
        <v>267</v>
      </c>
      <c r="AC297" s="44" t="str">
        <f aca="false">IF($A297="","",Weekly_Demand!B297)</f>
        <v>SPACEBOY BABY GIFT SET</v>
      </c>
      <c r="AD297" s="59" t="n">
        <f aca="false">IF($A297="","",H297*SQRT(D297))</f>
        <v>33.3125878128273</v>
      </c>
      <c r="AE297" s="53" t="n">
        <f aca="false">IF($A297="","",AD297*C297)</f>
        <v>338.789018056454</v>
      </c>
      <c r="AF297" s="53" t="n">
        <f aca="false">IF($A297="","",ROUND(J297,2))</f>
        <v>4973.13</v>
      </c>
    </row>
    <row r="298" customFormat="false" ht="15" hidden="false" customHeight="false" outlineLevel="0" collapsed="false">
      <c r="A298" s="44" t="str">
        <f aca="false">IF(Weekly_Demand!A298="","",Weekly_Demand!A298)</f>
        <v>22616</v>
      </c>
      <c r="B298" s="44" t="str">
        <f aca="false">IF($A298="","",Weekly_Demand!C298)</f>
        <v>Other</v>
      </c>
      <c r="C298" s="45" t="n">
        <f aca="false">IF($A298="","",Weekly_Demand!D298)</f>
        <v>0.174</v>
      </c>
      <c r="D298" s="46" t="n">
        <f aca="false">IF($A298="","",Weekly_Demand!E298+Assumptions!$B$19)</f>
        <v>2</v>
      </c>
      <c r="E298" s="46" t="n">
        <f aca="false">IF($A298="","",Weekly_Demand!F298)</f>
        <v>4299</v>
      </c>
      <c r="F298" s="46" t="n">
        <f aca="false">IF($A298="","",SUM(Weekly_Demand!G298:BF298))</f>
        <v>24841</v>
      </c>
      <c r="G298" s="51" t="n">
        <f aca="false">IF($A298="","",IFERROR(F298/Assumptions!$B$6,0))</f>
        <v>477.711538461538</v>
      </c>
      <c r="H298" s="51" t="n">
        <f aca="false">IF($A298="","",STDEV(Weekly_Demand!G298:BF298))</f>
        <v>482.24614724321</v>
      </c>
      <c r="I298" s="52" t="n">
        <f aca="false">IF($A298="","",IFERROR(H298/G298,0))</f>
        <v>1.0094923576606</v>
      </c>
      <c r="J298" s="53" t="n">
        <f aca="false">IF($A298="","",F298*C298)</f>
        <v>4322.334</v>
      </c>
      <c r="K298" s="54" t="n">
        <f aca="false">IF($A298="","",IFERROR(J298/$J$505,0))</f>
        <v>0.00111841414996961</v>
      </c>
      <c r="L298" s="54" t="n">
        <f aca="false">IF($A298="","",IFERROR(SUMIFS($J$5:$J$504,$AB$5:$AB$504,"&lt;="&amp;AB298)/$J$505,0))</f>
        <v>0.833474810588339</v>
      </c>
      <c r="M298" s="55" t="str">
        <f aca="false">IF($A298="","",IF(L298&lt;=Assumptions!$B$7,"A",IF(L298&lt;=Assumptions!$B$8,"B","C")))</f>
        <v>B</v>
      </c>
      <c r="N298" s="55" t="str">
        <f aca="false">IF($A298="","",IF(I298&lt;=Assumptions!$B$9,"X",IF(I298&lt;=Assumptions!$B$10,"Y","Z")))</f>
        <v>Z</v>
      </c>
      <c r="O298" s="56" t="str">
        <f aca="false">IF($A298="","",M298&amp;N298)</f>
        <v>BZ</v>
      </c>
      <c r="P298" s="57" t="n">
        <f aca="false">IF($A298="","",INDEX(Assumptions!$B$35:$B$37,MATCH(M298,Assumptions!$A$35:$A$37,0)))</f>
        <v>0.95</v>
      </c>
      <c r="Q298" s="58" t="n">
        <f aca="false">IF($A298="","",NORMSINV(P298))</f>
        <v>1.64485362695147</v>
      </c>
      <c r="R298" s="48" t="n">
        <f aca="false">IF($A298="","",ROUNDUP(Q298*H298*SQRT(D298),0))</f>
        <v>1122</v>
      </c>
      <c r="S298" s="48" t="n">
        <f aca="false">IF($A298="","",ROUNDUP(G298*D298+R298,0))</f>
        <v>2078</v>
      </c>
      <c r="T298" s="46" t="n">
        <f aca="false">IF($A298="","",IFERROR(ROUND(SQRT(2*F298*Assumptions!$B$4/(Assumptions!$B$5*C298)),0),0))</f>
        <v>7557</v>
      </c>
      <c r="U298" s="53" t="n">
        <f aca="false">IF($A298="","",R298*C298)</f>
        <v>195.228</v>
      </c>
      <c r="V298" s="53" t="n">
        <f aca="false">IF($A298="","",E298*C298)</f>
        <v>748.026</v>
      </c>
      <c r="W298" s="59" t="n">
        <f aca="false">IF($A298="","",IFERROR(E298/G298,0))</f>
        <v>8.99915462340486</v>
      </c>
      <c r="X298" s="48" t="n">
        <f aca="false">IF($A298="","",S298+T298)</f>
        <v>9635</v>
      </c>
      <c r="Y298" s="48" t="n">
        <f aca="false">IF($A298="","",MAX(0,E298-X298))</f>
        <v>0</v>
      </c>
      <c r="Z298" s="53" t="n">
        <f aca="false">IF($A298="","",Y298*C298)</f>
        <v>0</v>
      </c>
      <c r="AA298" s="56" t="str">
        <f aca="false">IF($A298="","",IF(E298&lt;=R298,"Below Safety Stock",IF(E298&lt;=S298,"Reorder Now",IF(E298&gt;X298,"Excess","Healthy"))))</f>
        <v>Healthy</v>
      </c>
      <c r="AB298" s="48" t="n">
        <f aca="false">IF($A298="","",RANK(AF298,$AF$5:$AF$504,0)+COUNTIF($AF$5:AF298,AF298)-1)</f>
        <v>319</v>
      </c>
      <c r="AC298" s="44" t="str">
        <f aca="false">IF($A298="","",Weekly_Demand!B298)</f>
        <v>PACK OF 12 LONDON TISSUES</v>
      </c>
      <c r="AD298" s="59" t="n">
        <f aca="false">IF($A298="","",H298*SQRT(D298))</f>
        <v>681.999041833521</v>
      </c>
      <c r="AE298" s="53" t="n">
        <f aca="false">IF($A298="","",AD298*C298)</f>
        <v>118.667833279033</v>
      </c>
      <c r="AF298" s="53" t="n">
        <f aca="false">IF($A298="","",ROUND(J298,2))</f>
        <v>4322.33</v>
      </c>
    </row>
    <row r="299" customFormat="false" ht="15" hidden="false" customHeight="false" outlineLevel="0" collapsed="false">
      <c r="A299" s="44" t="str">
        <f aca="false">IF(Weekly_Demand!A299="","",Weekly_Demand!A299)</f>
        <v>22768</v>
      </c>
      <c r="B299" s="44" t="str">
        <f aca="false">IF($A299="","",Weekly_Demand!C299)</f>
        <v>Other</v>
      </c>
      <c r="C299" s="45" t="n">
        <f aca="false">IF($A299="","",Weekly_Demand!D299)</f>
        <v>5.97</v>
      </c>
      <c r="D299" s="46" t="n">
        <f aca="false">IF($A299="","",Weekly_Demand!E299+Assumptions!$B$19)</f>
        <v>2</v>
      </c>
      <c r="E299" s="46" t="n">
        <f aca="false">IF($A299="","",Weekly_Demand!F299)</f>
        <v>169</v>
      </c>
      <c r="F299" s="46" t="n">
        <f aca="false">IF($A299="","",SUM(Weekly_Demand!G299:BF299))</f>
        <v>800</v>
      </c>
      <c r="G299" s="51" t="n">
        <f aca="false">IF($A299="","",IFERROR(F299/Assumptions!$B$6,0))</f>
        <v>15.3846153846154</v>
      </c>
      <c r="H299" s="51" t="n">
        <f aca="false">IF($A299="","",STDEV(Weekly_Demand!G299:BF299))</f>
        <v>21.5316946922382</v>
      </c>
      <c r="I299" s="52" t="n">
        <f aca="false">IF($A299="","",IFERROR(H299/G299,0))</f>
        <v>1.39956015499548</v>
      </c>
      <c r="J299" s="53" t="n">
        <f aca="false">IF($A299="","",F299*C299)</f>
        <v>4776</v>
      </c>
      <c r="K299" s="54" t="n">
        <f aca="false">IF($A299="","",IFERROR(J299/$J$505,0))</f>
        <v>0.0012358013009302</v>
      </c>
      <c r="L299" s="54" t="n">
        <f aca="false">IF($A299="","",IFERROR(SUMIFS($J$5:$J$504,$AB$5:$AB$504,"&lt;="&amp;AB299)/$J$505,0))</f>
        <v>0.790101679635146</v>
      </c>
      <c r="M299" s="55" t="str">
        <f aca="false">IF($A299="","",IF(L299&lt;=Assumptions!$B$7,"A",IF(L299&lt;=Assumptions!$B$8,"B","C")))</f>
        <v>A</v>
      </c>
      <c r="N299" s="55" t="str">
        <f aca="false">IF($A299="","",IF(I299&lt;=Assumptions!$B$9,"X",IF(I299&lt;=Assumptions!$B$10,"Y","Z")))</f>
        <v>Z</v>
      </c>
      <c r="O299" s="56" t="str">
        <f aca="false">IF($A299="","",M299&amp;N299)</f>
        <v>AZ</v>
      </c>
      <c r="P299" s="57" t="n">
        <f aca="false">IF($A299="","",INDEX(Assumptions!$B$35:$B$37,MATCH(M299,Assumptions!$A$35:$A$37,0)))</f>
        <v>0.98</v>
      </c>
      <c r="Q299" s="58" t="n">
        <f aca="false">IF($A299="","",NORMSINV(P299))</f>
        <v>2.05374891063182</v>
      </c>
      <c r="R299" s="48" t="n">
        <f aca="false">IF($A299="","",ROUNDUP(Q299*H299*SQRT(D299),0))</f>
        <v>63</v>
      </c>
      <c r="S299" s="48" t="n">
        <f aca="false">IF($A299="","",ROUNDUP(G299*D299+R299,0))</f>
        <v>94</v>
      </c>
      <c r="T299" s="46" t="n">
        <f aca="false">IF($A299="","",IFERROR(ROUND(SQRT(2*F299*Assumptions!$B$4/(Assumptions!$B$5*C299)),0),0))</f>
        <v>232</v>
      </c>
      <c r="U299" s="53" t="n">
        <f aca="false">IF($A299="","",R299*C299)</f>
        <v>376.11</v>
      </c>
      <c r="V299" s="53" t="n">
        <f aca="false">IF($A299="","",E299*C299)</f>
        <v>1008.93</v>
      </c>
      <c r="W299" s="59" t="n">
        <f aca="false">IF($A299="","",IFERROR(E299/G299,0))</f>
        <v>10.985</v>
      </c>
      <c r="X299" s="48" t="n">
        <f aca="false">IF($A299="","",S299+T299)</f>
        <v>326</v>
      </c>
      <c r="Y299" s="48" t="n">
        <f aca="false">IF($A299="","",MAX(0,E299-X299))</f>
        <v>0</v>
      </c>
      <c r="Z299" s="53" t="n">
        <f aca="false">IF($A299="","",Y299*C299)</f>
        <v>0</v>
      </c>
      <c r="AA299" s="56" t="str">
        <f aca="false">IF($A299="","",IF(E299&lt;=R299,"Below Safety Stock",IF(E299&lt;=S299,"Reorder Now",IF(E299&gt;X299,"Excess","Healthy"))))</f>
        <v>Healthy</v>
      </c>
      <c r="AB299" s="48" t="n">
        <f aca="false">IF($A299="","",RANK(AF299,$AF$5:$AF$504,0)+COUNTIF($AF$5:AF299,AF299)-1)</f>
        <v>282</v>
      </c>
      <c r="AC299" s="44" t="str">
        <f aca="false">IF($A299="","",Weekly_Demand!B299)</f>
        <v>FAMILY PHOTO FRAME CORNICE</v>
      </c>
      <c r="AD299" s="59" t="n">
        <f aca="false">IF($A299="","",H299*SQRT(D299))</f>
        <v>30.4504146546401</v>
      </c>
      <c r="AE299" s="53" t="n">
        <f aca="false">IF($A299="","",AD299*C299)</f>
        <v>181.788975488201</v>
      </c>
      <c r="AF299" s="53" t="n">
        <f aca="false">IF($A299="","",ROUND(J299,2))</f>
        <v>4776</v>
      </c>
    </row>
    <row r="300" customFormat="false" ht="15" hidden="false" customHeight="false" outlineLevel="0" collapsed="false">
      <c r="A300" s="44" t="str">
        <f aca="false">IF(Weekly_Demand!A300="","",Weekly_Demand!A300)</f>
        <v>22667</v>
      </c>
      <c r="B300" s="44" t="str">
        <f aca="false">IF($A300="","",Weekly_Demand!C300)</f>
        <v>Other</v>
      </c>
      <c r="C300" s="45" t="n">
        <f aca="false">IF($A300="","",Weekly_Demand!D300)</f>
        <v>1.77</v>
      </c>
      <c r="D300" s="46" t="n">
        <f aca="false">IF($A300="","",Weekly_Demand!E300+Assumptions!$B$19)</f>
        <v>8</v>
      </c>
      <c r="E300" s="46" t="n">
        <f aca="false">IF($A300="","",Weekly_Demand!F300)</f>
        <v>365</v>
      </c>
      <c r="F300" s="46" t="n">
        <f aca="false">IF($A300="","",SUM(Weekly_Demand!G300:BF300))</f>
        <v>2709</v>
      </c>
      <c r="G300" s="51" t="n">
        <f aca="false">IF($A300="","",IFERROR(F300/Assumptions!$B$6,0))</f>
        <v>52.0961538461539</v>
      </c>
      <c r="H300" s="51" t="n">
        <f aca="false">IF($A300="","",STDEV(Weekly_Demand!G300:BF300))</f>
        <v>64.7311967142142</v>
      </c>
      <c r="I300" s="52" t="n">
        <f aca="false">IF($A300="","",IFERROR(H300/G300,0))</f>
        <v>1.24253312260581</v>
      </c>
      <c r="J300" s="53" t="n">
        <f aca="false">IF($A300="","",F300*C300)</f>
        <v>4794.93</v>
      </c>
      <c r="K300" s="54" t="n">
        <f aca="false">IF($A300="","",IFERROR(J300/$J$505,0))</f>
        <v>0.00124069948322221</v>
      </c>
      <c r="L300" s="54" t="n">
        <f aca="false">IF($A300="","",IFERROR(SUMIFS($J$5:$J$504,$AB$5:$AB$504,"&lt;="&amp;AB300)/$J$505,0))</f>
        <v>0.788865878334216</v>
      </c>
      <c r="M300" s="55" t="str">
        <f aca="false">IF($A300="","",IF(L300&lt;=Assumptions!$B$7,"A",IF(L300&lt;=Assumptions!$B$8,"B","C")))</f>
        <v>A</v>
      </c>
      <c r="N300" s="55" t="str">
        <f aca="false">IF($A300="","",IF(I300&lt;=Assumptions!$B$9,"X",IF(I300&lt;=Assumptions!$B$10,"Y","Z")))</f>
        <v>Z</v>
      </c>
      <c r="O300" s="56" t="str">
        <f aca="false">IF($A300="","",M300&amp;N300)</f>
        <v>AZ</v>
      </c>
      <c r="P300" s="57" t="n">
        <f aca="false">IF($A300="","",INDEX(Assumptions!$B$35:$B$37,MATCH(M300,Assumptions!$A$35:$A$37,0)))</f>
        <v>0.98</v>
      </c>
      <c r="Q300" s="58" t="n">
        <f aca="false">IF($A300="","",NORMSINV(P300))</f>
        <v>2.05374891063182</v>
      </c>
      <c r="R300" s="48" t="n">
        <f aca="false">IF($A300="","",ROUNDUP(Q300*H300*SQRT(D300),0))</f>
        <v>377</v>
      </c>
      <c r="S300" s="48" t="n">
        <f aca="false">IF($A300="","",ROUNDUP(G300*D300+R300,0))</f>
        <v>794</v>
      </c>
      <c r="T300" s="46" t="n">
        <f aca="false">IF($A300="","",IFERROR(ROUND(SQRT(2*F300*Assumptions!$B$4/(Assumptions!$B$5*C300)),0),0))</f>
        <v>782</v>
      </c>
      <c r="U300" s="53" t="n">
        <f aca="false">IF($A300="","",R300*C300)</f>
        <v>667.29</v>
      </c>
      <c r="V300" s="53" t="n">
        <f aca="false">IF($A300="","",E300*C300)</f>
        <v>646.05</v>
      </c>
      <c r="W300" s="59" t="n">
        <f aca="false">IF($A300="","",IFERROR(E300/G300,0))</f>
        <v>7.0062753783684</v>
      </c>
      <c r="X300" s="48" t="n">
        <f aca="false">IF($A300="","",S300+T300)</f>
        <v>1576</v>
      </c>
      <c r="Y300" s="48" t="n">
        <f aca="false">IF($A300="","",MAX(0,E300-X300))</f>
        <v>0</v>
      </c>
      <c r="Z300" s="53" t="n">
        <f aca="false">IF($A300="","",Y300*C300)</f>
        <v>0</v>
      </c>
      <c r="AA300" s="56" t="str">
        <f aca="false">IF($A300="","",IF(E300&lt;=R300,"Below Safety Stock",IF(E300&lt;=S300,"Reorder Now",IF(E300&gt;X300,"Excess","Healthy"))))</f>
        <v>Below Safety Stock</v>
      </c>
      <c r="AB300" s="48" t="n">
        <f aca="false">IF($A300="","",RANK(AF300,$AF$5:$AF$504,0)+COUNTIF($AF$5:AF300,AF300)-1)</f>
        <v>281</v>
      </c>
      <c r="AC300" s="44" t="str">
        <f aca="false">IF($A300="","",Weekly_Demand!B300)</f>
        <v>RECIPE BOX RETROSPOT</v>
      </c>
      <c r="AD300" s="59" t="n">
        <f aca="false">IF($A300="","",H300*SQRT(D300))</f>
        <v>183.087472603765</v>
      </c>
      <c r="AE300" s="53" t="n">
        <f aca="false">IF($A300="","",AD300*C300)</f>
        <v>324.064826508664</v>
      </c>
      <c r="AF300" s="53" t="n">
        <f aca="false">IF($A300="","",ROUND(J300,2))</f>
        <v>4794.93</v>
      </c>
    </row>
    <row r="301" customFormat="false" ht="15" hidden="false" customHeight="false" outlineLevel="0" collapsed="false">
      <c r="A301" s="44" t="str">
        <f aca="false">IF(Weekly_Demand!A301="","",Weekly_Demand!A301)</f>
        <v>22632</v>
      </c>
      <c r="B301" s="44" t="str">
        <f aca="false">IF($A301="","",Weekly_Demand!C301)</f>
        <v>Other</v>
      </c>
      <c r="C301" s="45" t="n">
        <f aca="false">IF($A301="","",Weekly_Demand!D301)</f>
        <v>1.26</v>
      </c>
      <c r="D301" s="46" t="n">
        <f aca="false">IF($A301="","",Weekly_Demand!E301+Assumptions!$B$19)</f>
        <v>2</v>
      </c>
      <c r="E301" s="46" t="n">
        <f aca="false">IF($A301="","",Weekly_Demand!F301)</f>
        <v>866</v>
      </c>
      <c r="F301" s="46" t="n">
        <f aca="false">IF($A301="","",SUM(Weekly_Demand!G301:BF301))</f>
        <v>3752</v>
      </c>
      <c r="G301" s="51" t="n">
        <f aca="false">IF($A301="","",IFERROR(F301/Assumptions!$B$6,0))</f>
        <v>72.1538461538462</v>
      </c>
      <c r="H301" s="51" t="n">
        <f aca="false">IF($A301="","",STDEV(Weekly_Demand!G301:BF301))</f>
        <v>125.430612740144</v>
      </c>
      <c r="I301" s="52" t="n">
        <f aca="false">IF($A301="","",IFERROR(H301/G301,0))</f>
        <v>1.73837736207023</v>
      </c>
      <c r="J301" s="53" t="n">
        <f aca="false">IF($A301="","",F301*C301)</f>
        <v>4727.52</v>
      </c>
      <c r="K301" s="54" t="n">
        <f aca="false">IF($A301="","",IFERROR(J301/$J$505,0))</f>
        <v>0.00122325698621724</v>
      </c>
      <c r="L301" s="54" t="n">
        <f aca="false">IF($A301="","",IFERROR(SUMIFS($J$5:$J$504,$AB$5:$AB$504,"&lt;="&amp;AB301)/$J$505,0))</f>
        <v>0.793782659746302</v>
      </c>
      <c r="M301" s="55" t="str">
        <f aca="false">IF($A301="","",IF(L301&lt;=Assumptions!$B$7,"A",IF(L301&lt;=Assumptions!$B$8,"B","C")))</f>
        <v>A</v>
      </c>
      <c r="N301" s="55" t="str">
        <f aca="false">IF($A301="","",IF(I301&lt;=Assumptions!$B$9,"X",IF(I301&lt;=Assumptions!$B$10,"Y","Z")))</f>
        <v>Z</v>
      </c>
      <c r="O301" s="56" t="str">
        <f aca="false">IF($A301="","",M301&amp;N301)</f>
        <v>AZ</v>
      </c>
      <c r="P301" s="57" t="n">
        <f aca="false">IF($A301="","",INDEX(Assumptions!$B$35:$B$37,MATCH(M301,Assumptions!$A$35:$A$37,0)))</f>
        <v>0.98</v>
      </c>
      <c r="Q301" s="58" t="n">
        <f aca="false">IF($A301="","",NORMSINV(P301))</f>
        <v>2.05374891063182</v>
      </c>
      <c r="R301" s="48" t="n">
        <f aca="false">IF($A301="","",ROUNDUP(Q301*H301*SQRT(D301),0))</f>
        <v>365</v>
      </c>
      <c r="S301" s="48" t="n">
        <f aca="false">IF($A301="","",ROUNDUP(G301*D301+R301,0))</f>
        <v>510</v>
      </c>
      <c r="T301" s="46" t="n">
        <f aca="false">IF($A301="","",IFERROR(ROUND(SQRT(2*F301*Assumptions!$B$4/(Assumptions!$B$5*C301)),0),0))</f>
        <v>1091</v>
      </c>
      <c r="U301" s="53" t="n">
        <f aca="false">IF($A301="","",R301*C301)</f>
        <v>459.9</v>
      </c>
      <c r="V301" s="53" t="n">
        <f aca="false">IF($A301="","",E301*C301)</f>
        <v>1091.16</v>
      </c>
      <c r="W301" s="59" t="n">
        <f aca="false">IF($A301="","",IFERROR(E301/G301,0))</f>
        <v>12.002132196162</v>
      </c>
      <c r="X301" s="48" t="n">
        <f aca="false">IF($A301="","",S301+T301)</f>
        <v>1601</v>
      </c>
      <c r="Y301" s="48" t="n">
        <f aca="false">IF($A301="","",MAX(0,E301-X301))</f>
        <v>0</v>
      </c>
      <c r="Z301" s="53" t="n">
        <f aca="false">IF($A301="","",Y301*C301)</f>
        <v>0</v>
      </c>
      <c r="AA301" s="56" t="str">
        <f aca="false">IF($A301="","",IF(E301&lt;=R301,"Below Safety Stock",IF(E301&lt;=S301,"Reorder Now",IF(E301&gt;X301,"Excess","Healthy"))))</f>
        <v>Healthy</v>
      </c>
      <c r="AB301" s="48" t="n">
        <f aca="false">IF($A301="","",RANK(AF301,$AF$5:$AF$504,0)+COUNTIF($AF$5:AF301,AF301)-1)</f>
        <v>285</v>
      </c>
      <c r="AC301" s="44" t="str">
        <f aca="false">IF($A301="","",Weekly_Demand!B301)</f>
        <v>HAND WARMER RED RETROSPOT</v>
      </c>
      <c r="AD301" s="59" t="n">
        <f aca="false">IF($A301="","",H301*SQRT(D301))</f>
        <v>177.385673673879</v>
      </c>
      <c r="AE301" s="53" t="n">
        <f aca="false">IF($A301="","",AD301*C301)</f>
        <v>223.505948829088</v>
      </c>
      <c r="AF301" s="53" t="n">
        <f aca="false">IF($A301="","",ROUND(J301,2))</f>
        <v>4727.52</v>
      </c>
    </row>
    <row r="302" customFormat="false" ht="15" hidden="false" customHeight="false" outlineLevel="0" collapsed="false">
      <c r="A302" s="44" t="str">
        <f aca="false">IF(Weekly_Demand!A302="","",Weekly_Demand!A302)</f>
        <v>21121</v>
      </c>
      <c r="B302" s="44" t="str">
        <f aca="false">IF($A302="","",Weekly_Demand!C302)</f>
        <v>Lighting</v>
      </c>
      <c r="C302" s="45" t="n">
        <f aca="false">IF($A302="","",Weekly_Demand!D302)</f>
        <v>0.75</v>
      </c>
      <c r="D302" s="46" t="n">
        <f aca="false">IF($A302="","",Weekly_Demand!E302+Assumptions!$B$19)</f>
        <v>4</v>
      </c>
      <c r="E302" s="46" t="n">
        <f aca="false">IF($A302="","",Weekly_Demand!F302)</f>
        <v>1895</v>
      </c>
      <c r="F302" s="46" t="n">
        <f aca="false">IF($A302="","",SUM(Weekly_Demand!G302:BF302))</f>
        <v>6160</v>
      </c>
      <c r="G302" s="51" t="n">
        <f aca="false">IF($A302="","",IFERROR(F302/Assumptions!$B$6,0))</f>
        <v>118.461538461538</v>
      </c>
      <c r="H302" s="51" t="n">
        <f aca="false">IF($A302="","",STDEV(Weekly_Demand!G302:BF302))</f>
        <v>105.996755691835</v>
      </c>
      <c r="I302" s="52" t="n">
        <f aca="false">IF($A302="","",IFERROR(H302/G302,0))</f>
        <v>0.894777807788218</v>
      </c>
      <c r="J302" s="53" t="n">
        <f aca="false">IF($A302="","",F302*C302)</f>
        <v>4620</v>
      </c>
      <c r="K302" s="54" t="n">
        <f aca="false">IF($A302="","",IFERROR(J302/$J$505,0))</f>
        <v>0.00119543593180434</v>
      </c>
      <c r="L302" s="54" t="n">
        <f aca="false">IF($A302="","",IFERROR(SUMIFS($J$5:$J$504,$AB$5:$AB$504,"&lt;="&amp;AB302)/$J$505,0))</f>
        <v>0.803446338704449</v>
      </c>
      <c r="M302" s="55" t="str">
        <f aca="false">IF($A302="","",IF(L302&lt;=Assumptions!$B$7,"A",IF(L302&lt;=Assumptions!$B$8,"B","C")))</f>
        <v>B</v>
      </c>
      <c r="N302" s="55" t="str">
        <f aca="false">IF($A302="","",IF(I302&lt;=Assumptions!$B$9,"X",IF(I302&lt;=Assumptions!$B$10,"Y","Z")))</f>
        <v>Y</v>
      </c>
      <c r="O302" s="56" t="str">
        <f aca="false">IF($A302="","",M302&amp;N302)</f>
        <v>BY</v>
      </c>
      <c r="P302" s="57" t="n">
        <f aca="false">IF($A302="","",INDEX(Assumptions!$B$35:$B$37,MATCH(M302,Assumptions!$A$35:$A$37,0)))</f>
        <v>0.95</v>
      </c>
      <c r="Q302" s="58" t="n">
        <f aca="false">IF($A302="","",NORMSINV(P302))</f>
        <v>1.64485362695147</v>
      </c>
      <c r="R302" s="48" t="n">
        <f aca="false">IF($A302="","",ROUNDUP(Q302*H302*SQRT(D302),0))</f>
        <v>349</v>
      </c>
      <c r="S302" s="48" t="n">
        <f aca="false">IF($A302="","",ROUNDUP(G302*D302+R302,0))</f>
        <v>823</v>
      </c>
      <c r="T302" s="46" t="n">
        <f aca="false">IF($A302="","",IFERROR(ROUND(SQRT(2*F302*Assumptions!$B$4/(Assumptions!$B$5*C302)),0),0))</f>
        <v>1813</v>
      </c>
      <c r="U302" s="53" t="n">
        <f aca="false">IF($A302="","",R302*C302)</f>
        <v>261.75</v>
      </c>
      <c r="V302" s="53" t="n">
        <f aca="false">IF($A302="","",E302*C302)</f>
        <v>1421.25</v>
      </c>
      <c r="W302" s="59" t="n">
        <f aca="false">IF($A302="","",IFERROR(E302/G302,0))</f>
        <v>15.9967532467532</v>
      </c>
      <c r="X302" s="48" t="n">
        <f aca="false">IF($A302="","",S302+T302)</f>
        <v>2636</v>
      </c>
      <c r="Y302" s="48" t="n">
        <f aca="false">IF($A302="","",MAX(0,E302-X302))</f>
        <v>0</v>
      </c>
      <c r="Z302" s="53" t="n">
        <f aca="false">IF($A302="","",Y302*C302)</f>
        <v>0</v>
      </c>
      <c r="AA302" s="56" t="str">
        <f aca="false">IF($A302="","",IF(E302&lt;=R302,"Below Safety Stock",IF(E302&lt;=S302,"Reorder Now",IF(E302&gt;X302,"Excess","Healthy"))))</f>
        <v>Healthy</v>
      </c>
      <c r="AB302" s="48" t="n">
        <f aca="false">IF($A302="","",RANK(AF302,$AF$5:$AF$504,0)+COUNTIF($AF$5:AF302,AF302)-1)</f>
        <v>293</v>
      </c>
      <c r="AC302" s="44" t="str">
        <f aca="false">IF($A302="","",Weekly_Demand!B302)</f>
        <v>SET/10 RED POLKADOT PARTY CANDLES</v>
      </c>
      <c r="AD302" s="59" t="n">
        <f aca="false">IF($A302="","",H302*SQRT(D302))</f>
        <v>211.99351138367</v>
      </c>
      <c r="AE302" s="53" t="n">
        <f aca="false">IF($A302="","",AD302*C302)</f>
        <v>158.995133537753</v>
      </c>
      <c r="AF302" s="53" t="n">
        <f aca="false">IF($A302="","",ROUND(J302,2))</f>
        <v>4620</v>
      </c>
    </row>
    <row r="303" customFormat="false" ht="15" hidden="false" customHeight="false" outlineLevel="0" collapsed="false">
      <c r="A303" s="44" t="str">
        <f aca="false">IF(Weekly_Demand!A303="","",Weekly_Demand!A303)</f>
        <v>22991</v>
      </c>
      <c r="B303" s="44" t="str">
        <f aca="false">IF($A303="","",Weekly_Demand!C303)</f>
        <v>Other</v>
      </c>
      <c r="C303" s="45" t="n">
        <f aca="false">IF($A303="","",Weekly_Demand!D303)</f>
        <v>1.17</v>
      </c>
      <c r="D303" s="46" t="n">
        <f aca="false">IF($A303="","",Weekly_Demand!E303+Assumptions!$B$19)</f>
        <v>8</v>
      </c>
      <c r="E303" s="46" t="n">
        <f aca="false">IF($A303="","",Weekly_Demand!F303)</f>
        <v>442</v>
      </c>
      <c r="F303" s="46" t="n">
        <f aca="false">IF($A303="","",SUM(Weekly_Demand!G303:BF303))</f>
        <v>3829</v>
      </c>
      <c r="G303" s="51" t="n">
        <f aca="false">IF($A303="","",IFERROR(F303/Assumptions!$B$6,0))</f>
        <v>73.6346153846154</v>
      </c>
      <c r="H303" s="51" t="n">
        <f aca="false">IF($A303="","",STDEV(Weekly_Demand!G303:BF303))</f>
        <v>113.449311277156</v>
      </c>
      <c r="I303" s="52" t="n">
        <f aca="false">IF($A303="","",IFERROR(H303/G303,0))</f>
        <v>1.54070623828992</v>
      </c>
      <c r="J303" s="53" t="n">
        <f aca="false">IF($A303="","",F303*C303)</f>
        <v>4479.93</v>
      </c>
      <c r="K303" s="54" t="n">
        <f aca="false">IF($A303="","",IFERROR(J303/$J$505,0))</f>
        <v>0.00115919248787191</v>
      </c>
      <c r="L303" s="54" t="n">
        <f aca="false">IF($A303="","",IFERROR(SUMIFS($J$5:$J$504,$AB$5:$AB$504,"&lt;="&amp;AB303)/$J$505,0))</f>
        <v>0.818733138696388</v>
      </c>
      <c r="M303" s="55" t="str">
        <f aca="false">IF($A303="","",IF(L303&lt;=Assumptions!$B$7,"A",IF(L303&lt;=Assumptions!$B$8,"B","C")))</f>
        <v>B</v>
      </c>
      <c r="N303" s="55" t="str">
        <f aca="false">IF($A303="","",IF(I303&lt;=Assumptions!$B$9,"X",IF(I303&lt;=Assumptions!$B$10,"Y","Z")))</f>
        <v>Z</v>
      </c>
      <c r="O303" s="56" t="str">
        <f aca="false">IF($A303="","",M303&amp;N303)</f>
        <v>BZ</v>
      </c>
      <c r="P303" s="57" t="n">
        <f aca="false">IF($A303="","",INDEX(Assumptions!$B$35:$B$37,MATCH(M303,Assumptions!$A$35:$A$37,0)))</f>
        <v>0.95</v>
      </c>
      <c r="Q303" s="58" t="n">
        <f aca="false">IF($A303="","",NORMSINV(P303))</f>
        <v>1.64485362695147</v>
      </c>
      <c r="R303" s="48" t="n">
        <f aca="false">IF($A303="","",ROUNDUP(Q303*H303*SQRT(D303),0))</f>
        <v>528</v>
      </c>
      <c r="S303" s="48" t="n">
        <f aca="false">IF($A303="","",ROUNDUP(G303*D303+R303,0))</f>
        <v>1118</v>
      </c>
      <c r="T303" s="46" t="n">
        <f aca="false">IF($A303="","",IFERROR(ROUND(SQRT(2*F303*Assumptions!$B$4/(Assumptions!$B$5*C303)),0),0))</f>
        <v>1144</v>
      </c>
      <c r="U303" s="53" t="n">
        <f aca="false">IF($A303="","",R303*C303)</f>
        <v>617.76</v>
      </c>
      <c r="V303" s="53" t="n">
        <f aca="false">IF($A303="","",E303*C303)</f>
        <v>517.14</v>
      </c>
      <c r="W303" s="59" t="n">
        <f aca="false">IF($A303="","",IFERROR(E303/G303,0))</f>
        <v>6.00261164794986</v>
      </c>
      <c r="X303" s="48" t="n">
        <f aca="false">IF($A303="","",S303+T303)</f>
        <v>2262</v>
      </c>
      <c r="Y303" s="48" t="n">
        <f aca="false">IF($A303="","",MAX(0,E303-X303))</f>
        <v>0</v>
      </c>
      <c r="Z303" s="53" t="n">
        <f aca="false">IF($A303="","",Y303*C303)</f>
        <v>0</v>
      </c>
      <c r="AA303" s="56" t="str">
        <f aca="false">IF($A303="","",IF(E303&lt;=R303,"Below Safety Stock",IF(E303&lt;=S303,"Reorder Now",IF(E303&gt;X303,"Excess","Healthy"))))</f>
        <v>Below Safety Stock</v>
      </c>
      <c r="AB303" s="48" t="n">
        <f aca="false">IF($A303="","",RANK(AF303,$AF$5:$AF$504,0)+COUNTIF($AF$5:AF303,AF303)-1)</f>
        <v>306</v>
      </c>
      <c r="AC303" s="44" t="str">
        <f aca="false">IF($A303="","",Weekly_Demand!B303)</f>
        <v>GIRAFFE WOODEN RULER</v>
      </c>
      <c r="AD303" s="59" t="n">
        <f aca="false">IF($A303="","",H303*SQRT(D303))</f>
        <v>320.883109300081</v>
      </c>
      <c r="AE303" s="53" t="n">
        <f aca="false">IF($A303="","",AD303*C303)</f>
        <v>375.433237881094</v>
      </c>
      <c r="AF303" s="53" t="n">
        <f aca="false">IF($A303="","",ROUND(J303,2))</f>
        <v>4479.93</v>
      </c>
    </row>
    <row r="304" customFormat="false" ht="15" hidden="false" customHeight="false" outlineLevel="0" collapsed="false">
      <c r="A304" s="44" t="str">
        <f aca="false">IF(Weekly_Demand!A304="","",Weekly_Demand!A304)</f>
        <v>22173</v>
      </c>
      <c r="B304" s="44" t="str">
        <f aca="false">IF($A304="","",Weekly_Demand!C304)</f>
        <v>Other</v>
      </c>
      <c r="C304" s="45" t="n">
        <f aca="false">IF($A304="","",Weekly_Demand!D304)</f>
        <v>1.77</v>
      </c>
      <c r="D304" s="46" t="n">
        <f aca="false">IF($A304="","",Weekly_Demand!E304+Assumptions!$B$19)</f>
        <v>4</v>
      </c>
      <c r="E304" s="46" t="n">
        <f aca="false">IF($A304="","",Weekly_Demand!F304)</f>
        <v>317</v>
      </c>
      <c r="F304" s="46" t="n">
        <f aca="false">IF($A304="","",SUM(Weekly_Demand!G304:BF304))</f>
        <v>2356</v>
      </c>
      <c r="G304" s="51" t="n">
        <f aca="false">IF($A304="","",IFERROR(F304/Assumptions!$B$6,0))</f>
        <v>45.3076923076923</v>
      </c>
      <c r="H304" s="51" t="n">
        <f aca="false">IF($A304="","",STDEV(Weekly_Demand!G304:BF304))</f>
        <v>30.7057754429118</v>
      </c>
      <c r="I304" s="52" t="n">
        <f aca="false">IF($A304="","",IFERROR(H304/G304,0))</f>
        <v>0.677716605700941</v>
      </c>
      <c r="J304" s="53" t="n">
        <f aca="false">IF($A304="","",F304*C304)</f>
        <v>4170.12</v>
      </c>
      <c r="K304" s="54" t="n">
        <f aca="false">IF($A304="","",IFERROR(J304/$J$505,0))</f>
        <v>0.00107902841730215</v>
      </c>
      <c r="L304" s="54" t="n">
        <f aca="false">IF($A304="","",IFERROR(SUMIFS($J$5:$J$504,$AB$5:$AB$504,"&lt;="&amp;AB304)/$J$505,0))</f>
        <v>0.860971426794376</v>
      </c>
      <c r="M304" s="55" t="str">
        <f aca="false">IF($A304="","",IF(L304&lt;=Assumptions!$B$7,"A",IF(L304&lt;=Assumptions!$B$8,"B","C")))</f>
        <v>B</v>
      </c>
      <c r="N304" s="55" t="str">
        <f aca="false">IF($A304="","",IF(I304&lt;=Assumptions!$B$9,"X",IF(I304&lt;=Assumptions!$B$10,"Y","Z")))</f>
        <v>Y</v>
      </c>
      <c r="O304" s="56" t="str">
        <f aca="false">IF($A304="","",M304&amp;N304)</f>
        <v>BY</v>
      </c>
      <c r="P304" s="57" t="n">
        <f aca="false">IF($A304="","",INDEX(Assumptions!$B$35:$B$37,MATCH(M304,Assumptions!$A$35:$A$37,0)))</f>
        <v>0.95</v>
      </c>
      <c r="Q304" s="58" t="n">
        <f aca="false">IF($A304="","",NORMSINV(P304))</f>
        <v>1.64485362695147</v>
      </c>
      <c r="R304" s="48" t="n">
        <f aca="false">IF($A304="","",ROUNDUP(Q304*H304*SQRT(D304),0))</f>
        <v>102</v>
      </c>
      <c r="S304" s="48" t="n">
        <f aca="false">IF($A304="","",ROUNDUP(G304*D304+R304,0))</f>
        <v>284</v>
      </c>
      <c r="T304" s="46" t="n">
        <f aca="false">IF($A304="","",IFERROR(ROUND(SQRT(2*F304*Assumptions!$B$4/(Assumptions!$B$5*C304)),0),0))</f>
        <v>730</v>
      </c>
      <c r="U304" s="53" t="n">
        <f aca="false">IF($A304="","",R304*C304)</f>
        <v>180.54</v>
      </c>
      <c r="V304" s="53" t="n">
        <f aca="false">IF($A304="","",E304*C304)</f>
        <v>561.09</v>
      </c>
      <c r="W304" s="59" t="n">
        <f aca="false">IF($A304="","",IFERROR(E304/G304,0))</f>
        <v>6.99660441426146</v>
      </c>
      <c r="X304" s="48" t="n">
        <f aca="false">IF($A304="","",S304+T304)</f>
        <v>1014</v>
      </c>
      <c r="Y304" s="48" t="n">
        <f aca="false">IF($A304="","",MAX(0,E304-X304))</f>
        <v>0</v>
      </c>
      <c r="Z304" s="53" t="n">
        <f aca="false">IF($A304="","",Y304*C304)</f>
        <v>0</v>
      </c>
      <c r="AA304" s="56" t="str">
        <f aca="false">IF($A304="","",IF(E304&lt;=R304,"Below Safety Stock",IF(E304&lt;=S304,"Reorder Now",IF(E304&gt;X304,"Excess","Healthy"))))</f>
        <v>Healthy</v>
      </c>
      <c r="AB304" s="48" t="n">
        <f aca="false">IF($A304="","",RANK(AF304,$AF$5:$AF$504,0)+COUNTIF($AF$5:AF304,AF304)-1)</f>
        <v>344</v>
      </c>
      <c r="AC304" s="44" t="str">
        <f aca="false">IF($A304="","",Weekly_Demand!B304)</f>
        <v>METAL 4 HOOK HANGER FRENCH CHATEAU</v>
      </c>
      <c r="AD304" s="59" t="n">
        <f aca="false">IF($A304="","",H304*SQRT(D304))</f>
        <v>61.4115508858237</v>
      </c>
      <c r="AE304" s="53" t="n">
        <f aca="false">IF($A304="","",AD304*C304)</f>
        <v>108.698445067908</v>
      </c>
      <c r="AF304" s="53" t="n">
        <f aca="false">IF($A304="","",ROUND(J304,2))</f>
        <v>4170.12</v>
      </c>
    </row>
    <row r="305" customFormat="false" ht="15" hidden="false" customHeight="false" outlineLevel="0" collapsed="false">
      <c r="A305" s="44" t="str">
        <f aca="false">IF(Weekly_Demand!A305="","",Weekly_Demand!A305)</f>
        <v>21908</v>
      </c>
      <c r="B305" s="44" t="str">
        <f aca="false">IF($A305="","",Weekly_Demand!C305)</f>
        <v>Other</v>
      </c>
      <c r="C305" s="45" t="n">
        <f aca="false">IF($A305="","",Weekly_Demand!D305)</f>
        <v>1.26</v>
      </c>
      <c r="D305" s="46" t="n">
        <f aca="false">IF($A305="","",Weekly_Demand!E305+Assumptions!$B$19)</f>
        <v>2</v>
      </c>
      <c r="E305" s="46" t="n">
        <f aca="false">IF($A305="","",Weekly_Demand!F305)</f>
        <v>910</v>
      </c>
      <c r="F305" s="46" t="n">
        <f aca="false">IF($A305="","",SUM(Weekly_Demand!G305:BF305))</f>
        <v>3642</v>
      </c>
      <c r="G305" s="51" t="n">
        <f aca="false">IF($A305="","",IFERROR(F305/Assumptions!$B$6,0))</f>
        <v>70.0384615384615</v>
      </c>
      <c r="H305" s="51" t="n">
        <f aca="false">IF($A305="","",STDEV(Weekly_Demand!G305:BF305))</f>
        <v>74.5575081471755</v>
      </c>
      <c r="I305" s="52" t="n">
        <f aca="false">IF($A305="","",IFERROR(H305/G305,0))</f>
        <v>1.06452235685149</v>
      </c>
      <c r="J305" s="53" t="n">
        <f aca="false">IF($A305="","",F305*C305)</f>
        <v>4588.92</v>
      </c>
      <c r="K305" s="54" t="n">
        <f aca="false">IF($A305="","",IFERROR(J305/$J$505,0))</f>
        <v>0.00118739390826311</v>
      </c>
      <c r="L305" s="54" t="n">
        <f aca="false">IF($A305="","",IFERROR(SUMIFS($J$5:$J$504,$AB$5:$AB$504,"&lt;="&amp;AB305)/$J$505,0))</f>
        <v>0.807014714960885</v>
      </c>
      <c r="M305" s="55" t="str">
        <f aca="false">IF($A305="","",IF(L305&lt;=Assumptions!$B$7,"A",IF(L305&lt;=Assumptions!$B$8,"B","C")))</f>
        <v>B</v>
      </c>
      <c r="N305" s="55" t="str">
        <f aca="false">IF($A305="","",IF(I305&lt;=Assumptions!$B$9,"X",IF(I305&lt;=Assumptions!$B$10,"Y","Z")))</f>
        <v>Z</v>
      </c>
      <c r="O305" s="56" t="str">
        <f aca="false">IF($A305="","",M305&amp;N305)</f>
        <v>BZ</v>
      </c>
      <c r="P305" s="57" t="n">
        <f aca="false">IF($A305="","",INDEX(Assumptions!$B$35:$B$37,MATCH(M305,Assumptions!$A$35:$A$37,0)))</f>
        <v>0.95</v>
      </c>
      <c r="Q305" s="58" t="n">
        <f aca="false">IF($A305="","",NORMSINV(P305))</f>
        <v>1.64485362695147</v>
      </c>
      <c r="R305" s="48" t="n">
        <f aca="false">IF($A305="","",ROUNDUP(Q305*H305*SQRT(D305),0))</f>
        <v>174</v>
      </c>
      <c r="S305" s="48" t="n">
        <f aca="false">IF($A305="","",ROUNDUP(G305*D305+R305,0))</f>
        <v>315</v>
      </c>
      <c r="T305" s="46" t="n">
        <f aca="false">IF($A305="","",IFERROR(ROUND(SQRT(2*F305*Assumptions!$B$4/(Assumptions!$B$5*C305)),0),0))</f>
        <v>1075</v>
      </c>
      <c r="U305" s="53" t="n">
        <f aca="false">IF($A305="","",R305*C305)</f>
        <v>219.24</v>
      </c>
      <c r="V305" s="53" t="n">
        <f aca="false">IF($A305="","",E305*C305)</f>
        <v>1146.6</v>
      </c>
      <c r="W305" s="59" t="n">
        <f aca="false">IF($A305="","",IFERROR(E305/G305,0))</f>
        <v>12.9928610653487</v>
      </c>
      <c r="X305" s="48" t="n">
        <f aca="false">IF($A305="","",S305+T305)</f>
        <v>1390</v>
      </c>
      <c r="Y305" s="48" t="n">
        <f aca="false">IF($A305="","",MAX(0,E305-X305))</f>
        <v>0</v>
      </c>
      <c r="Z305" s="53" t="n">
        <f aca="false">IF($A305="","",Y305*C305)</f>
        <v>0</v>
      </c>
      <c r="AA305" s="56" t="str">
        <f aca="false">IF($A305="","",IF(E305&lt;=R305,"Below Safety Stock",IF(E305&lt;=S305,"Reorder Now",IF(E305&gt;X305,"Excess","Healthy"))))</f>
        <v>Healthy</v>
      </c>
      <c r="AB305" s="48" t="n">
        <f aca="false">IF($A305="","",RANK(AF305,$AF$5:$AF$504,0)+COUNTIF($AF$5:AF305,AF305)-1)</f>
        <v>296</v>
      </c>
      <c r="AC305" s="44" t="str">
        <f aca="false">IF($A305="","",Weekly_Demand!B305)</f>
        <v>CHOCOLATE THIS WAY METAL SIGN</v>
      </c>
      <c r="AD305" s="59" t="n">
        <f aca="false">IF($A305="","",H305*SQRT(D305))</f>
        <v>105.440239198478</v>
      </c>
      <c r="AE305" s="53" t="n">
        <f aca="false">IF($A305="","",AD305*C305)</f>
        <v>132.854701390082</v>
      </c>
      <c r="AF305" s="53" t="n">
        <f aca="false">IF($A305="","",ROUND(J305,2))</f>
        <v>4588.92</v>
      </c>
    </row>
    <row r="306" customFormat="false" ht="15" hidden="false" customHeight="false" outlineLevel="0" collapsed="false">
      <c r="A306" s="44" t="str">
        <f aca="false">IF(Weekly_Demand!A306="","",Weekly_Demand!A306)</f>
        <v>21668</v>
      </c>
      <c r="B306" s="44" t="str">
        <f aca="false">IF($A306="","",Weekly_Demand!C306)</f>
        <v>Other</v>
      </c>
      <c r="C306" s="45" t="n">
        <f aca="false">IF($A306="","",Weekly_Demand!D306)</f>
        <v>0.75</v>
      </c>
      <c r="D306" s="46" t="n">
        <f aca="false">IF($A306="","",Weekly_Demand!E306+Assumptions!$B$19)</f>
        <v>2</v>
      </c>
      <c r="E306" s="46" t="n">
        <f aca="false">IF($A306="","",Weekly_Demand!F306)</f>
        <v>1156</v>
      </c>
      <c r="F306" s="46" t="n">
        <f aca="false">IF($A306="","",SUM(Weekly_Demand!G306:BF306))</f>
        <v>5467</v>
      </c>
      <c r="G306" s="51" t="n">
        <f aca="false">IF($A306="","",IFERROR(F306/Assumptions!$B$6,0))</f>
        <v>105.134615384615</v>
      </c>
      <c r="H306" s="51" t="n">
        <f aca="false">IF($A306="","",STDEV(Weekly_Demand!G306:BF306))</f>
        <v>67.4888600382384</v>
      </c>
      <c r="I306" s="52" t="n">
        <f aca="false">IF($A306="","",IFERROR(H306/G306,0))</f>
        <v>0.641928063286702</v>
      </c>
      <c r="J306" s="53" t="n">
        <f aca="false">IF($A306="","",F306*C306)</f>
        <v>4100.25</v>
      </c>
      <c r="K306" s="54" t="n">
        <f aca="false">IF($A306="","",IFERROR(J306/$J$505,0))</f>
        <v>0.00106094938947635</v>
      </c>
      <c r="L306" s="54" t="n">
        <f aca="false">IF($A306="","",IFERROR(SUMIFS($J$5:$J$504,$AB$5:$AB$504,"&lt;="&amp;AB306)/$J$505,0))</f>
        <v>0.871680724064304</v>
      </c>
      <c r="M306" s="55" t="str">
        <f aca="false">IF($A306="","",IF(L306&lt;=Assumptions!$B$7,"A",IF(L306&lt;=Assumptions!$B$8,"B","C")))</f>
        <v>B</v>
      </c>
      <c r="N306" s="55" t="str">
        <f aca="false">IF($A306="","",IF(I306&lt;=Assumptions!$B$9,"X",IF(I306&lt;=Assumptions!$B$10,"Y","Z")))</f>
        <v>Y</v>
      </c>
      <c r="O306" s="56" t="str">
        <f aca="false">IF($A306="","",M306&amp;N306)</f>
        <v>BY</v>
      </c>
      <c r="P306" s="57" t="n">
        <f aca="false">IF($A306="","",INDEX(Assumptions!$B$35:$B$37,MATCH(M306,Assumptions!$A$35:$A$37,0)))</f>
        <v>0.95</v>
      </c>
      <c r="Q306" s="58" t="n">
        <f aca="false">IF($A306="","",NORMSINV(P306))</f>
        <v>1.64485362695147</v>
      </c>
      <c r="R306" s="48" t="n">
        <f aca="false">IF($A306="","",ROUNDUP(Q306*H306*SQRT(D306),0))</f>
        <v>157</v>
      </c>
      <c r="S306" s="48" t="n">
        <f aca="false">IF($A306="","",ROUNDUP(G306*D306+R306,0))</f>
        <v>368</v>
      </c>
      <c r="T306" s="46" t="n">
        <f aca="false">IF($A306="","",IFERROR(ROUND(SQRT(2*F306*Assumptions!$B$4/(Assumptions!$B$5*C306)),0),0))</f>
        <v>1708</v>
      </c>
      <c r="U306" s="53" t="n">
        <f aca="false">IF($A306="","",R306*C306)</f>
        <v>117.75</v>
      </c>
      <c r="V306" s="53" t="n">
        <f aca="false">IF($A306="","",E306*C306)</f>
        <v>867</v>
      </c>
      <c r="W306" s="59" t="n">
        <f aca="false">IF($A306="","",IFERROR(E306/G306,0))</f>
        <v>10.9954271081032</v>
      </c>
      <c r="X306" s="48" t="n">
        <f aca="false">IF($A306="","",S306+T306)</f>
        <v>2076</v>
      </c>
      <c r="Y306" s="48" t="n">
        <f aca="false">IF($A306="","",MAX(0,E306-X306))</f>
        <v>0</v>
      </c>
      <c r="Z306" s="53" t="n">
        <f aca="false">IF($A306="","",Y306*C306)</f>
        <v>0</v>
      </c>
      <c r="AA306" s="56" t="str">
        <f aca="false">IF($A306="","",IF(E306&lt;=R306,"Below Safety Stock",IF(E306&lt;=S306,"Reorder Now",IF(E306&gt;X306,"Excess","Healthy"))))</f>
        <v>Healthy</v>
      </c>
      <c r="AB306" s="48" t="n">
        <f aca="false">IF($A306="","",RANK(AF306,$AF$5:$AF$504,0)+COUNTIF($AF$5:AF306,AF306)-1)</f>
        <v>354</v>
      </c>
      <c r="AC306" s="44" t="str">
        <f aca="false">IF($A306="","",Weekly_Demand!B306)</f>
        <v>RED STRIPE CERAMIC DRAWER KNOB</v>
      </c>
      <c r="AD306" s="59" t="n">
        <f aca="false">IF($A306="","",H306*SQRT(D306))</f>
        <v>95.4436611751764</v>
      </c>
      <c r="AE306" s="53" t="n">
        <f aca="false">IF($A306="","",AD306*C306)</f>
        <v>71.5827458813823</v>
      </c>
      <c r="AF306" s="53" t="n">
        <f aca="false">IF($A306="","",ROUND(J306,2))</f>
        <v>4100.25</v>
      </c>
    </row>
    <row r="307" customFormat="false" ht="15" hidden="false" customHeight="false" outlineLevel="0" collapsed="false">
      <c r="A307" s="44" t="str">
        <f aca="false">IF(Weekly_Demand!A307="","",Weekly_Demand!A307)</f>
        <v>23204</v>
      </c>
      <c r="B307" s="44" t="str">
        <f aca="false">IF($A307="","",Weekly_Demand!C307)</f>
        <v>Bags</v>
      </c>
      <c r="C307" s="45" t="n">
        <f aca="false">IF($A307="","",Weekly_Demand!D307)</f>
        <v>0.51</v>
      </c>
      <c r="D307" s="46" t="n">
        <f aca="false">IF($A307="","",Weekly_Demand!E307+Assumptions!$B$19)</f>
        <v>2</v>
      </c>
      <c r="E307" s="46" t="n">
        <f aca="false">IF($A307="","",Weekly_Demand!F307)</f>
        <v>592</v>
      </c>
      <c r="F307" s="46" t="n">
        <f aca="false">IF($A307="","",SUM(Weekly_Demand!G307:BF307))</f>
        <v>7699</v>
      </c>
      <c r="G307" s="51" t="n">
        <f aca="false">IF($A307="","",IFERROR(F307/Assumptions!$B$6,0))</f>
        <v>148.057692307692</v>
      </c>
      <c r="H307" s="51" t="n">
        <f aca="false">IF($A307="","",STDEV(Weekly_Demand!G307:BF307))</f>
        <v>141.786142947134</v>
      </c>
      <c r="I307" s="52" t="n">
        <f aca="false">IF($A307="","",IFERROR(H307/G307,0))</f>
        <v>0.957641178497331</v>
      </c>
      <c r="J307" s="53" t="n">
        <f aca="false">IF($A307="","",F307*C307)</f>
        <v>3926.49</v>
      </c>
      <c r="K307" s="54" t="n">
        <f aca="false">IF($A307="","",IFERROR(J307/$J$505,0))</f>
        <v>0.00101598857832693</v>
      </c>
      <c r="L307" s="54" t="n">
        <f aca="false">IF($A307="","",IFERROR(SUMIFS($J$5:$J$504,$AB$5:$AB$504,"&lt;="&amp;AB307)/$J$505,0))</f>
        <v>0.887224114287662</v>
      </c>
      <c r="M307" s="55" t="str">
        <f aca="false">IF($A307="","",IF(L307&lt;=Assumptions!$B$7,"A",IF(L307&lt;=Assumptions!$B$8,"B","C")))</f>
        <v>B</v>
      </c>
      <c r="N307" s="55" t="str">
        <f aca="false">IF($A307="","",IF(I307&lt;=Assumptions!$B$9,"X",IF(I307&lt;=Assumptions!$B$10,"Y","Z")))</f>
        <v>Y</v>
      </c>
      <c r="O307" s="56" t="str">
        <f aca="false">IF($A307="","",M307&amp;N307)</f>
        <v>BY</v>
      </c>
      <c r="P307" s="57" t="n">
        <f aca="false">IF($A307="","",INDEX(Assumptions!$B$35:$B$37,MATCH(M307,Assumptions!$A$35:$A$37,0)))</f>
        <v>0.95</v>
      </c>
      <c r="Q307" s="58" t="n">
        <f aca="false">IF($A307="","",NORMSINV(P307))</f>
        <v>1.64485362695147</v>
      </c>
      <c r="R307" s="48" t="n">
        <f aca="false">IF($A307="","",ROUNDUP(Q307*H307*SQRT(D307),0))</f>
        <v>330</v>
      </c>
      <c r="S307" s="48" t="n">
        <f aca="false">IF($A307="","",ROUNDUP(G307*D307+R307,0))</f>
        <v>627</v>
      </c>
      <c r="T307" s="46" t="n">
        <f aca="false">IF($A307="","",IFERROR(ROUND(SQRT(2*F307*Assumptions!$B$4/(Assumptions!$B$5*C307)),0),0))</f>
        <v>2457</v>
      </c>
      <c r="U307" s="53" t="n">
        <f aca="false">IF($A307="","",R307*C307)</f>
        <v>168.3</v>
      </c>
      <c r="V307" s="53" t="n">
        <f aca="false">IF($A307="","",E307*C307)</f>
        <v>301.92</v>
      </c>
      <c r="W307" s="59" t="n">
        <f aca="false">IF($A307="","",IFERROR(E307/G307,0))</f>
        <v>3.99844135602026</v>
      </c>
      <c r="X307" s="48" t="n">
        <f aca="false">IF($A307="","",S307+T307)</f>
        <v>3084</v>
      </c>
      <c r="Y307" s="48" t="n">
        <f aca="false">IF($A307="","",MAX(0,E307-X307))</f>
        <v>0</v>
      </c>
      <c r="Z307" s="53" t="n">
        <f aca="false">IF($A307="","",Y307*C307)</f>
        <v>0</v>
      </c>
      <c r="AA307" s="56" t="str">
        <f aca="false">IF($A307="","",IF(E307&lt;=R307,"Below Safety Stock",IF(E307&lt;=S307,"Reorder Now",IF(E307&gt;X307,"Excess","Healthy"))))</f>
        <v>Reorder Now</v>
      </c>
      <c r="AB307" s="48" t="n">
        <f aca="false">IF($A307="","",RANK(AF307,$AF$5:$AF$504,0)+COUNTIF($AF$5:AF307,AF307)-1)</f>
        <v>369</v>
      </c>
      <c r="AC307" s="44" t="str">
        <f aca="false">IF($A307="","",Weekly_Demand!B307)</f>
        <v>CHARLOTTE BAG APPLES DESIGN</v>
      </c>
      <c r="AD307" s="59" t="n">
        <f aca="false">IF($A307="","",H307*SQRT(D307))</f>
        <v>200.515886312407</v>
      </c>
      <c r="AE307" s="53" t="n">
        <f aca="false">IF($A307="","",AD307*C307)</f>
        <v>102.263102019328</v>
      </c>
      <c r="AF307" s="53" t="n">
        <f aca="false">IF($A307="","",ROUND(J307,2))</f>
        <v>3926.49</v>
      </c>
    </row>
    <row r="308" customFormat="false" ht="15" hidden="false" customHeight="false" outlineLevel="0" collapsed="false">
      <c r="A308" s="44" t="str">
        <f aca="false">IF(Weekly_Demand!A308="","",Weekly_Demand!A308)</f>
        <v>22557</v>
      </c>
      <c r="B308" s="44" t="str">
        <f aca="false">IF($A308="","",Weekly_Demand!C308)</f>
        <v>Kitchen</v>
      </c>
      <c r="C308" s="45" t="n">
        <f aca="false">IF($A308="","",Weekly_Demand!D308)</f>
        <v>0.99</v>
      </c>
      <c r="D308" s="46" t="n">
        <f aca="false">IF($A308="","",Weekly_Demand!E308+Assumptions!$B$19)</f>
        <v>4</v>
      </c>
      <c r="E308" s="46" t="n">
        <f aca="false">IF($A308="","",Weekly_Demand!F308)</f>
        <v>1301</v>
      </c>
      <c r="F308" s="46" t="n">
        <f aca="false">IF($A308="","",SUM(Weekly_Demand!G308:BF308))</f>
        <v>4510</v>
      </c>
      <c r="G308" s="51" t="n">
        <f aca="false">IF($A308="","",IFERROR(F308/Assumptions!$B$6,0))</f>
        <v>86.7307692307692</v>
      </c>
      <c r="H308" s="51" t="n">
        <f aca="false">IF($A308="","",STDEV(Weekly_Demand!G308:BF308))</f>
        <v>65.1550534914608</v>
      </c>
      <c r="I308" s="52" t="n">
        <f aca="false">IF($A308="","",IFERROR(H308/G308,0))</f>
        <v>0.751233432717508</v>
      </c>
      <c r="J308" s="53" t="n">
        <f aca="false">IF($A308="","",F308*C308)</f>
        <v>4464.9</v>
      </c>
      <c r="K308" s="54" t="n">
        <f aca="false">IF($A308="","",IFERROR(J308/$J$505,0))</f>
        <v>0.00115530343980805</v>
      </c>
      <c r="L308" s="54" t="n">
        <f aca="false">IF($A308="","",IFERROR(SUMIFS($J$5:$J$504,$AB$5:$AB$504,"&lt;="&amp;AB308)/$J$505,0))</f>
        <v>0.819888442136196</v>
      </c>
      <c r="M308" s="55" t="str">
        <f aca="false">IF($A308="","",IF(L308&lt;=Assumptions!$B$7,"A",IF(L308&lt;=Assumptions!$B$8,"B","C")))</f>
        <v>B</v>
      </c>
      <c r="N308" s="55" t="str">
        <f aca="false">IF($A308="","",IF(I308&lt;=Assumptions!$B$9,"X",IF(I308&lt;=Assumptions!$B$10,"Y","Z")))</f>
        <v>Y</v>
      </c>
      <c r="O308" s="56" t="str">
        <f aca="false">IF($A308="","",M308&amp;N308)</f>
        <v>BY</v>
      </c>
      <c r="P308" s="57" t="n">
        <f aca="false">IF($A308="","",INDEX(Assumptions!$B$35:$B$37,MATCH(M308,Assumptions!$A$35:$A$37,0)))</f>
        <v>0.95</v>
      </c>
      <c r="Q308" s="58" t="n">
        <f aca="false">IF($A308="","",NORMSINV(P308))</f>
        <v>1.64485362695147</v>
      </c>
      <c r="R308" s="48" t="n">
        <f aca="false">IF($A308="","",ROUNDUP(Q308*H308*SQRT(D308),0))</f>
        <v>215</v>
      </c>
      <c r="S308" s="48" t="n">
        <f aca="false">IF($A308="","",ROUNDUP(G308*D308+R308,0))</f>
        <v>562</v>
      </c>
      <c r="T308" s="46" t="n">
        <f aca="false">IF($A308="","",IFERROR(ROUND(SQRT(2*F308*Assumptions!$B$4/(Assumptions!$B$5*C308)),0),0))</f>
        <v>1350</v>
      </c>
      <c r="U308" s="53" t="n">
        <f aca="false">IF($A308="","",R308*C308)</f>
        <v>212.85</v>
      </c>
      <c r="V308" s="53" t="n">
        <f aca="false">IF($A308="","",E308*C308)</f>
        <v>1287.99</v>
      </c>
      <c r="W308" s="59" t="n">
        <f aca="false">IF($A308="","",IFERROR(E308/G308,0))</f>
        <v>15.00044345898</v>
      </c>
      <c r="X308" s="48" t="n">
        <f aca="false">IF($A308="","",S308+T308)</f>
        <v>1912</v>
      </c>
      <c r="Y308" s="48" t="n">
        <f aca="false">IF($A308="","",MAX(0,E308-X308))</f>
        <v>0</v>
      </c>
      <c r="Z308" s="53" t="n">
        <f aca="false">IF($A308="","",Y308*C308)</f>
        <v>0</v>
      </c>
      <c r="AA308" s="56" t="str">
        <f aca="false">IF($A308="","",IF(E308&lt;=R308,"Below Safety Stock",IF(E308&lt;=S308,"Reorder Now",IF(E308&gt;X308,"Excess","Healthy"))))</f>
        <v>Healthy</v>
      </c>
      <c r="AB308" s="48" t="n">
        <f aca="false">IF($A308="","",RANK(AF308,$AF$5:$AF$504,0)+COUNTIF($AF$5:AF308,AF308)-1)</f>
        <v>307</v>
      </c>
      <c r="AC308" s="44" t="str">
        <f aca="false">IF($A308="","",Weekly_Demand!B308)</f>
        <v>PLASTERS IN TIN VINTAGE PAISLEY</v>
      </c>
      <c r="AD308" s="59" t="n">
        <f aca="false">IF($A308="","",H308*SQRT(D308))</f>
        <v>130.310106982922</v>
      </c>
      <c r="AE308" s="53" t="n">
        <f aca="false">IF($A308="","",AD308*C308)</f>
        <v>129.007005913092</v>
      </c>
      <c r="AF308" s="53" t="n">
        <f aca="false">IF($A308="","",ROUND(J308,2))</f>
        <v>4464.9</v>
      </c>
    </row>
    <row r="309" customFormat="false" ht="15" hidden="false" customHeight="false" outlineLevel="0" collapsed="false">
      <c r="A309" s="44" t="str">
        <f aca="false">IF(Weekly_Demand!A309="","",Weekly_Demand!A309)</f>
        <v>48111</v>
      </c>
      <c r="B309" s="44" t="str">
        <f aca="false">IF($A309="","",Weekly_Demand!C309)</f>
        <v>Other</v>
      </c>
      <c r="C309" s="45" t="n">
        <f aca="false">IF($A309="","",Weekly_Demand!D309)</f>
        <v>4.77</v>
      </c>
      <c r="D309" s="46" t="n">
        <f aca="false">IF($A309="","",Weekly_Demand!E309+Assumptions!$B$19)</f>
        <v>8</v>
      </c>
      <c r="E309" s="46" t="n">
        <f aca="false">IF($A309="","",Weekly_Demand!F309)</f>
        <v>284</v>
      </c>
      <c r="F309" s="46" t="n">
        <f aca="false">IF($A309="","",SUM(Weekly_Demand!G309:BF309))</f>
        <v>1136</v>
      </c>
      <c r="G309" s="51" t="n">
        <f aca="false">IF($A309="","",IFERROR(F309/Assumptions!$B$6,0))</f>
        <v>21.8461538461538</v>
      </c>
      <c r="H309" s="51" t="n">
        <f aca="false">IF($A309="","",STDEV(Weekly_Demand!G309:BF309))</f>
        <v>71.5068581971741</v>
      </c>
      <c r="I309" s="52" t="n">
        <f aca="false">IF($A309="","",IFERROR(H309/G309,0))</f>
        <v>3.27320125550445</v>
      </c>
      <c r="J309" s="53" t="n">
        <f aca="false">IF($A309="","",F309*C309)</f>
        <v>5418.72</v>
      </c>
      <c r="K309" s="54" t="n">
        <f aca="false">IF($A309="","",IFERROR(J309/$J$505,0))</f>
        <v>0.00140210662172875</v>
      </c>
      <c r="L309" s="54" t="n">
        <f aca="false">IF($A309="","",IFERROR(SUMIFS($J$5:$J$504,$AB$5:$AB$504,"&lt;="&amp;AB309)/$J$505,0))</f>
        <v>0.734897685658237</v>
      </c>
      <c r="M309" s="55" t="str">
        <f aca="false">IF($A309="","",IF(L309&lt;=Assumptions!$B$7,"A",IF(L309&lt;=Assumptions!$B$8,"B","C")))</f>
        <v>A</v>
      </c>
      <c r="N309" s="55" t="str">
        <f aca="false">IF($A309="","",IF(I309&lt;=Assumptions!$B$9,"X",IF(I309&lt;=Assumptions!$B$10,"Y","Z")))</f>
        <v>Z</v>
      </c>
      <c r="O309" s="56" t="str">
        <f aca="false">IF($A309="","",M309&amp;N309)</f>
        <v>AZ</v>
      </c>
      <c r="P309" s="57" t="n">
        <f aca="false">IF($A309="","",INDEX(Assumptions!$B$35:$B$37,MATCH(M309,Assumptions!$A$35:$A$37,0)))</f>
        <v>0.98</v>
      </c>
      <c r="Q309" s="58" t="n">
        <f aca="false">IF($A309="","",NORMSINV(P309))</f>
        <v>2.05374891063182</v>
      </c>
      <c r="R309" s="48" t="n">
        <f aca="false">IF($A309="","",ROUNDUP(Q309*H309*SQRT(D309),0))</f>
        <v>416</v>
      </c>
      <c r="S309" s="48" t="n">
        <f aca="false">IF($A309="","",ROUNDUP(G309*D309+R309,0))</f>
        <v>591</v>
      </c>
      <c r="T309" s="46" t="n">
        <f aca="false">IF($A309="","",IFERROR(ROUND(SQRT(2*F309*Assumptions!$B$4/(Assumptions!$B$5*C309)),0),0))</f>
        <v>309</v>
      </c>
      <c r="U309" s="53" t="n">
        <f aca="false">IF($A309="","",R309*C309)</f>
        <v>1984.32</v>
      </c>
      <c r="V309" s="53" t="n">
        <f aca="false">IF($A309="","",E309*C309)</f>
        <v>1354.68</v>
      </c>
      <c r="W309" s="59" t="n">
        <f aca="false">IF($A309="","",IFERROR(E309/G309,0))</f>
        <v>13</v>
      </c>
      <c r="X309" s="48" t="n">
        <f aca="false">IF($A309="","",S309+T309)</f>
        <v>900</v>
      </c>
      <c r="Y309" s="48" t="n">
        <f aca="false">IF($A309="","",MAX(0,E309-X309))</f>
        <v>0</v>
      </c>
      <c r="Z309" s="53" t="n">
        <f aca="false">IF($A309="","",Y309*C309)</f>
        <v>0</v>
      </c>
      <c r="AA309" s="56" t="str">
        <f aca="false">IF($A309="","",IF(E309&lt;=R309,"Below Safety Stock",IF(E309&lt;=S309,"Reorder Now",IF(E309&gt;X309,"Excess","Healthy"))))</f>
        <v>Below Safety Stock</v>
      </c>
      <c r="AB309" s="48" t="n">
        <f aca="false">IF($A309="","",RANK(AF309,$AF$5:$AF$504,0)+COUNTIF($AF$5:AF309,AF309)-1)</f>
        <v>240</v>
      </c>
      <c r="AC309" s="44" t="str">
        <f aca="false">IF($A309="","",Weekly_Demand!B309)</f>
        <v>DOORMAT 3 SMILEY CATS</v>
      </c>
      <c r="AD309" s="59" t="n">
        <f aca="false">IF($A309="","",H309*SQRT(D309))</f>
        <v>202.251937330267</v>
      </c>
      <c r="AE309" s="53" t="n">
        <f aca="false">IF($A309="","",AD309*C309)</f>
        <v>964.741741065372</v>
      </c>
      <c r="AF309" s="53" t="n">
        <f aca="false">IF($A309="","",ROUND(J309,2))</f>
        <v>5418.72</v>
      </c>
    </row>
    <row r="310" customFormat="false" ht="15" hidden="false" customHeight="false" outlineLevel="0" collapsed="false">
      <c r="A310" s="44" t="str">
        <f aca="false">IF(Weekly_Demand!A310="","",Weekly_Demand!A310)</f>
        <v>21955</v>
      </c>
      <c r="B310" s="44" t="str">
        <f aca="false">IF($A310="","",Weekly_Demand!C310)</f>
        <v>Other</v>
      </c>
      <c r="C310" s="45" t="n">
        <f aca="false">IF($A310="","",Weekly_Demand!D310)</f>
        <v>4.77</v>
      </c>
      <c r="D310" s="46" t="n">
        <f aca="false">IF($A310="","",Weekly_Demand!E310+Assumptions!$B$19)</f>
        <v>8</v>
      </c>
      <c r="E310" s="46" t="n">
        <f aca="false">IF($A310="","",Weekly_Demand!F310)</f>
        <v>810</v>
      </c>
      <c r="F310" s="46" t="n">
        <f aca="false">IF($A310="","",SUM(Weekly_Demand!G310:BF310))</f>
        <v>1204</v>
      </c>
      <c r="G310" s="51" t="n">
        <f aca="false">IF($A310="","",IFERROR(F310/Assumptions!$B$6,0))</f>
        <v>23.1538461538462</v>
      </c>
      <c r="H310" s="51" t="n">
        <f aca="false">IF($A310="","",STDEV(Weekly_Demand!G310:BF310))</f>
        <v>71.7452969328016</v>
      </c>
      <c r="I310" s="52" t="n">
        <f aca="false">IF($A310="","",IFERROR(H310/G310,0))</f>
        <v>3.09863408679874</v>
      </c>
      <c r="J310" s="53" t="n">
        <f aca="false">IF($A310="","",F310*C310)</f>
        <v>5743.08</v>
      </c>
      <c r="K310" s="54" t="n">
        <f aca="false">IF($A310="","",IFERROR(J310/$J$505,0))</f>
        <v>0.0014860355392266</v>
      </c>
      <c r="L310" s="54" t="n">
        <f aca="false">IF($A310="","",IFERROR(SUMIFS($J$5:$J$504,$AB$5:$AB$504,"&lt;="&amp;AB310)/$J$505,0))</f>
        <v>0.714788149354219</v>
      </c>
      <c r="M310" s="55" t="str">
        <f aca="false">IF($A310="","",IF(L310&lt;=Assumptions!$B$7,"A",IF(L310&lt;=Assumptions!$B$8,"B","C")))</f>
        <v>A</v>
      </c>
      <c r="N310" s="55" t="str">
        <f aca="false">IF($A310="","",IF(I310&lt;=Assumptions!$B$9,"X",IF(I310&lt;=Assumptions!$B$10,"Y","Z")))</f>
        <v>Z</v>
      </c>
      <c r="O310" s="56" t="str">
        <f aca="false">IF($A310="","",M310&amp;N310)</f>
        <v>AZ</v>
      </c>
      <c r="P310" s="57" t="n">
        <f aca="false">IF($A310="","",INDEX(Assumptions!$B$35:$B$37,MATCH(M310,Assumptions!$A$35:$A$37,0)))</f>
        <v>0.98</v>
      </c>
      <c r="Q310" s="58" t="n">
        <f aca="false">IF($A310="","",NORMSINV(P310))</f>
        <v>2.05374891063182</v>
      </c>
      <c r="R310" s="48" t="n">
        <f aca="false">IF($A310="","",ROUNDUP(Q310*H310*SQRT(D310),0))</f>
        <v>417</v>
      </c>
      <c r="S310" s="48" t="n">
        <f aca="false">IF($A310="","",ROUNDUP(G310*D310+R310,0))</f>
        <v>603</v>
      </c>
      <c r="T310" s="46" t="n">
        <f aca="false">IF($A310="","",IFERROR(ROUND(SQRT(2*F310*Assumptions!$B$4/(Assumptions!$B$5*C310)),0),0))</f>
        <v>318</v>
      </c>
      <c r="U310" s="53" t="n">
        <f aca="false">IF($A310="","",R310*C310)</f>
        <v>1989.09</v>
      </c>
      <c r="V310" s="53" t="n">
        <f aca="false">IF($A310="","",E310*C310)</f>
        <v>3863.7</v>
      </c>
      <c r="W310" s="59" t="n">
        <f aca="false">IF($A310="","",IFERROR(E310/G310,0))</f>
        <v>34.9833887043189</v>
      </c>
      <c r="X310" s="48" t="n">
        <f aca="false">IF($A310="","",S310+T310)</f>
        <v>921</v>
      </c>
      <c r="Y310" s="48" t="n">
        <f aca="false">IF($A310="","",MAX(0,E310-X310))</f>
        <v>0</v>
      </c>
      <c r="Z310" s="53" t="n">
        <f aca="false">IF($A310="","",Y310*C310)</f>
        <v>0</v>
      </c>
      <c r="AA310" s="56" t="str">
        <f aca="false">IF($A310="","",IF(E310&lt;=R310,"Below Safety Stock",IF(E310&lt;=S310,"Reorder Now",IF(E310&gt;X310,"Excess","Healthy"))))</f>
        <v>Healthy</v>
      </c>
      <c r="AB310" s="48" t="n">
        <f aca="false">IF($A310="","",RANK(AF310,$AF$5:$AF$504,0)+COUNTIF($AF$5:AF310,AF310)-1)</f>
        <v>226</v>
      </c>
      <c r="AC310" s="44" t="str">
        <f aca="false">IF($A310="","",Weekly_Demand!B310)</f>
        <v>DOORMAT UNION JACK GUNS AND ROSES</v>
      </c>
      <c r="AD310" s="59" t="n">
        <f aca="false">IF($A310="","",H310*SQRT(D310))</f>
        <v>202.926343917706</v>
      </c>
      <c r="AE310" s="53" t="n">
        <f aca="false">IF($A310="","",AD310*C310)</f>
        <v>967.958660487456</v>
      </c>
      <c r="AF310" s="53" t="n">
        <f aca="false">IF($A310="","",ROUND(J310,2))</f>
        <v>5743.08</v>
      </c>
    </row>
    <row r="311" customFormat="false" ht="15" hidden="false" customHeight="false" outlineLevel="0" collapsed="false">
      <c r="A311" s="44" t="str">
        <f aca="false">IF(Weekly_Demand!A311="","",Weekly_Demand!A311)</f>
        <v>22909</v>
      </c>
      <c r="B311" s="44" t="str">
        <f aca="false">IF($A311="","",Weekly_Demand!C311)</f>
        <v>Other</v>
      </c>
      <c r="C311" s="45" t="n">
        <f aca="false">IF($A311="","",Weekly_Demand!D311)</f>
        <v>0.51</v>
      </c>
      <c r="D311" s="46" t="n">
        <f aca="false">IF($A311="","",Weekly_Demand!E311+Assumptions!$B$19)</f>
        <v>4</v>
      </c>
      <c r="E311" s="46" t="n">
        <f aca="false">IF($A311="","",Weekly_Demand!F311)</f>
        <v>5184</v>
      </c>
      <c r="F311" s="46" t="n">
        <f aca="false">IF($A311="","",SUM(Weekly_Demand!G311:BF311))</f>
        <v>8168</v>
      </c>
      <c r="G311" s="51" t="n">
        <f aca="false">IF($A311="","",IFERROR(F311/Assumptions!$B$6,0))</f>
        <v>157.076923076923</v>
      </c>
      <c r="H311" s="51" t="n">
        <f aca="false">IF($A311="","",STDEV(Weekly_Demand!G311:BF311))</f>
        <v>237.158658414436</v>
      </c>
      <c r="I311" s="52" t="n">
        <f aca="false">IF($A311="","",IFERROR(H311/G311,0))</f>
        <v>1.50982495562569</v>
      </c>
      <c r="J311" s="53" t="n">
        <f aca="false">IF($A311="","",F311*C311)</f>
        <v>4165.68</v>
      </c>
      <c r="K311" s="54" t="n">
        <f aca="false">IF($A311="","",IFERROR(J311/$J$505,0))</f>
        <v>0.00107787955679626</v>
      </c>
      <c r="L311" s="54" t="n">
        <f aca="false">IF($A311="","",IFERROR(SUMIFS($J$5:$J$504,$AB$5:$AB$504,"&lt;="&amp;AB311)/$J$505,0))</f>
        <v>0.862049306351173</v>
      </c>
      <c r="M311" s="55" t="str">
        <f aca="false">IF($A311="","",IF(L311&lt;=Assumptions!$B$7,"A",IF(L311&lt;=Assumptions!$B$8,"B","C")))</f>
        <v>B</v>
      </c>
      <c r="N311" s="55" t="str">
        <f aca="false">IF($A311="","",IF(I311&lt;=Assumptions!$B$9,"X",IF(I311&lt;=Assumptions!$B$10,"Y","Z")))</f>
        <v>Z</v>
      </c>
      <c r="O311" s="56" t="str">
        <f aca="false">IF($A311="","",M311&amp;N311)</f>
        <v>BZ</v>
      </c>
      <c r="P311" s="57" t="n">
        <f aca="false">IF($A311="","",INDEX(Assumptions!$B$35:$B$37,MATCH(M311,Assumptions!$A$35:$A$37,0)))</f>
        <v>0.95</v>
      </c>
      <c r="Q311" s="58" t="n">
        <f aca="false">IF($A311="","",NORMSINV(P311))</f>
        <v>1.64485362695147</v>
      </c>
      <c r="R311" s="48" t="n">
        <f aca="false">IF($A311="","",ROUNDUP(Q311*H311*SQRT(D311),0))</f>
        <v>781</v>
      </c>
      <c r="S311" s="48" t="n">
        <f aca="false">IF($A311="","",ROUNDUP(G311*D311+R311,0))</f>
        <v>1410</v>
      </c>
      <c r="T311" s="46" t="n">
        <f aca="false">IF($A311="","",IFERROR(ROUND(SQRT(2*F311*Assumptions!$B$4/(Assumptions!$B$5*C311)),0),0))</f>
        <v>2531</v>
      </c>
      <c r="U311" s="53" t="n">
        <f aca="false">IF($A311="","",R311*C311)</f>
        <v>398.31</v>
      </c>
      <c r="V311" s="53" t="n">
        <f aca="false">IF($A311="","",E311*C311)</f>
        <v>2643.84</v>
      </c>
      <c r="W311" s="59" t="n">
        <f aca="false">IF($A311="","",IFERROR(E311/G311,0))</f>
        <v>33.0029382957885</v>
      </c>
      <c r="X311" s="48" t="n">
        <f aca="false">IF($A311="","",S311+T311)</f>
        <v>3941</v>
      </c>
      <c r="Y311" s="48" t="n">
        <f aca="false">IF($A311="","",MAX(0,E311-X311))</f>
        <v>1243</v>
      </c>
      <c r="Z311" s="53" t="n">
        <f aca="false">IF($A311="","",Y311*C311)</f>
        <v>633.93</v>
      </c>
      <c r="AA311" s="56" t="str">
        <f aca="false">IF($A311="","",IF(E311&lt;=R311,"Below Safety Stock",IF(E311&lt;=S311,"Reorder Now",IF(E311&gt;X311,"Excess","Healthy"))))</f>
        <v>Excess</v>
      </c>
      <c r="AB311" s="48" t="n">
        <f aca="false">IF($A311="","",RANK(AF311,$AF$5:$AF$504,0)+COUNTIF($AF$5:AF311,AF311)-1)</f>
        <v>345</v>
      </c>
      <c r="AC311" s="44" t="str">
        <f aca="false">IF($A311="","",Weekly_Demand!B311)</f>
        <v>SET OF 20 VINTAGE CHRISTMAS NAPKINS</v>
      </c>
      <c r="AD311" s="59" t="n">
        <f aca="false">IF($A311="","",H311*SQRT(D311))</f>
        <v>474.317316828872</v>
      </c>
      <c r="AE311" s="53" t="n">
        <f aca="false">IF($A311="","",AD311*C311)</f>
        <v>241.901831582725</v>
      </c>
      <c r="AF311" s="53" t="n">
        <f aca="false">IF($A311="","",ROUND(J311,2))</f>
        <v>4165.68</v>
      </c>
    </row>
    <row r="312" customFormat="false" ht="15" hidden="false" customHeight="false" outlineLevel="0" collapsed="false">
      <c r="A312" s="44" t="str">
        <f aca="false">IF(Weekly_Demand!A312="","",Weekly_Demand!A312)</f>
        <v>21231</v>
      </c>
      <c r="B312" s="44" t="str">
        <f aca="false">IF($A312="","",Weekly_Demand!C312)</f>
        <v>Other</v>
      </c>
      <c r="C312" s="45" t="n">
        <f aca="false">IF($A312="","",Weekly_Demand!D312)</f>
        <v>0.75</v>
      </c>
      <c r="D312" s="46" t="n">
        <f aca="false">IF($A312="","",Weekly_Demand!E312+Assumptions!$B$19)</f>
        <v>8</v>
      </c>
      <c r="E312" s="46" t="n">
        <f aca="false">IF($A312="","",Weekly_Demand!F312)</f>
        <v>337</v>
      </c>
      <c r="F312" s="46" t="n">
        <f aca="false">IF($A312="","",SUM(Weekly_Demand!G312:BF312))</f>
        <v>5846</v>
      </c>
      <c r="G312" s="51" t="n">
        <f aca="false">IF($A312="","",IFERROR(F312/Assumptions!$B$6,0))</f>
        <v>112.423076923077</v>
      </c>
      <c r="H312" s="51" t="n">
        <f aca="false">IF($A312="","",STDEV(Weekly_Demand!G312:BF312))</f>
        <v>83.0327944080509</v>
      </c>
      <c r="I312" s="52" t="n">
        <f aca="false">IF($A312="","",IFERROR(H312/G312,0))</f>
        <v>0.738574291689813</v>
      </c>
      <c r="J312" s="53" t="n">
        <f aca="false">IF($A312="","",F312*C312)</f>
        <v>4384.5</v>
      </c>
      <c r="K312" s="54" t="n">
        <f aca="false">IF($A312="","",IFERROR(J312/$J$505,0))</f>
        <v>0.00113449974956626</v>
      </c>
      <c r="L312" s="54" t="n">
        <f aca="false">IF($A312="","",IFERROR(SUMIFS($J$5:$J$504,$AB$5:$AB$504,"&lt;="&amp;AB312)/$J$505,0))</f>
        <v>0.826737630206901</v>
      </c>
      <c r="M312" s="55" t="str">
        <f aca="false">IF($A312="","",IF(L312&lt;=Assumptions!$B$7,"A",IF(L312&lt;=Assumptions!$B$8,"B","C")))</f>
        <v>B</v>
      </c>
      <c r="N312" s="55" t="str">
        <f aca="false">IF($A312="","",IF(I312&lt;=Assumptions!$B$9,"X",IF(I312&lt;=Assumptions!$B$10,"Y","Z")))</f>
        <v>Y</v>
      </c>
      <c r="O312" s="56" t="str">
        <f aca="false">IF($A312="","",M312&amp;N312)</f>
        <v>BY</v>
      </c>
      <c r="P312" s="57" t="n">
        <f aca="false">IF($A312="","",INDEX(Assumptions!$B$35:$B$37,MATCH(M312,Assumptions!$A$35:$A$37,0)))</f>
        <v>0.95</v>
      </c>
      <c r="Q312" s="58" t="n">
        <f aca="false">IF($A312="","",NORMSINV(P312))</f>
        <v>1.64485362695147</v>
      </c>
      <c r="R312" s="48" t="n">
        <f aca="false">IF($A312="","",ROUNDUP(Q312*H312*SQRT(D312),0))</f>
        <v>387</v>
      </c>
      <c r="S312" s="48" t="n">
        <f aca="false">IF($A312="","",ROUNDUP(G312*D312+R312,0))</f>
        <v>1287</v>
      </c>
      <c r="T312" s="46" t="n">
        <f aca="false">IF($A312="","",IFERROR(ROUND(SQRT(2*F312*Assumptions!$B$4/(Assumptions!$B$5*C312)),0),0))</f>
        <v>1766</v>
      </c>
      <c r="U312" s="53" t="n">
        <f aca="false">IF($A312="","",R312*C312)</f>
        <v>290.25</v>
      </c>
      <c r="V312" s="53" t="n">
        <f aca="false">IF($A312="","",E312*C312)</f>
        <v>252.75</v>
      </c>
      <c r="W312" s="59" t="n">
        <f aca="false">IF($A312="","",IFERROR(E312/G312,0))</f>
        <v>2.99760520013685</v>
      </c>
      <c r="X312" s="48" t="n">
        <f aca="false">IF($A312="","",S312+T312)</f>
        <v>3053</v>
      </c>
      <c r="Y312" s="48" t="n">
        <f aca="false">IF($A312="","",MAX(0,E312-X312))</f>
        <v>0</v>
      </c>
      <c r="Z312" s="53" t="n">
        <f aca="false">IF($A312="","",Y312*C312)</f>
        <v>0</v>
      </c>
      <c r="AA312" s="56" t="str">
        <f aca="false">IF($A312="","",IF(E312&lt;=R312,"Below Safety Stock",IF(E312&lt;=S312,"Reorder Now",IF(E312&gt;X312,"Excess","Healthy"))))</f>
        <v>Below Safety Stock</v>
      </c>
      <c r="AB312" s="48" t="n">
        <f aca="false">IF($A312="","",RANK(AF312,$AF$5:$AF$504,0)+COUNTIF($AF$5:AF312,AF312)-1)</f>
        <v>313</v>
      </c>
      <c r="AC312" s="44" t="str">
        <f aca="false">IF($A312="","",Weekly_Demand!B312)</f>
        <v>SWEETHEART CERAMIC TRINKET BOX</v>
      </c>
      <c r="AD312" s="59" t="n">
        <f aca="false">IF($A312="","",H312*SQRT(D312))</f>
        <v>234.852207947205</v>
      </c>
      <c r="AE312" s="53" t="n">
        <f aca="false">IF($A312="","",AD312*C312)</f>
        <v>176.139155960404</v>
      </c>
      <c r="AF312" s="53" t="n">
        <f aca="false">IF($A312="","",ROUND(J312,2))</f>
        <v>4384.5</v>
      </c>
    </row>
    <row r="313" customFormat="false" ht="15" hidden="false" customHeight="false" outlineLevel="0" collapsed="false">
      <c r="A313" s="44" t="str">
        <f aca="false">IF(Weekly_Demand!A313="","",Weekly_Demand!A313)</f>
        <v>22968</v>
      </c>
      <c r="B313" s="44" t="str">
        <f aca="false">IF($A313="","",Weekly_Demand!C313)</f>
        <v>Other</v>
      </c>
      <c r="C313" s="45" t="n">
        <f aca="false">IF($A313="","",Weekly_Demand!D313)</f>
        <v>5.97</v>
      </c>
      <c r="D313" s="46" t="n">
        <f aca="false">IF($A313="","",Weekly_Demand!E313+Assumptions!$B$19)</f>
        <v>2</v>
      </c>
      <c r="E313" s="46" t="n">
        <f aca="false">IF($A313="","",Weekly_Demand!F313)</f>
        <v>157</v>
      </c>
      <c r="F313" s="46" t="n">
        <f aca="false">IF($A313="","",SUM(Weekly_Demand!G313:BF313))</f>
        <v>742</v>
      </c>
      <c r="G313" s="51" t="n">
        <f aca="false">IF($A313="","",IFERROR(F313/Assumptions!$B$6,0))</f>
        <v>14.2692307692308</v>
      </c>
      <c r="H313" s="51" t="n">
        <f aca="false">IF($A313="","",STDEV(Weekly_Demand!G313:BF313))</f>
        <v>23.7231709223781</v>
      </c>
      <c r="I313" s="52" t="n">
        <f aca="false">IF($A313="","",IFERROR(H313/G313,0))</f>
        <v>1.66254028027448</v>
      </c>
      <c r="J313" s="53" t="n">
        <f aca="false">IF($A313="","",F313*C313)</f>
        <v>4429.74</v>
      </c>
      <c r="K313" s="54" t="n">
        <f aca="false">IF($A313="","",IFERROR(J313/$J$505,0))</f>
        <v>0.00114620570661276</v>
      </c>
      <c r="L313" s="54" t="n">
        <f aca="false">IF($A313="","",IFERROR(SUMIFS($J$5:$J$504,$AB$5:$AB$504,"&lt;="&amp;AB313)/$J$505,0))</f>
        <v>0.822183943052674</v>
      </c>
      <c r="M313" s="55" t="str">
        <f aca="false">IF($A313="","",IF(L313&lt;=Assumptions!$B$7,"A",IF(L313&lt;=Assumptions!$B$8,"B","C")))</f>
        <v>B</v>
      </c>
      <c r="N313" s="55" t="str">
        <f aca="false">IF($A313="","",IF(I313&lt;=Assumptions!$B$9,"X",IF(I313&lt;=Assumptions!$B$10,"Y","Z")))</f>
        <v>Z</v>
      </c>
      <c r="O313" s="56" t="str">
        <f aca="false">IF($A313="","",M313&amp;N313)</f>
        <v>BZ</v>
      </c>
      <c r="P313" s="57" t="n">
        <f aca="false">IF($A313="","",INDEX(Assumptions!$B$35:$B$37,MATCH(M313,Assumptions!$A$35:$A$37,0)))</f>
        <v>0.95</v>
      </c>
      <c r="Q313" s="58" t="n">
        <f aca="false">IF($A313="","",NORMSINV(P313))</f>
        <v>1.64485362695147</v>
      </c>
      <c r="R313" s="48" t="n">
        <f aca="false">IF($A313="","",ROUNDUP(Q313*H313*SQRT(D313),0))</f>
        <v>56</v>
      </c>
      <c r="S313" s="48" t="n">
        <f aca="false">IF($A313="","",ROUNDUP(G313*D313+R313,0))</f>
        <v>85</v>
      </c>
      <c r="T313" s="46" t="n">
        <f aca="false">IF($A313="","",IFERROR(ROUND(SQRT(2*F313*Assumptions!$B$4/(Assumptions!$B$5*C313)),0),0))</f>
        <v>223</v>
      </c>
      <c r="U313" s="53" t="n">
        <f aca="false">IF($A313="","",R313*C313)</f>
        <v>334.32</v>
      </c>
      <c r="V313" s="53" t="n">
        <f aca="false">IF($A313="","",E313*C313)</f>
        <v>937.29</v>
      </c>
      <c r="W313" s="59" t="n">
        <f aca="false">IF($A313="","",IFERROR(E313/G313,0))</f>
        <v>11.0026954177898</v>
      </c>
      <c r="X313" s="48" t="n">
        <f aca="false">IF($A313="","",S313+T313)</f>
        <v>308</v>
      </c>
      <c r="Y313" s="48" t="n">
        <f aca="false">IF($A313="","",MAX(0,E313-X313))</f>
        <v>0</v>
      </c>
      <c r="Z313" s="53" t="n">
        <f aca="false">IF($A313="","",Y313*C313)</f>
        <v>0</v>
      </c>
      <c r="AA313" s="56" t="str">
        <f aca="false">IF($A313="","",IF(E313&lt;=R313,"Below Safety Stock",IF(E313&lt;=S313,"Reorder Now",IF(E313&gt;X313,"Excess","Healthy"))))</f>
        <v>Healthy</v>
      </c>
      <c r="AB313" s="48" t="n">
        <f aca="false">IF($A313="","",RANK(AF313,$AF$5:$AF$504,0)+COUNTIF($AF$5:AF313,AF313)-1)</f>
        <v>309</v>
      </c>
      <c r="AC313" s="44" t="str">
        <f aca="false">IF($A313="","",Weekly_Demand!B313)</f>
        <v>ROSE COTTAGE KEEPSAKE BOX</v>
      </c>
      <c r="AD313" s="59" t="n">
        <f aca="false">IF($A313="","",H313*SQRT(D313))</f>
        <v>33.5496300609222</v>
      </c>
      <c r="AE313" s="53" t="n">
        <f aca="false">IF($A313="","",AD313*C313)</f>
        <v>200.291291463706</v>
      </c>
      <c r="AF313" s="53" t="n">
        <f aca="false">IF($A313="","",ROUND(J313,2))</f>
        <v>4429.74</v>
      </c>
    </row>
    <row r="314" customFormat="false" ht="15" hidden="false" customHeight="false" outlineLevel="0" collapsed="false">
      <c r="A314" s="44" t="str">
        <f aca="false">IF(Weekly_Demand!A314="","",Weekly_Demand!A314)</f>
        <v>22940</v>
      </c>
      <c r="B314" s="44" t="str">
        <f aca="false">IF($A314="","",Weekly_Demand!C314)</f>
        <v>Other</v>
      </c>
      <c r="C314" s="45" t="n">
        <f aca="false">IF($A314="","",Weekly_Demand!D314)</f>
        <v>2.55</v>
      </c>
      <c r="D314" s="46" t="n">
        <f aca="false">IF($A314="","",Weekly_Demand!E314+Assumptions!$B$19)</f>
        <v>2</v>
      </c>
      <c r="E314" s="46" t="n">
        <f aca="false">IF($A314="","",Weekly_Demand!F314)</f>
        <v>275</v>
      </c>
      <c r="F314" s="46" t="n">
        <f aca="false">IF($A314="","",SUM(Weekly_Demand!G314:BF314))</f>
        <v>1787</v>
      </c>
      <c r="G314" s="51" t="n">
        <f aca="false">IF($A314="","",IFERROR(F314/Assumptions!$B$6,0))</f>
        <v>34.3653846153846</v>
      </c>
      <c r="H314" s="51" t="n">
        <f aca="false">IF($A314="","",STDEV(Weekly_Demand!G314:BF314))</f>
        <v>60.7908754911987</v>
      </c>
      <c r="I314" s="52" t="n">
        <f aca="false">IF($A314="","",IFERROR(H314/G314,0))</f>
        <v>1.76895664551893</v>
      </c>
      <c r="J314" s="53" t="n">
        <f aca="false">IF($A314="","",F314*C314)</f>
        <v>4556.85</v>
      </c>
      <c r="K314" s="54" t="n">
        <f aca="false">IF($A314="","",IFERROR(J314/$J$505,0))</f>
        <v>0.00117909571987935</v>
      </c>
      <c r="L314" s="54" t="n">
        <f aca="false">IF($A314="","",IFERROR(SUMIFS($J$5:$J$504,$AB$5:$AB$504,"&lt;="&amp;AB314)/$J$505,0))</f>
        <v>0.811744915216757</v>
      </c>
      <c r="M314" s="55" t="str">
        <f aca="false">IF($A314="","",IF(L314&lt;=Assumptions!$B$7,"A",IF(L314&lt;=Assumptions!$B$8,"B","C")))</f>
        <v>B</v>
      </c>
      <c r="N314" s="55" t="str">
        <f aca="false">IF($A314="","",IF(I314&lt;=Assumptions!$B$9,"X",IF(I314&lt;=Assumptions!$B$10,"Y","Z")))</f>
        <v>Z</v>
      </c>
      <c r="O314" s="56" t="str">
        <f aca="false">IF($A314="","",M314&amp;N314)</f>
        <v>BZ</v>
      </c>
      <c r="P314" s="57" t="n">
        <f aca="false">IF($A314="","",INDEX(Assumptions!$B$35:$B$37,MATCH(M314,Assumptions!$A$35:$A$37,0)))</f>
        <v>0.95</v>
      </c>
      <c r="Q314" s="58" t="n">
        <f aca="false">IF($A314="","",NORMSINV(P314))</f>
        <v>1.64485362695147</v>
      </c>
      <c r="R314" s="48" t="n">
        <f aca="false">IF($A314="","",ROUNDUP(Q314*H314*SQRT(D314),0))</f>
        <v>142</v>
      </c>
      <c r="S314" s="48" t="n">
        <f aca="false">IF($A314="","",ROUNDUP(G314*D314+R314,0))</f>
        <v>211</v>
      </c>
      <c r="T314" s="46" t="n">
        <f aca="false">IF($A314="","",IFERROR(ROUND(SQRT(2*F314*Assumptions!$B$4/(Assumptions!$B$5*C314)),0),0))</f>
        <v>529</v>
      </c>
      <c r="U314" s="53" t="n">
        <f aca="false">IF($A314="","",R314*C314)</f>
        <v>362.1</v>
      </c>
      <c r="V314" s="53" t="n">
        <f aca="false">IF($A314="","",E314*C314)</f>
        <v>701.25</v>
      </c>
      <c r="W314" s="59" t="n">
        <f aca="false">IF($A314="","",IFERROR(E314/G314,0))</f>
        <v>8.00223838836038</v>
      </c>
      <c r="X314" s="48" t="n">
        <f aca="false">IF($A314="","",S314+T314)</f>
        <v>740</v>
      </c>
      <c r="Y314" s="48" t="n">
        <f aca="false">IF($A314="","",MAX(0,E314-X314))</f>
        <v>0</v>
      </c>
      <c r="Z314" s="53" t="n">
        <f aca="false">IF($A314="","",Y314*C314)</f>
        <v>0</v>
      </c>
      <c r="AA314" s="56" t="str">
        <f aca="false">IF($A314="","",IF(E314&lt;=R314,"Below Safety Stock",IF(E314&lt;=S314,"Reorder Now",IF(E314&gt;X314,"Excess","Healthy"))))</f>
        <v>Healthy</v>
      </c>
      <c r="AB314" s="48" t="n">
        <f aca="false">IF($A314="","",RANK(AF314,$AF$5:$AF$504,0)+COUNTIF($AF$5:AF314,AF314)-1)</f>
        <v>300</v>
      </c>
      <c r="AC314" s="44" t="str">
        <f aca="false">IF($A314="","",Weekly_Demand!B314)</f>
        <v>FELTCRAFT CHRISTMAS FAIRY</v>
      </c>
      <c r="AD314" s="59" t="n">
        <f aca="false">IF($A314="","",H314*SQRT(D314))</f>
        <v>85.9712805881874</v>
      </c>
      <c r="AE314" s="53" t="n">
        <f aca="false">IF($A314="","",AD314*C314)</f>
        <v>219.226765499878</v>
      </c>
      <c r="AF314" s="53" t="n">
        <f aca="false">IF($A314="","",ROUND(J314,2))</f>
        <v>4556.85</v>
      </c>
    </row>
    <row r="315" customFormat="false" ht="15" hidden="false" customHeight="false" outlineLevel="0" collapsed="false">
      <c r="A315" s="44" t="str">
        <f aca="false">IF(Weekly_Demand!A315="","",Weekly_Demand!A315)</f>
        <v>22381</v>
      </c>
      <c r="B315" s="44" t="str">
        <f aca="false">IF($A315="","",Weekly_Demand!C315)</f>
        <v>Other</v>
      </c>
      <c r="C315" s="45" t="n">
        <f aca="false">IF($A315="","",Weekly_Demand!D315)</f>
        <v>1.26</v>
      </c>
      <c r="D315" s="46" t="n">
        <f aca="false">IF($A315="","",Weekly_Demand!E315+Assumptions!$B$19)</f>
        <v>4</v>
      </c>
      <c r="E315" s="46" t="n">
        <f aca="false">IF($A315="","",Weekly_Demand!F315)</f>
        <v>907</v>
      </c>
      <c r="F315" s="46" t="n">
        <f aca="false">IF($A315="","",SUM(Weekly_Demand!G315:BF315))</f>
        <v>3368</v>
      </c>
      <c r="G315" s="51" t="n">
        <f aca="false">IF($A315="","",IFERROR(F315/Assumptions!$B$6,0))</f>
        <v>64.7692307692308</v>
      </c>
      <c r="H315" s="51" t="n">
        <f aca="false">IF($A315="","",STDEV(Weekly_Demand!G315:BF315))</f>
        <v>80.6370749607165</v>
      </c>
      <c r="I315" s="52" t="n">
        <f aca="false">IF($A315="","",IFERROR(H315/G315,0))</f>
        <v>1.24499046851463</v>
      </c>
      <c r="J315" s="53" t="n">
        <f aca="false">IF($A315="","",F315*C315)</f>
        <v>4243.68</v>
      </c>
      <c r="K315" s="54" t="n">
        <f aca="false">IF($A315="","",IFERROR(J315/$J$505,0))</f>
        <v>0.00109806224135919</v>
      </c>
      <c r="L315" s="54" t="n">
        <f aca="false">IF($A315="","",IFERROR(SUMIFS($J$5:$J$504,$AB$5:$AB$504,"&lt;="&amp;AB315)/$J$505,0))</f>
        <v>0.848996450087795</v>
      </c>
      <c r="M315" s="55" t="str">
        <f aca="false">IF($A315="","",IF(L315&lt;=Assumptions!$B$7,"A",IF(L315&lt;=Assumptions!$B$8,"B","C")))</f>
        <v>B</v>
      </c>
      <c r="N315" s="55" t="str">
        <f aca="false">IF($A315="","",IF(I315&lt;=Assumptions!$B$9,"X",IF(I315&lt;=Assumptions!$B$10,"Y","Z")))</f>
        <v>Z</v>
      </c>
      <c r="O315" s="56" t="str">
        <f aca="false">IF($A315="","",M315&amp;N315)</f>
        <v>BZ</v>
      </c>
      <c r="P315" s="57" t="n">
        <f aca="false">IF($A315="","",INDEX(Assumptions!$B$35:$B$37,MATCH(M315,Assumptions!$A$35:$A$37,0)))</f>
        <v>0.95</v>
      </c>
      <c r="Q315" s="58" t="n">
        <f aca="false">IF($A315="","",NORMSINV(P315))</f>
        <v>1.64485362695147</v>
      </c>
      <c r="R315" s="48" t="n">
        <f aca="false">IF($A315="","",ROUNDUP(Q315*H315*SQRT(D315),0))</f>
        <v>266</v>
      </c>
      <c r="S315" s="48" t="n">
        <f aca="false">IF($A315="","",ROUNDUP(G315*D315+R315,0))</f>
        <v>526</v>
      </c>
      <c r="T315" s="46" t="n">
        <f aca="false">IF($A315="","",IFERROR(ROUND(SQRT(2*F315*Assumptions!$B$4/(Assumptions!$B$5*C315)),0),0))</f>
        <v>1034</v>
      </c>
      <c r="U315" s="53" t="n">
        <f aca="false">IF($A315="","",R315*C315)</f>
        <v>335.16</v>
      </c>
      <c r="V315" s="53" t="n">
        <f aca="false">IF($A315="","",E315*C315)</f>
        <v>1142.82</v>
      </c>
      <c r="W315" s="59" t="n">
        <f aca="false">IF($A315="","",IFERROR(E315/G315,0))</f>
        <v>14.0035629453682</v>
      </c>
      <c r="X315" s="48" t="n">
        <f aca="false">IF($A315="","",S315+T315)</f>
        <v>1560</v>
      </c>
      <c r="Y315" s="48" t="n">
        <f aca="false">IF($A315="","",MAX(0,E315-X315))</f>
        <v>0</v>
      </c>
      <c r="Z315" s="53" t="n">
        <f aca="false">IF($A315="","",Y315*C315)</f>
        <v>0</v>
      </c>
      <c r="AA315" s="56" t="str">
        <f aca="false">IF($A315="","",IF(E315&lt;=R315,"Below Safety Stock",IF(E315&lt;=S315,"Reorder Now",IF(E315&gt;X315,"Excess","Healthy"))))</f>
        <v>Healthy</v>
      </c>
      <c r="AB315" s="48" t="n">
        <f aca="false">IF($A315="","",RANK(AF315,$AF$5:$AF$504,0)+COUNTIF($AF$5:AF315,AF315)-1)</f>
        <v>333</v>
      </c>
      <c r="AC315" s="44" t="str">
        <f aca="false">IF($A315="","",Weekly_Demand!B315)</f>
        <v>TOY TIDY PINK POLKADOT</v>
      </c>
      <c r="AD315" s="59" t="n">
        <f aca="false">IF($A315="","",H315*SQRT(D315))</f>
        <v>161.274149921433</v>
      </c>
      <c r="AE315" s="53" t="n">
        <f aca="false">IF($A315="","",AD315*C315)</f>
        <v>203.205428901006</v>
      </c>
      <c r="AF315" s="53" t="n">
        <f aca="false">IF($A315="","",ROUND(J315,2))</f>
        <v>4243.68</v>
      </c>
    </row>
    <row r="316" customFormat="false" ht="15" hidden="false" customHeight="false" outlineLevel="0" collapsed="false">
      <c r="A316" s="44" t="str">
        <f aca="false">IF(Weekly_Demand!A316="","",Weekly_Demand!A316)</f>
        <v>84836</v>
      </c>
      <c r="B316" s="44" t="str">
        <f aca="false">IF($A316="","",Weekly_Demand!C316)</f>
        <v>Other</v>
      </c>
      <c r="C316" s="45" t="n">
        <f aca="false">IF($A316="","",Weekly_Demand!D316)</f>
        <v>0.75</v>
      </c>
      <c r="D316" s="46" t="n">
        <f aca="false">IF($A316="","",Weekly_Demand!E316+Assumptions!$B$19)</f>
        <v>2</v>
      </c>
      <c r="E316" s="46" t="n">
        <f aca="false">IF($A316="","",Weekly_Demand!F316)</f>
        <v>3562</v>
      </c>
      <c r="F316" s="46" t="n">
        <f aca="false">IF($A316="","",SUM(Weekly_Demand!G316:BF316))</f>
        <v>5789</v>
      </c>
      <c r="G316" s="51" t="n">
        <f aca="false">IF($A316="","",IFERROR(F316/Assumptions!$B$6,0))</f>
        <v>111.326923076923</v>
      </c>
      <c r="H316" s="51" t="n">
        <f aca="false">IF($A316="","",STDEV(Weekly_Demand!G316:BF316))</f>
        <v>76.306071290803</v>
      </c>
      <c r="I316" s="52" t="n">
        <f aca="false">IF($A316="","",IFERROR(H316/G316,0))</f>
        <v>0.685423338594188</v>
      </c>
      <c r="J316" s="53" t="n">
        <f aca="false">IF($A316="","",F316*C316)</f>
        <v>4341.75</v>
      </c>
      <c r="K316" s="54" t="n">
        <f aca="false">IF($A316="","",IFERROR(J316/$J$505,0))</f>
        <v>0.00112343808591158</v>
      </c>
      <c r="L316" s="54" t="n">
        <f aca="false">IF($A316="","",IFERROR(SUMIFS($J$5:$J$504,$AB$5:$AB$504,"&lt;="&amp;AB316)/$J$505,0))</f>
        <v>0.830114760001961</v>
      </c>
      <c r="M316" s="55" t="str">
        <f aca="false">IF($A316="","",IF(L316&lt;=Assumptions!$B$7,"A",IF(L316&lt;=Assumptions!$B$8,"B","C")))</f>
        <v>B</v>
      </c>
      <c r="N316" s="55" t="str">
        <f aca="false">IF($A316="","",IF(I316&lt;=Assumptions!$B$9,"X",IF(I316&lt;=Assumptions!$B$10,"Y","Z")))</f>
        <v>Y</v>
      </c>
      <c r="O316" s="56" t="str">
        <f aca="false">IF($A316="","",M316&amp;N316)</f>
        <v>BY</v>
      </c>
      <c r="P316" s="57" t="n">
        <f aca="false">IF($A316="","",INDEX(Assumptions!$B$35:$B$37,MATCH(M316,Assumptions!$A$35:$A$37,0)))</f>
        <v>0.95</v>
      </c>
      <c r="Q316" s="58" t="n">
        <f aca="false">IF($A316="","",NORMSINV(P316))</f>
        <v>1.64485362695147</v>
      </c>
      <c r="R316" s="48" t="n">
        <f aca="false">IF($A316="","",ROUNDUP(Q316*H316*SQRT(D316),0))</f>
        <v>178</v>
      </c>
      <c r="S316" s="48" t="n">
        <f aca="false">IF($A316="","",ROUNDUP(G316*D316+R316,0))</f>
        <v>401</v>
      </c>
      <c r="T316" s="46" t="n">
        <f aca="false">IF($A316="","",IFERROR(ROUND(SQRT(2*F316*Assumptions!$B$4/(Assumptions!$B$5*C316)),0),0))</f>
        <v>1757</v>
      </c>
      <c r="U316" s="53" t="n">
        <f aca="false">IF($A316="","",R316*C316)</f>
        <v>133.5</v>
      </c>
      <c r="V316" s="53" t="n">
        <f aca="false">IF($A316="","",E316*C316)</f>
        <v>2671.5</v>
      </c>
      <c r="W316" s="59" t="n">
        <f aca="false">IF($A316="","",IFERROR(E316/G316,0))</f>
        <v>31.9958542062532</v>
      </c>
      <c r="X316" s="48" t="n">
        <f aca="false">IF($A316="","",S316+T316)</f>
        <v>2158</v>
      </c>
      <c r="Y316" s="48" t="n">
        <f aca="false">IF($A316="","",MAX(0,E316-X316))</f>
        <v>1404</v>
      </c>
      <c r="Z316" s="53" t="n">
        <f aca="false">IF($A316="","",Y316*C316)</f>
        <v>1053</v>
      </c>
      <c r="AA316" s="56" t="str">
        <f aca="false">IF($A316="","",IF(E316&lt;=R316,"Below Safety Stock",IF(E316&lt;=S316,"Reorder Now",IF(E316&gt;X316,"Excess","Healthy"))))</f>
        <v>Excess</v>
      </c>
      <c r="AB316" s="48" t="n">
        <f aca="false">IF($A316="","",RANK(AF316,$AF$5:$AF$504,0)+COUNTIF($AF$5:AF316,AF316)-1)</f>
        <v>316</v>
      </c>
      <c r="AC316" s="44" t="str">
        <f aca="false">IF($A316="","",Weekly_Demand!B316)</f>
        <v>ZINC METAL HEART DECORATION</v>
      </c>
      <c r="AD316" s="59" t="n">
        <f aca="false">IF($A316="","",H316*SQRT(D316))</f>
        <v>107.913080910862</v>
      </c>
      <c r="AE316" s="53" t="n">
        <f aca="false">IF($A316="","",AD316*C316)</f>
        <v>80.9348106831464</v>
      </c>
      <c r="AF316" s="53" t="n">
        <f aca="false">IF($A316="","",ROUND(J316,2))</f>
        <v>4341.75</v>
      </c>
    </row>
    <row r="317" customFormat="false" ht="15" hidden="false" customHeight="false" outlineLevel="0" collapsed="false">
      <c r="A317" s="44" t="str">
        <f aca="false">IF(Weekly_Demand!A317="","",Weekly_Demand!A317)</f>
        <v>23080</v>
      </c>
      <c r="B317" s="44" t="str">
        <f aca="false">IF($A317="","",Weekly_Demand!C317)</f>
        <v>Other</v>
      </c>
      <c r="C317" s="45" t="n">
        <f aca="false">IF($A317="","",Weekly_Demand!D317)</f>
        <v>4.95</v>
      </c>
      <c r="D317" s="46" t="n">
        <f aca="false">IF($A317="","",Weekly_Demand!E317+Assumptions!$B$19)</f>
        <v>2</v>
      </c>
      <c r="E317" s="46" t="n">
        <f aca="false">IF($A317="","",Weekly_Demand!F317)</f>
        <v>65</v>
      </c>
      <c r="F317" s="46" t="n">
        <f aca="false">IF($A317="","",SUM(Weekly_Demand!G317:BF317))</f>
        <v>849</v>
      </c>
      <c r="G317" s="51" t="n">
        <f aca="false">IF($A317="","",IFERROR(F317/Assumptions!$B$6,0))</f>
        <v>16.3269230769231</v>
      </c>
      <c r="H317" s="51" t="n">
        <f aca="false">IF($A317="","",STDEV(Weekly_Demand!G317:BF317))</f>
        <v>25.9628098677562</v>
      </c>
      <c r="I317" s="52" t="n">
        <f aca="false">IF($A317="","",IFERROR(H317/G317,0))</f>
        <v>1.59018387882606</v>
      </c>
      <c r="J317" s="53" t="n">
        <f aca="false">IF($A317="","",F317*C317)</f>
        <v>4202.55</v>
      </c>
      <c r="K317" s="54" t="n">
        <f aca="false">IF($A317="","",IFERROR(J317/$J$505,0))</f>
        <v>0.00108741975653774</v>
      </c>
      <c r="L317" s="54" t="n">
        <f aca="false">IF($A317="","",IFERROR(SUMIFS($J$5:$J$504,$AB$5:$AB$504,"&lt;="&amp;AB317)/$J$505,0))</f>
        <v>0.856643273377569</v>
      </c>
      <c r="M317" s="55" t="str">
        <f aca="false">IF($A317="","",IF(L317&lt;=Assumptions!$B$7,"A",IF(L317&lt;=Assumptions!$B$8,"B","C")))</f>
        <v>B</v>
      </c>
      <c r="N317" s="55" t="str">
        <f aca="false">IF($A317="","",IF(I317&lt;=Assumptions!$B$9,"X",IF(I317&lt;=Assumptions!$B$10,"Y","Z")))</f>
        <v>Z</v>
      </c>
      <c r="O317" s="56" t="str">
        <f aca="false">IF($A317="","",M317&amp;N317)</f>
        <v>BZ</v>
      </c>
      <c r="P317" s="57" t="n">
        <f aca="false">IF($A317="","",INDEX(Assumptions!$B$35:$B$37,MATCH(M317,Assumptions!$A$35:$A$37,0)))</f>
        <v>0.95</v>
      </c>
      <c r="Q317" s="58" t="n">
        <f aca="false">IF($A317="","",NORMSINV(P317))</f>
        <v>1.64485362695147</v>
      </c>
      <c r="R317" s="48" t="n">
        <f aca="false">IF($A317="","",ROUNDUP(Q317*H317*SQRT(D317),0))</f>
        <v>61</v>
      </c>
      <c r="S317" s="48" t="n">
        <f aca="false">IF($A317="","",ROUNDUP(G317*D317+R317,0))</f>
        <v>94</v>
      </c>
      <c r="T317" s="46" t="n">
        <f aca="false">IF($A317="","",IFERROR(ROUND(SQRT(2*F317*Assumptions!$B$4/(Assumptions!$B$5*C317)),0),0))</f>
        <v>262</v>
      </c>
      <c r="U317" s="53" t="n">
        <f aca="false">IF($A317="","",R317*C317)</f>
        <v>301.95</v>
      </c>
      <c r="V317" s="53" t="n">
        <f aca="false">IF($A317="","",E317*C317)</f>
        <v>321.75</v>
      </c>
      <c r="W317" s="59" t="n">
        <f aca="false">IF($A317="","",IFERROR(E317/G317,0))</f>
        <v>3.9811542991755</v>
      </c>
      <c r="X317" s="48" t="n">
        <f aca="false">IF($A317="","",S317+T317)</f>
        <v>356</v>
      </c>
      <c r="Y317" s="48" t="n">
        <f aca="false">IF($A317="","",MAX(0,E317-X317))</f>
        <v>0</v>
      </c>
      <c r="Z317" s="53" t="n">
        <f aca="false">IF($A317="","",Y317*C317)</f>
        <v>0</v>
      </c>
      <c r="AA317" s="56" t="str">
        <f aca="false">IF($A317="","",IF(E317&lt;=R317,"Below Safety Stock",IF(E317&lt;=S317,"Reorder Now",IF(E317&gt;X317,"Excess","Healthy"))))</f>
        <v>Reorder Now</v>
      </c>
      <c r="AB317" s="48" t="n">
        <f aca="false">IF($A317="","",RANK(AF317,$AF$5:$AF$504,0)+COUNTIF($AF$5:AF317,AF317)-1)</f>
        <v>340</v>
      </c>
      <c r="AC317" s="44" t="str">
        <f aca="false">IF($A317="","",Weekly_Demand!B317)</f>
        <v>RED METAL BOX TOP SECRET</v>
      </c>
      <c r="AD317" s="59" t="n">
        <f aca="false">IF($A317="","",H317*SQRT(D317))</f>
        <v>36.7169578322949</v>
      </c>
      <c r="AE317" s="53" t="n">
        <f aca="false">IF($A317="","",AD317*C317)</f>
        <v>181.74894126986</v>
      </c>
      <c r="AF317" s="53" t="n">
        <f aca="false">IF($A317="","",ROUND(J317,2))</f>
        <v>4202.55</v>
      </c>
    </row>
    <row r="318" customFormat="false" ht="15" hidden="false" customHeight="false" outlineLevel="0" collapsed="false">
      <c r="A318" s="44" t="str">
        <f aca="false">IF(Weekly_Demand!A318="","",Weekly_Demand!A318)</f>
        <v>23238</v>
      </c>
      <c r="B318" s="44" t="str">
        <f aca="false">IF($A318="","",Weekly_Demand!C318)</f>
        <v>Kitchen</v>
      </c>
      <c r="C318" s="45" t="n">
        <f aca="false">IF($A318="","",Weekly_Demand!D318)</f>
        <v>2.49</v>
      </c>
      <c r="D318" s="46" t="n">
        <f aca="false">IF($A318="","",Weekly_Demand!E318+Assumptions!$B$19)</f>
        <v>6</v>
      </c>
      <c r="E318" s="46" t="n">
        <f aca="false">IF($A318="","",Weekly_Demand!F318)</f>
        <v>394</v>
      </c>
      <c r="F318" s="46" t="n">
        <f aca="false">IF($A318="","",SUM(Weekly_Demand!G318:BF318))</f>
        <v>1707</v>
      </c>
      <c r="G318" s="51" t="n">
        <f aca="false">IF($A318="","",IFERROR(F318/Assumptions!$B$6,0))</f>
        <v>32.8269230769231</v>
      </c>
      <c r="H318" s="51" t="n">
        <f aca="false">IF($A318="","",STDEV(Weekly_Demand!G318:BF318))</f>
        <v>47.1267465599664</v>
      </c>
      <c r="I318" s="52" t="n">
        <f aca="false">IF($A318="","",IFERROR(H318/G318,0))</f>
        <v>1.43561266615012</v>
      </c>
      <c r="J318" s="53" t="n">
        <f aca="false">IF($A318="","",F318*C318)</f>
        <v>4250.43</v>
      </c>
      <c r="K318" s="54" t="n">
        <f aca="false">IF($A318="","",IFERROR(J318/$J$505,0))</f>
        <v>0.00109980881983098</v>
      </c>
      <c r="L318" s="54" t="n">
        <f aca="false">IF($A318="","",IFERROR(SUMIFS($J$5:$J$504,$AB$5:$AB$504,"&lt;="&amp;AB318)/$J$505,0))</f>
        <v>0.847898387846436</v>
      </c>
      <c r="M318" s="55" t="str">
        <f aca="false">IF($A318="","",IF(L318&lt;=Assumptions!$B$7,"A",IF(L318&lt;=Assumptions!$B$8,"B","C")))</f>
        <v>B</v>
      </c>
      <c r="N318" s="55" t="str">
        <f aca="false">IF($A318="","",IF(I318&lt;=Assumptions!$B$9,"X",IF(I318&lt;=Assumptions!$B$10,"Y","Z")))</f>
        <v>Z</v>
      </c>
      <c r="O318" s="56" t="str">
        <f aca="false">IF($A318="","",M318&amp;N318)</f>
        <v>BZ</v>
      </c>
      <c r="P318" s="57" t="n">
        <f aca="false">IF($A318="","",INDEX(Assumptions!$B$35:$B$37,MATCH(M318,Assumptions!$A$35:$A$37,0)))</f>
        <v>0.95</v>
      </c>
      <c r="Q318" s="58" t="n">
        <f aca="false">IF($A318="","",NORMSINV(P318))</f>
        <v>1.64485362695147</v>
      </c>
      <c r="R318" s="48" t="n">
        <f aca="false">IF($A318="","",ROUNDUP(Q318*H318*SQRT(D318),0))</f>
        <v>190</v>
      </c>
      <c r="S318" s="48" t="n">
        <f aca="false">IF($A318="","",ROUNDUP(G318*D318+R318,0))</f>
        <v>387</v>
      </c>
      <c r="T318" s="46" t="n">
        <f aca="false">IF($A318="","",IFERROR(ROUND(SQRT(2*F318*Assumptions!$B$4/(Assumptions!$B$5*C318)),0),0))</f>
        <v>524</v>
      </c>
      <c r="U318" s="53" t="n">
        <f aca="false">IF($A318="","",R318*C318)</f>
        <v>473.1</v>
      </c>
      <c r="V318" s="53" t="n">
        <f aca="false">IF($A318="","",E318*C318)</f>
        <v>981.06</v>
      </c>
      <c r="W318" s="59" t="n">
        <f aca="false">IF($A318="","",IFERROR(E318/G318,0))</f>
        <v>12.0023432923257</v>
      </c>
      <c r="X318" s="48" t="n">
        <f aca="false">IF($A318="","",S318+T318)</f>
        <v>911</v>
      </c>
      <c r="Y318" s="48" t="n">
        <f aca="false">IF($A318="","",MAX(0,E318-X318))</f>
        <v>0</v>
      </c>
      <c r="Z318" s="53" t="n">
        <f aca="false">IF($A318="","",Y318*C318)</f>
        <v>0</v>
      </c>
      <c r="AA318" s="56" t="str">
        <f aca="false">IF($A318="","",IF(E318&lt;=R318,"Below Safety Stock",IF(E318&lt;=S318,"Reorder Now",IF(E318&gt;X318,"Excess","Healthy"))))</f>
        <v>Healthy</v>
      </c>
      <c r="AB318" s="48" t="n">
        <f aca="false">IF($A318="","",RANK(AF318,$AF$5:$AF$504,0)+COUNTIF($AF$5:AF318,AF318)-1)</f>
        <v>332</v>
      </c>
      <c r="AC318" s="44" t="str">
        <f aca="false">IF($A318="","",Weekly_Demand!B318)</f>
        <v>SET OF 4 KNICK KNACK TINS LONDON</v>
      </c>
      <c r="AD318" s="59" t="n">
        <f aca="false">IF($A318="","",H318*SQRT(D318))</f>
        <v>115.43648230938</v>
      </c>
      <c r="AE318" s="53" t="n">
        <f aca="false">IF($A318="","",AD318*C318)</f>
        <v>287.436840950356</v>
      </c>
      <c r="AF318" s="53" t="n">
        <f aca="false">IF($A318="","",ROUND(J318,2))</f>
        <v>4250.43</v>
      </c>
    </row>
    <row r="319" customFormat="false" ht="15" hidden="false" customHeight="false" outlineLevel="0" collapsed="false">
      <c r="A319" s="44" t="str">
        <f aca="false">IF(Weekly_Demand!A319="","",Weekly_Demand!A319)</f>
        <v>22750</v>
      </c>
      <c r="B319" s="44" t="str">
        <f aca="false">IF($A319="","",Weekly_Demand!C319)</f>
        <v>Other</v>
      </c>
      <c r="C319" s="45" t="n">
        <f aca="false">IF($A319="","",Weekly_Demand!D319)</f>
        <v>2.25</v>
      </c>
      <c r="D319" s="46" t="n">
        <f aca="false">IF($A319="","",Weekly_Demand!E319+Assumptions!$B$19)</f>
        <v>6</v>
      </c>
      <c r="E319" s="46" t="n">
        <f aca="false">IF($A319="","",Weekly_Demand!F319)</f>
        <v>74</v>
      </c>
      <c r="F319" s="46" t="n">
        <f aca="false">IF($A319="","",SUM(Weekly_Demand!G319:BF319))</f>
        <v>1914</v>
      </c>
      <c r="G319" s="51" t="n">
        <f aca="false">IF($A319="","",IFERROR(F319/Assumptions!$B$6,0))</f>
        <v>36.8076923076923</v>
      </c>
      <c r="H319" s="51" t="n">
        <f aca="false">IF($A319="","",STDEV(Weekly_Demand!G319:BF319))</f>
        <v>34.3836705779542</v>
      </c>
      <c r="I319" s="52" t="n">
        <f aca="false">IF($A319="","",IFERROR(H319/G319,0))</f>
        <v>0.934143610268348</v>
      </c>
      <c r="J319" s="53" t="n">
        <f aca="false">IF($A319="","",F319*C319)</f>
        <v>4306.5</v>
      </c>
      <c r="K319" s="54" t="n">
        <f aca="false">IF($A319="","",IFERROR(J319/$J$505,0))</f>
        <v>0.00111431706500333</v>
      </c>
      <c r="L319" s="54" t="n">
        <f aca="false">IF($A319="","",IFERROR(SUMIFS($J$5:$J$504,$AB$5:$AB$504,"&lt;="&amp;AB319)/$J$505,0))</f>
        <v>0.837938877308021</v>
      </c>
      <c r="M319" s="55" t="str">
        <f aca="false">IF($A319="","",IF(L319&lt;=Assumptions!$B$7,"A",IF(L319&lt;=Assumptions!$B$8,"B","C")))</f>
        <v>B</v>
      </c>
      <c r="N319" s="55" t="str">
        <f aca="false">IF($A319="","",IF(I319&lt;=Assumptions!$B$9,"X",IF(I319&lt;=Assumptions!$B$10,"Y","Z")))</f>
        <v>Y</v>
      </c>
      <c r="O319" s="56" t="str">
        <f aca="false">IF($A319="","",M319&amp;N319)</f>
        <v>BY</v>
      </c>
      <c r="P319" s="57" t="n">
        <f aca="false">IF($A319="","",INDEX(Assumptions!$B$35:$B$37,MATCH(M319,Assumptions!$A$35:$A$37,0)))</f>
        <v>0.95</v>
      </c>
      <c r="Q319" s="58" t="n">
        <f aca="false">IF($A319="","",NORMSINV(P319))</f>
        <v>1.64485362695147</v>
      </c>
      <c r="R319" s="48" t="n">
        <f aca="false">IF($A319="","",ROUNDUP(Q319*H319*SQRT(D319),0))</f>
        <v>139</v>
      </c>
      <c r="S319" s="48" t="n">
        <f aca="false">IF($A319="","",ROUNDUP(G319*D319+R319,0))</f>
        <v>360</v>
      </c>
      <c r="T319" s="46" t="n">
        <f aca="false">IF($A319="","",IFERROR(ROUND(SQRT(2*F319*Assumptions!$B$4/(Assumptions!$B$5*C319)),0),0))</f>
        <v>583</v>
      </c>
      <c r="U319" s="53" t="n">
        <f aca="false">IF($A319="","",R319*C319)</f>
        <v>312.75</v>
      </c>
      <c r="V319" s="53" t="n">
        <f aca="false">IF($A319="","",E319*C319)</f>
        <v>166.5</v>
      </c>
      <c r="W319" s="59" t="n">
        <f aca="false">IF($A319="","",IFERROR(E319/G319,0))</f>
        <v>2.01044932079415</v>
      </c>
      <c r="X319" s="48" t="n">
        <f aca="false">IF($A319="","",S319+T319)</f>
        <v>943</v>
      </c>
      <c r="Y319" s="48" t="n">
        <f aca="false">IF($A319="","",MAX(0,E319-X319))</f>
        <v>0</v>
      </c>
      <c r="Z319" s="53" t="n">
        <f aca="false">IF($A319="","",Y319*C319)</f>
        <v>0</v>
      </c>
      <c r="AA319" s="56" t="str">
        <f aca="false">IF($A319="","",IF(E319&lt;=R319,"Below Safety Stock",IF(E319&lt;=S319,"Reorder Now",IF(E319&gt;X319,"Excess","Healthy"))))</f>
        <v>Below Safety Stock</v>
      </c>
      <c r="AB319" s="48" t="n">
        <f aca="false">IF($A319="","",RANK(AF319,$AF$5:$AF$504,0)+COUNTIF($AF$5:AF319,AF319)-1)</f>
        <v>323</v>
      </c>
      <c r="AC319" s="44" t="str">
        <f aca="false">IF($A319="","",Weekly_Demand!B319)</f>
        <v>FELTCRAFT PRINCESS LOLA DOLL</v>
      </c>
      <c r="AD319" s="59" t="n">
        <f aca="false">IF($A319="","",H319*SQRT(D319))</f>
        <v>84.2224483999345</v>
      </c>
      <c r="AE319" s="53" t="n">
        <f aca="false">IF($A319="","",AD319*C319)</f>
        <v>189.500508899853</v>
      </c>
      <c r="AF319" s="53" t="n">
        <f aca="false">IF($A319="","",ROUND(J319,2))</f>
        <v>4306.5</v>
      </c>
    </row>
    <row r="320" customFormat="false" ht="15" hidden="false" customHeight="false" outlineLevel="0" collapsed="false">
      <c r="A320" s="44" t="str">
        <f aca="false">IF(Weekly_Demand!A320="","",Weekly_Demand!A320)</f>
        <v>22367</v>
      </c>
      <c r="B320" s="44" t="str">
        <f aca="false">IF($A320="","",Weekly_Demand!C320)</f>
        <v>Other</v>
      </c>
      <c r="C320" s="45" t="n">
        <f aca="false">IF($A320="","",Weekly_Demand!D320)</f>
        <v>1.17</v>
      </c>
      <c r="D320" s="46" t="n">
        <f aca="false">IF($A320="","",Weekly_Demand!E320+Assumptions!$B$19)</f>
        <v>8</v>
      </c>
      <c r="E320" s="46" t="n">
        <f aca="false">IF($A320="","",Weekly_Demand!F320)</f>
        <v>487</v>
      </c>
      <c r="F320" s="46" t="n">
        <f aca="false">IF($A320="","",SUM(Weekly_Demand!G320:BF320))</f>
        <v>3615</v>
      </c>
      <c r="G320" s="51" t="n">
        <f aca="false">IF($A320="","",IFERROR(F320/Assumptions!$B$6,0))</f>
        <v>69.5192307692308</v>
      </c>
      <c r="H320" s="51" t="n">
        <f aca="false">IF($A320="","",STDEV(Weekly_Demand!G320:BF320))</f>
        <v>50.3289143825504</v>
      </c>
      <c r="I320" s="52" t="n">
        <f aca="false">IF($A320="","",IFERROR(H320/G320,0))</f>
        <v>0.723956721408748</v>
      </c>
      <c r="J320" s="53" t="n">
        <f aca="false">IF($A320="","",F320*C320)</f>
        <v>4229.55</v>
      </c>
      <c r="K320" s="54" t="n">
        <f aca="false">IF($A320="","",IFERROR(J320/$J$505,0))</f>
        <v>0.0010944060704249</v>
      </c>
      <c r="L320" s="54" t="n">
        <f aca="false">IF($A320="","",IFERROR(SUMIFS($J$5:$J$504,$AB$5:$AB$504,"&lt;="&amp;AB320)/$J$505,0))</f>
        <v>0.852282625838615</v>
      </c>
      <c r="M320" s="55" t="str">
        <f aca="false">IF($A320="","",IF(L320&lt;=Assumptions!$B$7,"A",IF(L320&lt;=Assumptions!$B$8,"B","C")))</f>
        <v>B</v>
      </c>
      <c r="N320" s="55" t="str">
        <f aca="false">IF($A320="","",IF(I320&lt;=Assumptions!$B$9,"X",IF(I320&lt;=Assumptions!$B$10,"Y","Z")))</f>
        <v>Y</v>
      </c>
      <c r="O320" s="56" t="str">
        <f aca="false">IF($A320="","",M320&amp;N320)</f>
        <v>BY</v>
      </c>
      <c r="P320" s="57" t="n">
        <f aca="false">IF($A320="","",INDEX(Assumptions!$B$35:$B$37,MATCH(M320,Assumptions!$A$35:$A$37,0)))</f>
        <v>0.95</v>
      </c>
      <c r="Q320" s="58" t="n">
        <f aca="false">IF($A320="","",NORMSINV(P320))</f>
        <v>1.64485362695147</v>
      </c>
      <c r="R320" s="48" t="n">
        <f aca="false">IF($A320="","",ROUNDUP(Q320*H320*SQRT(D320),0))</f>
        <v>235</v>
      </c>
      <c r="S320" s="48" t="n">
        <f aca="false">IF($A320="","",ROUNDUP(G320*D320+R320,0))</f>
        <v>792</v>
      </c>
      <c r="T320" s="46" t="n">
        <f aca="false">IF($A320="","",IFERROR(ROUND(SQRT(2*F320*Assumptions!$B$4/(Assumptions!$B$5*C320)),0),0))</f>
        <v>1112</v>
      </c>
      <c r="U320" s="53" t="n">
        <f aca="false">IF($A320="","",R320*C320)</f>
        <v>274.95</v>
      </c>
      <c r="V320" s="53" t="n">
        <f aca="false">IF($A320="","",E320*C320)</f>
        <v>569.79</v>
      </c>
      <c r="W320" s="59" t="n">
        <f aca="false">IF($A320="","",IFERROR(E320/G320,0))</f>
        <v>7.00525587828492</v>
      </c>
      <c r="X320" s="48" t="n">
        <f aca="false">IF($A320="","",S320+T320)</f>
        <v>1904</v>
      </c>
      <c r="Y320" s="48" t="n">
        <f aca="false">IF($A320="","",MAX(0,E320-X320))</f>
        <v>0</v>
      </c>
      <c r="Z320" s="53" t="n">
        <f aca="false">IF($A320="","",Y320*C320)</f>
        <v>0</v>
      </c>
      <c r="AA320" s="56" t="str">
        <f aca="false">IF($A320="","",IF(E320&lt;=R320,"Below Safety Stock",IF(E320&lt;=S320,"Reorder Now",IF(E320&gt;X320,"Excess","Healthy"))))</f>
        <v>Reorder Now</v>
      </c>
      <c r="AB320" s="48" t="n">
        <f aca="false">IF($A320="","",RANK(AF320,$AF$5:$AF$504,0)+COUNTIF($AF$5:AF320,AF320)-1)</f>
        <v>336</v>
      </c>
      <c r="AC320" s="44" t="str">
        <f aca="false">IF($A320="","",Weekly_Demand!B320)</f>
        <v>CHILDRENS APRON SPACEBOY DESIGN</v>
      </c>
      <c r="AD320" s="59" t="n">
        <f aca="false">IF($A320="","",H320*SQRT(D320))</f>
        <v>142.351666598634</v>
      </c>
      <c r="AE320" s="53" t="n">
        <f aca="false">IF($A320="","",AD320*C320)</f>
        <v>166.551449920402</v>
      </c>
      <c r="AF320" s="53" t="n">
        <f aca="false">IF($A320="","",ROUND(J320,2))</f>
        <v>4229.55</v>
      </c>
    </row>
    <row r="321" customFormat="false" ht="15" hidden="false" customHeight="false" outlineLevel="0" collapsed="false">
      <c r="A321" s="44" t="str">
        <f aca="false">IF(Weekly_Demand!A321="","",Weekly_Demand!A321)</f>
        <v>22950</v>
      </c>
      <c r="B321" s="44" t="str">
        <f aca="false">IF($A321="","",Weekly_Demand!C321)</f>
        <v>Other</v>
      </c>
      <c r="C321" s="45" t="n">
        <f aca="false">IF($A321="","",Weekly_Demand!D321)</f>
        <v>0.87</v>
      </c>
      <c r="D321" s="46" t="n">
        <f aca="false">IF($A321="","",Weekly_Demand!E321+Assumptions!$B$19)</f>
        <v>6</v>
      </c>
      <c r="E321" s="46" t="n">
        <f aca="false">IF($A321="","",Weekly_Demand!F321)</f>
        <v>200</v>
      </c>
      <c r="F321" s="46" t="n">
        <f aca="false">IF($A321="","",SUM(Weekly_Demand!G321:BF321))</f>
        <v>5210</v>
      </c>
      <c r="G321" s="51" t="n">
        <f aca="false">IF($A321="","",IFERROR(F321/Assumptions!$B$6,0))</f>
        <v>100.192307692308</v>
      </c>
      <c r="H321" s="51" t="n">
        <f aca="false">IF($A321="","",STDEV(Weekly_Demand!G321:BF321))</f>
        <v>193.418984252012</v>
      </c>
      <c r="I321" s="52" t="n">
        <f aca="false">IF($A321="","",IFERROR(H321/G321,0))</f>
        <v>1.93047738600856</v>
      </c>
      <c r="J321" s="53" t="n">
        <f aca="false">IF($A321="","",F321*C321)</f>
        <v>4532.7</v>
      </c>
      <c r="K321" s="54" t="n">
        <f aca="false">IF($A321="","",IFERROR(J321/$J$505,0))</f>
        <v>0.00117284685023583</v>
      </c>
      <c r="L321" s="54" t="n">
        <f aca="false">IF($A321="","",IFERROR(SUMIFS($J$5:$J$504,$AB$5:$AB$504,"&lt;="&amp;AB321)/$J$505,0))</f>
        <v>0.812917762066993</v>
      </c>
      <c r="M321" s="55" t="str">
        <f aca="false">IF($A321="","",IF(L321&lt;=Assumptions!$B$7,"A",IF(L321&lt;=Assumptions!$B$8,"B","C")))</f>
        <v>B</v>
      </c>
      <c r="N321" s="55" t="str">
        <f aca="false">IF($A321="","",IF(I321&lt;=Assumptions!$B$9,"X",IF(I321&lt;=Assumptions!$B$10,"Y","Z")))</f>
        <v>Z</v>
      </c>
      <c r="O321" s="56" t="str">
        <f aca="false">IF($A321="","",M321&amp;N321)</f>
        <v>BZ</v>
      </c>
      <c r="P321" s="57" t="n">
        <f aca="false">IF($A321="","",INDEX(Assumptions!$B$35:$B$37,MATCH(M321,Assumptions!$A$35:$A$37,0)))</f>
        <v>0.95</v>
      </c>
      <c r="Q321" s="58" t="n">
        <f aca="false">IF($A321="","",NORMSINV(P321))</f>
        <v>1.64485362695147</v>
      </c>
      <c r="R321" s="48" t="n">
        <f aca="false">IF($A321="","",ROUNDUP(Q321*H321*SQRT(D321),0))</f>
        <v>780</v>
      </c>
      <c r="S321" s="48" t="n">
        <f aca="false">IF($A321="","",ROUNDUP(G321*D321+R321,0))</f>
        <v>1382</v>
      </c>
      <c r="T321" s="46" t="n">
        <f aca="false">IF($A321="","",IFERROR(ROUND(SQRT(2*F321*Assumptions!$B$4/(Assumptions!$B$5*C321)),0),0))</f>
        <v>1548</v>
      </c>
      <c r="U321" s="53" t="n">
        <f aca="false">IF($A321="","",R321*C321)</f>
        <v>678.6</v>
      </c>
      <c r="V321" s="53" t="n">
        <f aca="false">IF($A321="","",E321*C321)</f>
        <v>174</v>
      </c>
      <c r="W321" s="59" t="n">
        <f aca="false">IF($A321="","",IFERROR(E321/G321,0))</f>
        <v>1.99616122840691</v>
      </c>
      <c r="X321" s="48" t="n">
        <f aca="false">IF($A321="","",S321+T321)</f>
        <v>2930</v>
      </c>
      <c r="Y321" s="48" t="n">
        <f aca="false">IF($A321="","",MAX(0,E321-X321))</f>
        <v>0</v>
      </c>
      <c r="Z321" s="53" t="n">
        <f aca="false">IF($A321="","",Y321*C321)</f>
        <v>0</v>
      </c>
      <c r="AA321" s="56" t="str">
        <f aca="false">IF($A321="","",IF(E321&lt;=R321,"Below Safety Stock",IF(E321&lt;=S321,"Reorder Now",IF(E321&gt;X321,"Excess","Healthy"))))</f>
        <v>Below Safety Stock</v>
      </c>
      <c r="AB321" s="48" t="n">
        <f aca="false">IF($A321="","",RANK(AF321,$AF$5:$AF$504,0)+COUNTIF($AF$5:AF321,AF321)-1)</f>
        <v>301</v>
      </c>
      <c r="AC321" s="44" t="str">
        <f aca="false">IF($A321="","",Weekly_Demand!B321)</f>
        <v>36 DOILIES VINTAGE CHRISTMAS</v>
      </c>
      <c r="AD321" s="59" t="n">
        <f aca="false">IF($A321="","",H321*SQRT(D321))</f>
        <v>473.777817984844</v>
      </c>
      <c r="AE321" s="53" t="n">
        <f aca="false">IF($A321="","",AD321*C321)</f>
        <v>412.186701646814</v>
      </c>
      <c r="AF321" s="53" t="n">
        <f aca="false">IF($A321="","",ROUND(J321,2))</f>
        <v>4532.7</v>
      </c>
    </row>
    <row r="322" customFormat="false" ht="15" hidden="false" customHeight="false" outlineLevel="0" collapsed="false">
      <c r="A322" s="44" t="str">
        <f aca="false">IF(Weekly_Demand!A322="","",Weekly_Demand!A322)</f>
        <v>22627</v>
      </c>
      <c r="B322" s="44" t="str">
        <f aca="false">IF($A322="","",Weekly_Demand!C322)</f>
        <v>Other</v>
      </c>
      <c r="C322" s="45" t="n">
        <f aca="false">IF($A322="","",Weekly_Demand!D322)</f>
        <v>5.1</v>
      </c>
      <c r="D322" s="46" t="n">
        <f aca="false">IF($A322="","",Weekly_Demand!E322+Assumptions!$B$19)</f>
        <v>8</v>
      </c>
      <c r="E322" s="46" t="n">
        <f aca="false">IF($A322="","",Weekly_Demand!F322)</f>
        <v>250</v>
      </c>
      <c r="F322" s="46" t="n">
        <f aca="false">IF($A322="","",SUM(Weekly_Demand!G322:BF322))</f>
        <v>811</v>
      </c>
      <c r="G322" s="51" t="n">
        <f aca="false">IF($A322="","",IFERROR(F322/Assumptions!$B$6,0))</f>
        <v>15.5961538461538</v>
      </c>
      <c r="H322" s="51" t="n">
        <f aca="false">IF($A322="","",STDEV(Weekly_Demand!G322:BF322))</f>
        <v>13.3596695030517</v>
      </c>
      <c r="I322" s="52" t="n">
        <f aca="false">IF($A322="","",IFERROR(H322/G322,0))</f>
        <v>0.856600264067432</v>
      </c>
      <c r="J322" s="53" t="n">
        <f aca="false">IF($A322="","",F322*C322)</f>
        <v>4136.1</v>
      </c>
      <c r="K322" s="54" t="n">
        <f aca="false">IF($A322="","",IFERROR(J322/$J$505,0))</f>
        <v>0.00107022566180432</v>
      </c>
      <c r="L322" s="54" t="n">
        <f aca="false">IF($A322="","",IFERROR(SUMIFS($J$5:$J$504,$AB$5:$AB$504,"&lt;="&amp;AB322)/$J$505,0))</f>
        <v>0.867419817799946</v>
      </c>
      <c r="M322" s="55" t="str">
        <f aca="false">IF($A322="","",IF(L322&lt;=Assumptions!$B$7,"A",IF(L322&lt;=Assumptions!$B$8,"B","C")))</f>
        <v>B</v>
      </c>
      <c r="N322" s="55" t="str">
        <f aca="false">IF($A322="","",IF(I322&lt;=Assumptions!$B$9,"X",IF(I322&lt;=Assumptions!$B$10,"Y","Z")))</f>
        <v>Y</v>
      </c>
      <c r="O322" s="56" t="str">
        <f aca="false">IF($A322="","",M322&amp;N322)</f>
        <v>BY</v>
      </c>
      <c r="P322" s="57" t="n">
        <f aca="false">IF($A322="","",INDEX(Assumptions!$B$35:$B$37,MATCH(M322,Assumptions!$A$35:$A$37,0)))</f>
        <v>0.95</v>
      </c>
      <c r="Q322" s="58" t="n">
        <f aca="false">IF($A322="","",NORMSINV(P322))</f>
        <v>1.64485362695147</v>
      </c>
      <c r="R322" s="48" t="n">
        <f aca="false">IF($A322="","",ROUNDUP(Q322*H322*SQRT(D322),0))</f>
        <v>63</v>
      </c>
      <c r="S322" s="48" t="n">
        <f aca="false">IF($A322="","",ROUNDUP(G322*D322+R322,0))</f>
        <v>188</v>
      </c>
      <c r="T322" s="46" t="n">
        <f aca="false">IF($A322="","",IFERROR(ROUND(SQRT(2*F322*Assumptions!$B$4/(Assumptions!$B$5*C322)),0),0))</f>
        <v>252</v>
      </c>
      <c r="U322" s="53" t="n">
        <f aca="false">IF($A322="","",R322*C322)</f>
        <v>321.3</v>
      </c>
      <c r="V322" s="53" t="n">
        <f aca="false">IF($A322="","",E322*C322)</f>
        <v>1275</v>
      </c>
      <c r="W322" s="59" t="n">
        <f aca="false">IF($A322="","",IFERROR(E322/G322,0))</f>
        <v>16.0295930949445</v>
      </c>
      <c r="X322" s="48" t="n">
        <f aca="false">IF($A322="","",S322+T322)</f>
        <v>440</v>
      </c>
      <c r="Y322" s="48" t="n">
        <f aca="false">IF($A322="","",MAX(0,E322-X322))</f>
        <v>0</v>
      </c>
      <c r="Z322" s="53" t="n">
        <f aca="false">IF($A322="","",Y322*C322)</f>
        <v>0</v>
      </c>
      <c r="AA322" s="56" t="str">
        <f aca="false">IF($A322="","",IF(E322&lt;=R322,"Below Safety Stock",IF(E322&lt;=S322,"Reorder Now",IF(E322&gt;X322,"Excess","Healthy"))))</f>
        <v>Healthy</v>
      </c>
      <c r="AB322" s="48" t="n">
        <f aca="false">IF($A322="","",RANK(AF322,$AF$5:$AF$504,0)+COUNTIF($AF$5:AF322,AF322)-1)</f>
        <v>350</v>
      </c>
      <c r="AC322" s="44" t="str">
        <f aca="false">IF($A322="","",Weekly_Demand!B322)</f>
        <v>MINT KITCHEN SCALES</v>
      </c>
      <c r="AD322" s="59" t="n">
        <f aca="false">IF($A322="","",H322*SQRT(D322))</f>
        <v>37.7868516000758</v>
      </c>
      <c r="AE322" s="53" t="n">
        <f aca="false">IF($A322="","",AD322*C322)</f>
        <v>192.712943160387</v>
      </c>
      <c r="AF322" s="53" t="n">
        <f aca="false">IF($A322="","",ROUND(J322,2))</f>
        <v>4136.1</v>
      </c>
    </row>
    <row r="323" customFormat="false" ht="15" hidden="false" customHeight="false" outlineLevel="0" collapsed="false">
      <c r="A323" s="44" t="str">
        <f aca="false">IF(Weekly_Demand!A323="","",Weekly_Demand!A323)</f>
        <v>84406B</v>
      </c>
      <c r="B323" s="44" t="str">
        <f aca="false">IF($A323="","",Weekly_Demand!C323)</f>
        <v>Other</v>
      </c>
      <c r="C323" s="45" t="n">
        <f aca="false">IF($A323="","",Weekly_Demand!D323)</f>
        <v>2.49</v>
      </c>
      <c r="D323" s="46" t="n">
        <f aca="false">IF($A323="","",Weekly_Demand!E323+Assumptions!$B$19)</f>
        <v>6</v>
      </c>
      <c r="E323" s="46" t="n">
        <f aca="false">IF($A323="","",Weekly_Demand!F323)</f>
        <v>1168</v>
      </c>
      <c r="F323" s="46" t="n">
        <f aca="false">IF($A323="","",SUM(Weekly_Demand!G323:BF323))</f>
        <v>1841</v>
      </c>
      <c r="G323" s="51" t="n">
        <f aca="false">IF($A323="","",IFERROR(F323/Assumptions!$B$6,0))</f>
        <v>35.4038461538462</v>
      </c>
      <c r="H323" s="51" t="n">
        <f aca="false">IF($A323="","",STDEV(Weekly_Demand!G323:BF323))</f>
        <v>39.3138500842446</v>
      </c>
      <c r="I323" s="52" t="n">
        <f aca="false">IF($A323="","",IFERROR(H323/G323,0))</f>
        <v>1.11044008928882</v>
      </c>
      <c r="J323" s="53" t="n">
        <f aca="false">IF($A323="","",F323*C323)</f>
        <v>4584.09</v>
      </c>
      <c r="K323" s="54" t="n">
        <f aca="false">IF($A323="","",IFERROR(J323/$J$505,0))</f>
        <v>0.00118614413433441</v>
      </c>
      <c r="L323" s="54" t="n">
        <f aca="false">IF($A323="","",IFERROR(SUMIFS($J$5:$J$504,$AB$5:$AB$504,"&lt;="&amp;AB323)/$J$505,0))</f>
        <v>0.80820085909522</v>
      </c>
      <c r="M323" s="55" t="str">
        <f aca="false">IF($A323="","",IF(L323&lt;=Assumptions!$B$7,"A",IF(L323&lt;=Assumptions!$B$8,"B","C")))</f>
        <v>B</v>
      </c>
      <c r="N323" s="55" t="str">
        <f aca="false">IF($A323="","",IF(I323&lt;=Assumptions!$B$9,"X",IF(I323&lt;=Assumptions!$B$10,"Y","Z")))</f>
        <v>Z</v>
      </c>
      <c r="O323" s="56" t="str">
        <f aca="false">IF($A323="","",M323&amp;N323)</f>
        <v>BZ</v>
      </c>
      <c r="P323" s="57" t="n">
        <f aca="false">IF($A323="","",INDEX(Assumptions!$B$35:$B$37,MATCH(M323,Assumptions!$A$35:$A$37,0)))</f>
        <v>0.95</v>
      </c>
      <c r="Q323" s="58" t="n">
        <f aca="false">IF($A323="","",NORMSINV(P323))</f>
        <v>1.64485362695147</v>
      </c>
      <c r="R323" s="48" t="n">
        <f aca="false">IF($A323="","",ROUNDUP(Q323*H323*SQRT(D323),0))</f>
        <v>159</v>
      </c>
      <c r="S323" s="48" t="n">
        <f aca="false">IF($A323="","",ROUNDUP(G323*D323+R323,0))</f>
        <v>372</v>
      </c>
      <c r="T323" s="46" t="n">
        <f aca="false">IF($A323="","",IFERROR(ROUND(SQRT(2*F323*Assumptions!$B$4/(Assumptions!$B$5*C323)),0),0))</f>
        <v>544</v>
      </c>
      <c r="U323" s="53" t="n">
        <f aca="false">IF($A323="","",R323*C323)</f>
        <v>395.91</v>
      </c>
      <c r="V323" s="53" t="n">
        <f aca="false">IF($A323="","",E323*C323)</f>
        <v>2908.32</v>
      </c>
      <c r="W323" s="59" t="n">
        <f aca="false">IF($A323="","",IFERROR(E323/G323,0))</f>
        <v>32.9907658881043</v>
      </c>
      <c r="X323" s="48" t="n">
        <f aca="false">IF($A323="","",S323+T323)</f>
        <v>916</v>
      </c>
      <c r="Y323" s="48" t="n">
        <f aca="false">IF($A323="","",MAX(0,E323-X323))</f>
        <v>252</v>
      </c>
      <c r="Z323" s="53" t="n">
        <f aca="false">IF($A323="","",Y323*C323)</f>
        <v>627.48</v>
      </c>
      <c r="AA323" s="56" t="str">
        <f aca="false">IF($A323="","",IF(E323&lt;=R323,"Below Safety Stock",IF(E323&lt;=S323,"Reorder Now",IF(E323&gt;X323,"Excess","Healthy"))))</f>
        <v>Excess</v>
      </c>
      <c r="AB323" s="48" t="n">
        <f aca="false">IF($A323="","",RANK(AF323,$AF$5:$AF$504,0)+COUNTIF($AF$5:AF323,AF323)-1)</f>
        <v>297</v>
      </c>
      <c r="AC323" s="44" t="str">
        <f aca="false">IF($A323="","",Weekly_Demand!B323)</f>
        <v>CREAM CUPID HEARTS COAT HANGER</v>
      </c>
      <c r="AD323" s="59" t="n">
        <f aca="false">IF($A323="","",H323*SQRT(D323))</f>
        <v>96.2988725306726</v>
      </c>
      <c r="AE323" s="53" t="n">
        <f aca="false">IF($A323="","",AD323*C323)</f>
        <v>239.784192601375</v>
      </c>
      <c r="AF323" s="53" t="n">
        <f aca="false">IF($A323="","",ROUND(J323,2))</f>
        <v>4584.09</v>
      </c>
    </row>
    <row r="324" customFormat="false" ht="15" hidden="false" customHeight="false" outlineLevel="0" collapsed="false">
      <c r="A324" s="44" t="str">
        <f aca="false">IF(Weekly_Demand!A324="","",Weekly_Demand!A324)</f>
        <v>23535</v>
      </c>
      <c r="B324" s="44" t="str">
        <f aca="false">IF($A324="","",Weekly_Demand!C324)</f>
        <v>Other</v>
      </c>
      <c r="C324" s="45" t="n">
        <f aca="false">IF($A324="","",Weekly_Demand!D324)</f>
        <v>3.57</v>
      </c>
      <c r="D324" s="46" t="n">
        <f aca="false">IF($A324="","",Weekly_Demand!E324+Assumptions!$B$19)</f>
        <v>8</v>
      </c>
      <c r="E324" s="46" t="n">
        <f aca="false">IF($A324="","",Weekly_Demand!F324)</f>
        <v>257</v>
      </c>
      <c r="F324" s="46" t="n">
        <f aca="false">IF($A324="","",SUM(Weekly_Demand!G324:BF324))</f>
        <v>1112</v>
      </c>
      <c r="G324" s="51" t="n">
        <f aca="false">IF($A324="","",IFERROR(F324/Assumptions!$B$6,0))</f>
        <v>21.3846153846154</v>
      </c>
      <c r="H324" s="51" t="n">
        <f aca="false">IF($A324="","",STDEV(Weekly_Demand!G324:BF324))</f>
        <v>62.5228284100951</v>
      </c>
      <c r="I324" s="52" t="n">
        <f aca="false">IF($A324="","",IFERROR(H324/G324,0))</f>
        <v>2.92372938608358</v>
      </c>
      <c r="J324" s="53" t="n">
        <f aca="false">IF($A324="","",F324*C324)</f>
        <v>3969.84</v>
      </c>
      <c r="K324" s="54" t="n">
        <f aca="false">IF($A324="","",IFERROR(J324/$J$505,0))</f>
        <v>0.00102720549340133</v>
      </c>
      <c r="L324" s="54" t="n">
        <f aca="false">IF($A324="","",IFERROR(SUMIFS($J$5:$J$504,$AB$5:$AB$504,"&lt;="&amp;AB324)/$J$505,0))</f>
        <v>0.883144999673219</v>
      </c>
      <c r="M324" s="55" t="str">
        <f aca="false">IF($A324="","",IF(L324&lt;=Assumptions!$B$7,"A",IF(L324&lt;=Assumptions!$B$8,"B","C")))</f>
        <v>B</v>
      </c>
      <c r="N324" s="55" t="str">
        <f aca="false">IF($A324="","",IF(I324&lt;=Assumptions!$B$9,"X",IF(I324&lt;=Assumptions!$B$10,"Y","Z")))</f>
        <v>Z</v>
      </c>
      <c r="O324" s="56" t="str">
        <f aca="false">IF($A324="","",M324&amp;N324)</f>
        <v>BZ</v>
      </c>
      <c r="P324" s="57" t="n">
        <f aca="false">IF($A324="","",INDEX(Assumptions!$B$35:$B$37,MATCH(M324,Assumptions!$A$35:$A$37,0)))</f>
        <v>0.95</v>
      </c>
      <c r="Q324" s="58" t="n">
        <f aca="false">IF($A324="","",NORMSINV(P324))</f>
        <v>1.64485362695147</v>
      </c>
      <c r="R324" s="48" t="n">
        <f aca="false">IF($A324="","",ROUNDUP(Q324*H324*SQRT(D324),0))</f>
        <v>291</v>
      </c>
      <c r="S324" s="48" t="n">
        <f aca="false">IF($A324="","",ROUNDUP(G324*D324+R324,0))</f>
        <v>463</v>
      </c>
      <c r="T324" s="46" t="n">
        <f aca="false">IF($A324="","",IFERROR(ROUND(SQRT(2*F324*Assumptions!$B$4/(Assumptions!$B$5*C324)),0),0))</f>
        <v>353</v>
      </c>
      <c r="U324" s="53" t="n">
        <f aca="false">IF($A324="","",R324*C324)</f>
        <v>1038.87</v>
      </c>
      <c r="V324" s="53" t="n">
        <f aca="false">IF($A324="","",E324*C324)</f>
        <v>917.49</v>
      </c>
      <c r="W324" s="59" t="n">
        <f aca="false">IF($A324="","",IFERROR(E324/G324,0))</f>
        <v>12.0179856115108</v>
      </c>
      <c r="X324" s="48" t="n">
        <f aca="false">IF($A324="","",S324+T324)</f>
        <v>816</v>
      </c>
      <c r="Y324" s="48" t="n">
        <f aca="false">IF($A324="","",MAX(0,E324-X324))</f>
        <v>0</v>
      </c>
      <c r="Z324" s="53" t="n">
        <f aca="false">IF($A324="","",Y324*C324)</f>
        <v>0</v>
      </c>
      <c r="AA324" s="56" t="str">
        <f aca="false">IF($A324="","",IF(E324&lt;=R324,"Below Safety Stock",IF(E324&lt;=S324,"Reorder Now",IF(E324&gt;X324,"Excess","Healthy"))))</f>
        <v>Below Safety Stock</v>
      </c>
      <c r="AB324" s="48" t="n">
        <f aca="false">IF($A324="","",RANK(AF324,$AF$5:$AF$504,0)+COUNTIF($AF$5:AF324,AF324)-1)</f>
        <v>365</v>
      </c>
      <c r="AC324" s="44" t="str">
        <f aca="false">IF($A324="","",Weekly_Demand!B324)</f>
        <v>WALL ART BICYCLE SAFETY</v>
      </c>
      <c r="AD324" s="59" t="n">
        <f aca="false">IF($A324="","",H324*SQRT(D324))</f>
        <v>176.841263790965</v>
      </c>
      <c r="AE324" s="53" t="n">
        <f aca="false">IF($A324="","",AD324*C324)</f>
        <v>631.323311733744</v>
      </c>
      <c r="AF324" s="53" t="n">
        <f aca="false">IF($A324="","",ROUND(J324,2))</f>
        <v>3969.84</v>
      </c>
    </row>
    <row r="325" customFormat="false" ht="15" hidden="false" customHeight="false" outlineLevel="0" collapsed="false">
      <c r="A325" s="44" t="str">
        <f aca="false">IF(Weekly_Demand!A325="","",Weekly_Demand!A325)</f>
        <v>22741</v>
      </c>
      <c r="B325" s="44" t="str">
        <f aca="false">IF($A325="","",Weekly_Demand!C325)</f>
        <v>Other</v>
      </c>
      <c r="C325" s="45" t="n">
        <f aca="false">IF($A325="","",Weekly_Demand!D325)</f>
        <v>0.51</v>
      </c>
      <c r="D325" s="46" t="n">
        <f aca="false">IF($A325="","",Weekly_Demand!E325+Assumptions!$B$19)</f>
        <v>4</v>
      </c>
      <c r="E325" s="46" t="n">
        <f aca="false">IF($A325="","",Weekly_Demand!F325)</f>
        <v>1909</v>
      </c>
      <c r="F325" s="46" t="n">
        <f aca="false">IF($A325="","",SUM(Weekly_Demand!G325:BF325))</f>
        <v>8271</v>
      </c>
      <c r="G325" s="51" t="n">
        <f aca="false">IF($A325="","",IFERROR(F325/Assumptions!$B$6,0))</f>
        <v>159.057692307692</v>
      </c>
      <c r="H325" s="51" t="n">
        <f aca="false">IF($A325="","",STDEV(Weekly_Demand!G325:BF325))</f>
        <v>115.544136963876</v>
      </c>
      <c r="I325" s="52" t="n">
        <f aca="false">IF($A325="","",IFERROR(H325/G325,0))</f>
        <v>0.726429104355164</v>
      </c>
      <c r="J325" s="53" t="n">
        <f aca="false">IF($A325="","",F325*C325)</f>
        <v>4218.21</v>
      </c>
      <c r="K325" s="54" t="n">
        <f aca="false">IF($A325="","",IFERROR(J325/$J$505,0))</f>
        <v>0.00109147181859229</v>
      </c>
      <c r="L325" s="54" t="n">
        <f aca="false">IF($A325="","",IFERROR(SUMIFS($J$5:$J$504,$AB$5:$AB$504,"&lt;="&amp;AB325)/$J$505,0))</f>
        <v>0.854467548931401</v>
      </c>
      <c r="M325" s="55" t="str">
        <f aca="false">IF($A325="","",IF(L325&lt;=Assumptions!$B$7,"A",IF(L325&lt;=Assumptions!$B$8,"B","C")))</f>
        <v>B</v>
      </c>
      <c r="N325" s="55" t="str">
        <f aca="false">IF($A325="","",IF(I325&lt;=Assumptions!$B$9,"X",IF(I325&lt;=Assumptions!$B$10,"Y","Z")))</f>
        <v>Y</v>
      </c>
      <c r="O325" s="56" t="str">
        <f aca="false">IF($A325="","",M325&amp;N325)</f>
        <v>BY</v>
      </c>
      <c r="P325" s="57" t="n">
        <f aca="false">IF($A325="","",INDEX(Assumptions!$B$35:$B$37,MATCH(M325,Assumptions!$A$35:$A$37,0)))</f>
        <v>0.95</v>
      </c>
      <c r="Q325" s="58" t="n">
        <f aca="false">IF($A325="","",NORMSINV(P325))</f>
        <v>1.64485362695147</v>
      </c>
      <c r="R325" s="48" t="n">
        <f aca="false">IF($A325="","",ROUNDUP(Q325*H325*SQRT(D325),0))</f>
        <v>381</v>
      </c>
      <c r="S325" s="48" t="n">
        <f aca="false">IF($A325="","",ROUNDUP(G325*D325+R325,0))</f>
        <v>1018</v>
      </c>
      <c r="T325" s="46" t="n">
        <f aca="false">IF($A325="","",IFERROR(ROUND(SQRT(2*F325*Assumptions!$B$4/(Assumptions!$B$5*C325)),0),0))</f>
        <v>2547</v>
      </c>
      <c r="U325" s="53" t="n">
        <f aca="false">IF($A325="","",R325*C325)</f>
        <v>194.31</v>
      </c>
      <c r="V325" s="53" t="n">
        <f aca="false">IF($A325="","",E325*C325)</f>
        <v>973.59</v>
      </c>
      <c r="W325" s="59" t="n">
        <f aca="false">IF($A325="","",IFERROR(E325/G325,0))</f>
        <v>12.0019344698344</v>
      </c>
      <c r="X325" s="48" t="n">
        <f aca="false">IF($A325="","",S325+T325)</f>
        <v>3565</v>
      </c>
      <c r="Y325" s="48" t="n">
        <f aca="false">IF($A325="","",MAX(0,E325-X325))</f>
        <v>0</v>
      </c>
      <c r="Z325" s="53" t="n">
        <f aca="false">IF($A325="","",Y325*C325)</f>
        <v>0</v>
      </c>
      <c r="AA325" s="56" t="str">
        <f aca="false">IF($A325="","",IF(E325&lt;=R325,"Below Safety Stock",IF(E325&lt;=S325,"Reorder Now",IF(E325&gt;X325,"Excess","Healthy"))))</f>
        <v>Healthy</v>
      </c>
      <c r="AB325" s="48" t="n">
        <f aca="false">IF($A325="","",RANK(AF325,$AF$5:$AF$504,0)+COUNTIF($AF$5:AF325,AF325)-1)</f>
        <v>338</v>
      </c>
      <c r="AC325" s="44" t="str">
        <f aca="false">IF($A325="","",Weekly_Demand!B325)</f>
        <v>FUNKY DIVA PEN</v>
      </c>
      <c r="AD325" s="59" t="n">
        <f aca="false">IF($A325="","",H325*SQRT(D325))</f>
        <v>231.088273927753</v>
      </c>
      <c r="AE325" s="53" t="n">
        <f aca="false">IF($A325="","",AD325*C325)</f>
        <v>117.855019703154</v>
      </c>
      <c r="AF325" s="53" t="n">
        <f aca="false">IF($A325="","",ROUND(J325,2))</f>
        <v>4218.21</v>
      </c>
    </row>
    <row r="326" customFormat="false" ht="15" hidden="false" customHeight="false" outlineLevel="0" collapsed="false">
      <c r="A326" s="44" t="str">
        <f aca="false">IF(Weekly_Demand!A326="","",Weekly_Demand!A326)</f>
        <v>21787</v>
      </c>
      <c r="B326" s="44" t="str">
        <f aca="false">IF($A326="","",Weekly_Demand!C326)</f>
        <v>Other</v>
      </c>
      <c r="C326" s="45" t="n">
        <f aca="false">IF($A326="","",Weekly_Demand!D326)</f>
        <v>0.51</v>
      </c>
      <c r="D326" s="46" t="n">
        <f aca="false">IF($A326="","",Weekly_Demand!E326+Assumptions!$B$19)</f>
        <v>8</v>
      </c>
      <c r="E326" s="46" t="n">
        <f aca="false">IF($A326="","",Weekly_Demand!F326)</f>
        <v>2372</v>
      </c>
      <c r="F326" s="46" t="n">
        <f aca="false">IF($A326="","",SUM(Weekly_Demand!G326:BF326))</f>
        <v>8812</v>
      </c>
      <c r="G326" s="51" t="n">
        <f aca="false">IF($A326="","",IFERROR(F326/Assumptions!$B$6,0))</f>
        <v>169.461538461538</v>
      </c>
      <c r="H326" s="51" t="n">
        <f aca="false">IF($A326="","",STDEV(Weekly_Demand!G326:BF326))</f>
        <v>333.037444843932</v>
      </c>
      <c r="I326" s="52" t="n">
        <f aca="false">IF($A326="","",IFERROR(H326/G326,0))</f>
        <v>1.96526862595148</v>
      </c>
      <c r="J326" s="53" t="n">
        <f aca="false">IF($A326="","",F326*C326)</f>
        <v>4494.12</v>
      </c>
      <c r="K326" s="54" t="n">
        <f aca="false">IF($A326="","",IFERROR(J326/$J$505,0))</f>
        <v>0.00116286418394817</v>
      </c>
      <c r="L326" s="54" t="n">
        <f aca="false">IF($A326="","",IFERROR(SUMIFS($J$5:$J$504,$AB$5:$AB$504,"&lt;="&amp;AB326)/$J$505,0))</f>
        <v>0.815251648896995</v>
      </c>
      <c r="M326" s="55" t="str">
        <f aca="false">IF($A326="","",IF(L326&lt;=Assumptions!$B$7,"A",IF(L326&lt;=Assumptions!$B$8,"B","C")))</f>
        <v>B</v>
      </c>
      <c r="N326" s="55" t="str">
        <f aca="false">IF($A326="","",IF(I326&lt;=Assumptions!$B$9,"X",IF(I326&lt;=Assumptions!$B$10,"Y","Z")))</f>
        <v>Z</v>
      </c>
      <c r="O326" s="56" t="str">
        <f aca="false">IF($A326="","",M326&amp;N326)</f>
        <v>BZ</v>
      </c>
      <c r="P326" s="57" t="n">
        <f aca="false">IF($A326="","",INDEX(Assumptions!$B$35:$B$37,MATCH(M326,Assumptions!$A$35:$A$37,0)))</f>
        <v>0.95</v>
      </c>
      <c r="Q326" s="58" t="n">
        <f aca="false">IF($A326="","",NORMSINV(P326))</f>
        <v>1.64485362695147</v>
      </c>
      <c r="R326" s="48" t="n">
        <f aca="false">IF($A326="","",ROUNDUP(Q326*H326*SQRT(D326),0))</f>
        <v>1550</v>
      </c>
      <c r="S326" s="48" t="n">
        <f aca="false">IF($A326="","",ROUNDUP(G326*D326+R326,0))</f>
        <v>2906</v>
      </c>
      <c r="T326" s="46" t="n">
        <f aca="false">IF($A326="","",IFERROR(ROUND(SQRT(2*F326*Assumptions!$B$4/(Assumptions!$B$5*C326)),0),0))</f>
        <v>2629</v>
      </c>
      <c r="U326" s="53" t="n">
        <f aca="false">IF($A326="","",R326*C326)</f>
        <v>790.5</v>
      </c>
      <c r="V326" s="53" t="n">
        <f aca="false">IF($A326="","",E326*C326)</f>
        <v>1209.72</v>
      </c>
      <c r="W326" s="59" t="n">
        <f aca="false">IF($A326="","",IFERROR(E326/G326,0))</f>
        <v>13.9972764412165</v>
      </c>
      <c r="X326" s="48" t="n">
        <f aca="false">IF($A326="","",S326+T326)</f>
        <v>5535</v>
      </c>
      <c r="Y326" s="48" t="n">
        <f aca="false">IF($A326="","",MAX(0,E326-X326))</f>
        <v>0</v>
      </c>
      <c r="Z326" s="53" t="n">
        <f aca="false">IF($A326="","",Y326*C326)</f>
        <v>0</v>
      </c>
      <c r="AA326" s="56" t="str">
        <f aca="false">IF($A326="","",IF(E326&lt;=R326,"Below Safety Stock",IF(E326&lt;=S326,"Reorder Now",IF(E326&gt;X326,"Excess","Healthy"))))</f>
        <v>Reorder Now</v>
      </c>
      <c r="AB326" s="48" t="n">
        <f aca="false">IF($A326="","",RANK(AF326,$AF$5:$AF$504,0)+COUNTIF($AF$5:AF326,AF326)-1)</f>
        <v>303</v>
      </c>
      <c r="AC326" s="44" t="str">
        <f aca="false">IF($A326="","",Weekly_Demand!B326)</f>
        <v>RAIN PONCHO RETROSPOT</v>
      </c>
      <c r="AD326" s="59" t="n">
        <f aca="false">IF($A326="","",H326*SQRT(D326))</f>
        <v>941.97214255274</v>
      </c>
      <c r="AE326" s="53" t="n">
        <f aca="false">IF($A326="","",AD326*C326)</f>
        <v>480.405792701897</v>
      </c>
      <c r="AF326" s="53" t="n">
        <f aca="false">IF($A326="","",ROUND(J326,2))</f>
        <v>4494.12</v>
      </c>
    </row>
    <row r="327" customFormat="false" ht="15" hidden="false" customHeight="false" outlineLevel="0" collapsed="false">
      <c r="A327" s="44" t="str">
        <f aca="false">IF(Weekly_Demand!A327="","",Weekly_Demand!A327)</f>
        <v>22413</v>
      </c>
      <c r="B327" s="44" t="str">
        <f aca="false">IF($A327="","",Weekly_Demand!C327)</f>
        <v>Other</v>
      </c>
      <c r="C327" s="45" t="n">
        <f aca="false">IF($A327="","",Weekly_Demand!D327)</f>
        <v>1.77</v>
      </c>
      <c r="D327" s="46" t="n">
        <f aca="false">IF($A327="","",Weekly_Demand!E327+Assumptions!$B$19)</f>
        <v>4</v>
      </c>
      <c r="E327" s="46" t="n">
        <f aca="false">IF($A327="","",Weekly_Demand!F327)</f>
        <v>401</v>
      </c>
      <c r="F327" s="46" t="n">
        <f aca="false">IF($A327="","",SUM(Weekly_Demand!G327:BF327))</f>
        <v>2316</v>
      </c>
      <c r="G327" s="51" t="n">
        <f aca="false">IF($A327="","",IFERROR(F327/Assumptions!$B$6,0))</f>
        <v>44.5384615384615</v>
      </c>
      <c r="H327" s="51" t="n">
        <f aca="false">IF($A327="","",STDEV(Weekly_Demand!G327:BF327))</f>
        <v>51.084114233277</v>
      </c>
      <c r="I327" s="52" t="n">
        <f aca="false">IF($A327="","",IFERROR(H327/G327,0))</f>
        <v>1.14696629539309</v>
      </c>
      <c r="J327" s="53" t="n">
        <f aca="false">IF($A327="","",F327*C327)</f>
        <v>4099.32</v>
      </c>
      <c r="K327" s="54" t="n">
        <f aca="false">IF($A327="","",IFERROR(J327/$J$505,0))</f>
        <v>0.0010607087497758</v>
      </c>
      <c r="L327" s="54" t="n">
        <f aca="false">IF($A327="","",IFERROR(SUMIFS($J$5:$J$504,$AB$5:$AB$504,"&lt;="&amp;AB327)/$J$505,0))</f>
        <v>0.87274143281408</v>
      </c>
      <c r="M327" s="55" t="str">
        <f aca="false">IF($A327="","",IF(L327&lt;=Assumptions!$B$7,"A",IF(L327&lt;=Assumptions!$B$8,"B","C")))</f>
        <v>B</v>
      </c>
      <c r="N327" s="55" t="str">
        <f aca="false">IF($A327="","",IF(I327&lt;=Assumptions!$B$9,"X",IF(I327&lt;=Assumptions!$B$10,"Y","Z")))</f>
        <v>Z</v>
      </c>
      <c r="O327" s="56" t="str">
        <f aca="false">IF($A327="","",M327&amp;N327)</f>
        <v>BZ</v>
      </c>
      <c r="P327" s="57" t="n">
        <f aca="false">IF($A327="","",INDEX(Assumptions!$B$35:$B$37,MATCH(M327,Assumptions!$A$35:$A$37,0)))</f>
        <v>0.95</v>
      </c>
      <c r="Q327" s="58" t="n">
        <f aca="false">IF($A327="","",NORMSINV(P327))</f>
        <v>1.64485362695147</v>
      </c>
      <c r="R327" s="48" t="n">
        <f aca="false">IF($A327="","",ROUNDUP(Q327*H327*SQRT(D327),0))</f>
        <v>169</v>
      </c>
      <c r="S327" s="48" t="n">
        <f aca="false">IF($A327="","",ROUNDUP(G327*D327+R327,0))</f>
        <v>348</v>
      </c>
      <c r="T327" s="46" t="n">
        <f aca="false">IF($A327="","",IFERROR(ROUND(SQRT(2*F327*Assumptions!$B$4/(Assumptions!$B$5*C327)),0),0))</f>
        <v>723</v>
      </c>
      <c r="U327" s="53" t="n">
        <f aca="false">IF($A327="","",R327*C327)</f>
        <v>299.13</v>
      </c>
      <c r="V327" s="53" t="n">
        <f aca="false">IF($A327="","",E327*C327)</f>
        <v>709.77</v>
      </c>
      <c r="W327" s="59" t="n">
        <f aca="false">IF($A327="","",IFERROR(E327/G327,0))</f>
        <v>9.00345423143351</v>
      </c>
      <c r="X327" s="48" t="n">
        <f aca="false">IF($A327="","",S327+T327)</f>
        <v>1071</v>
      </c>
      <c r="Y327" s="48" t="n">
        <f aca="false">IF($A327="","",MAX(0,E327-X327))</f>
        <v>0</v>
      </c>
      <c r="Z327" s="53" t="n">
        <f aca="false">IF($A327="","",Y327*C327)</f>
        <v>0</v>
      </c>
      <c r="AA327" s="56" t="str">
        <f aca="false">IF($A327="","",IF(E327&lt;=R327,"Below Safety Stock",IF(E327&lt;=S327,"Reorder Now",IF(E327&gt;X327,"Excess","Healthy"))))</f>
        <v>Healthy</v>
      </c>
      <c r="AB327" s="48" t="n">
        <f aca="false">IF($A327="","",RANK(AF327,$AF$5:$AF$504,0)+COUNTIF($AF$5:AF327,AF327)-1)</f>
        <v>355</v>
      </c>
      <c r="AC327" s="44" t="str">
        <f aca="false">IF($A327="","",Weekly_Demand!B327)</f>
        <v>METAL SIGN TAKE IT OR LEAVE IT</v>
      </c>
      <c r="AD327" s="59" t="n">
        <f aca="false">IF($A327="","",H327*SQRT(D327))</f>
        <v>102.168228466554</v>
      </c>
      <c r="AE327" s="53" t="n">
        <f aca="false">IF($A327="","",AD327*C327)</f>
        <v>180.837764385801</v>
      </c>
      <c r="AF327" s="53" t="n">
        <f aca="false">IF($A327="","",ROUND(J327,2))</f>
        <v>4099.32</v>
      </c>
    </row>
    <row r="328" customFormat="false" ht="15" hidden="false" customHeight="false" outlineLevel="0" collapsed="false">
      <c r="A328" s="44" t="str">
        <f aca="false">IF(Weekly_Demand!A328="","",Weekly_Demand!A328)</f>
        <v>21669</v>
      </c>
      <c r="B328" s="44" t="str">
        <f aca="false">IF($A328="","",Weekly_Demand!C328)</f>
        <v>Other</v>
      </c>
      <c r="C328" s="45" t="n">
        <f aca="false">IF($A328="","",Weekly_Demand!D328)</f>
        <v>0.75</v>
      </c>
      <c r="D328" s="46" t="n">
        <f aca="false">IF($A328="","",Weekly_Demand!E328+Assumptions!$B$19)</f>
        <v>4</v>
      </c>
      <c r="E328" s="46" t="n">
        <f aca="false">IF($A328="","",Weekly_Demand!F328)</f>
        <v>101</v>
      </c>
      <c r="F328" s="46" t="n">
        <f aca="false">IF($A328="","",SUM(Weekly_Demand!G328:BF328))</f>
        <v>5229</v>
      </c>
      <c r="G328" s="51" t="n">
        <f aca="false">IF($A328="","",IFERROR(F328/Assumptions!$B$6,0))</f>
        <v>100.557692307692</v>
      </c>
      <c r="H328" s="51" t="n">
        <f aca="false">IF($A328="","",STDEV(Weekly_Demand!G328:BF328))</f>
        <v>56.9194179146854</v>
      </c>
      <c r="I328" s="52" t="n">
        <f aca="false">IF($A328="","",IFERROR(H328/G328,0))</f>
        <v>0.566037431930319</v>
      </c>
      <c r="J328" s="53" t="n">
        <f aca="false">IF($A328="","",F328*C328)</f>
        <v>3921.75</v>
      </c>
      <c r="K328" s="54" t="n">
        <f aca="false">IF($A328="","",IFERROR(J328/$J$505,0))</f>
        <v>0.00101476209211119</v>
      </c>
      <c r="L328" s="54" t="n">
        <f aca="false">IF($A328="","",IFERROR(SUMIFS($J$5:$J$504,$AB$5:$AB$504,"&lt;="&amp;AB328)/$J$505,0))</f>
        <v>0.888238876379773</v>
      </c>
      <c r="M328" s="55" t="str">
        <f aca="false">IF($A328="","",IF(L328&lt;=Assumptions!$B$7,"A",IF(L328&lt;=Assumptions!$B$8,"B","C")))</f>
        <v>B</v>
      </c>
      <c r="N328" s="55" t="str">
        <f aca="false">IF($A328="","",IF(I328&lt;=Assumptions!$B$9,"X",IF(I328&lt;=Assumptions!$B$10,"Y","Z")))</f>
        <v>Y</v>
      </c>
      <c r="O328" s="56" t="str">
        <f aca="false">IF($A328="","",M328&amp;N328)</f>
        <v>BY</v>
      </c>
      <c r="P328" s="57" t="n">
        <f aca="false">IF($A328="","",INDEX(Assumptions!$B$35:$B$37,MATCH(M328,Assumptions!$A$35:$A$37,0)))</f>
        <v>0.95</v>
      </c>
      <c r="Q328" s="58" t="n">
        <f aca="false">IF($A328="","",NORMSINV(P328))</f>
        <v>1.64485362695147</v>
      </c>
      <c r="R328" s="48" t="n">
        <f aca="false">IF($A328="","",ROUNDUP(Q328*H328*SQRT(D328),0))</f>
        <v>188</v>
      </c>
      <c r="S328" s="48" t="n">
        <f aca="false">IF($A328="","",ROUNDUP(G328*D328+R328,0))</f>
        <v>591</v>
      </c>
      <c r="T328" s="46" t="n">
        <f aca="false">IF($A328="","",IFERROR(ROUND(SQRT(2*F328*Assumptions!$B$4/(Assumptions!$B$5*C328)),0),0))</f>
        <v>1670</v>
      </c>
      <c r="U328" s="53" t="n">
        <f aca="false">IF($A328="","",R328*C328)</f>
        <v>141</v>
      </c>
      <c r="V328" s="53" t="n">
        <f aca="false">IF($A328="","",E328*C328)</f>
        <v>75.75</v>
      </c>
      <c r="W328" s="59" t="n">
        <f aca="false">IF($A328="","",IFERROR(E328/G328,0))</f>
        <v>1.00439854656722</v>
      </c>
      <c r="X328" s="48" t="n">
        <f aca="false">IF($A328="","",S328+T328)</f>
        <v>2261</v>
      </c>
      <c r="Y328" s="48" t="n">
        <f aca="false">IF($A328="","",MAX(0,E328-X328))</f>
        <v>0</v>
      </c>
      <c r="Z328" s="53" t="n">
        <f aca="false">IF($A328="","",Y328*C328)</f>
        <v>0</v>
      </c>
      <c r="AA328" s="56" t="str">
        <f aca="false">IF($A328="","",IF(E328&lt;=R328,"Below Safety Stock",IF(E328&lt;=S328,"Reorder Now",IF(E328&gt;X328,"Excess","Healthy"))))</f>
        <v>Below Safety Stock</v>
      </c>
      <c r="AB328" s="48" t="n">
        <f aca="false">IF($A328="","",RANK(AF328,$AF$5:$AF$504,0)+COUNTIF($AF$5:AF328,AF328)-1)</f>
        <v>370</v>
      </c>
      <c r="AC328" s="44" t="str">
        <f aca="false">IF($A328="","",Weekly_Demand!B328)</f>
        <v>BLUE STRIPE CERAMIC DRAWER KNOB</v>
      </c>
      <c r="AD328" s="59" t="n">
        <f aca="false">IF($A328="","",H328*SQRT(D328))</f>
        <v>113.838835829371</v>
      </c>
      <c r="AE328" s="53" t="n">
        <f aca="false">IF($A328="","",AD328*C328)</f>
        <v>85.3791268720281</v>
      </c>
      <c r="AF328" s="53" t="n">
        <f aca="false">IF($A328="","",ROUND(J328,2))</f>
        <v>3921.75</v>
      </c>
    </row>
    <row r="329" customFormat="false" ht="15" hidden="false" customHeight="false" outlineLevel="0" collapsed="false">
      <c r="A329" s="44" t="str">
        <f aca="false">IF(Weekly_Demand!A329="","",Weekly_Demand!A329)</f>
        <v>23236</v>
      </c>
      <c r="B329" s="44" t="str">
        <f aca="false">IF($A329="","",Weekly_Demand!C329)</f>
        <v>Kitchen</v>
      </c>
      <c r="C329" s="45" t="n">
        <f aca="false">IF($A329="","",Weekly_Demand!D329)</f>
        <v>1.734</v>
      </c>
      <c r="D329" s="46" t="n">
        <f aca="false">IF($A329="","",Weekly_Demand!E329+Assumptions!$B$19)</f>
        <v>2</v>
      </c>
      <c r="E329" s="46" t="n">
        <f aca="false">IF($A329="","",Weekly_Demand!F329)</f>
        <v>1530</v>
      </c>
      <c r="F329" s="46" t="n">
        <f aca="false">IF($A329="","",SUM(Weekly_Demand!G329:BF329))</f>
        <v>2486</v>
      </c>
      <c r="G329" s="51" t="n">
        <f aca="false">IF($A329="","",IFERROR(F329/Assumptions!$B$6,0))</f>
        <v>47.8076923076923</v>
      </c>
      <c r="H329" s="51" t="n">
        <f aca="false">IF($A329="","",STDEV(Weekly_Demand!G329:BF329))</f>
        <v>75.3754103716045</v>
      </c>
      <c r="I329" s="52" t="n">
        <f aca="false">IF($A329="","",IFERROR(H329/G329,0))</f>
        <v>1.57663770688795</v>
      </c>
      <c r="J329" s="53" t="n">
        <f aca="false">IF($A329="","",F329*C329)</f>
        <v>4310.724</v>
      </c>
      <c r="K329" s="54" t="n">
        <f aca="false">IF($A329="","",IFERROR(J329/$J$505,0))</f>
        <v>0.00111541003499813</v>
      </c>
      <c r="L329" s="54" t="n">
        <f aca="false">IF($A329="","",IFERROR(SUMIFS($J$5:$J$504,$AB$5:$AB$504,"&lt;="&amp;AB329)/$J$505,0))</f>
        <v>0.836824560243018</v>
      </c>
      <c r="M329" s="55" t="str">
        <f aca="false">IF($A329="","",IF(L329&lt;=Assumptions!$B$7,"A",IF(L329&lt;=Assumptions!$B$8,"B","C")))</f>
        <v>B</v>
      </c>
      <c r="N329" s="55" t="str">
        <f aca="false">IF($A329="","",IF(I329&lt;=Assumptions!$B$9,"X",IF(I329&lt;=Assumptions!$B$10,"Y","Z")))</f>
        <v>Z</v>
      </c>
      <c r="O329" s="56" t="str">
        <f aca="false">IF($A329="","",M329&amp;N329)</f>
        <v>BZ</v>
      </c>
      <c r="P329" s="57" t="n">
        <f aca="false">IF($A329="","",INDEX(Assumptions!$B$35:$B$37,MATCH(M329,Assumptions!$A$35:$A$37,0)))</f>
        <v>0.95</v>
      </c>
      <c r="Q329" s="58" t="n">
        <f aca="false">IF($A329="","",NORMSINV(P329))</f>
        <v>1.64485362695147</v>
      </c>
      <c r="R329" s="48" t="n">
        <f aca="false">IF($A329="","",ROUNDUP(Q329*H329*SQRT(D329),0))</f>
        <v>176</v>
      </c>
      <c r="S329" s="48" t="n">
        <f aca="false">IF($A329="","",ROUNDUP(G329*D329+R329,0))</f>
        <v>272</v>
      </c>
      <c r="T329" s="46" t="n">
        <f aca="false">IF($A329="","",IFERROR(ROUND(SQRT(2*F329*Assumptions!$B$4/(Assumptions!$B$5*C329)),0),0))</f>
        <v>757</v>
      </c>
      <c r="U329" s="53" t="n">
        <f aca="false">IF($A329="","",R329*C329)</f>
        <v>305.184</v>
      </c>
      <c r="V329" s="53" t="n">
        <f aca="false">IF($A329="","",E329*C329)</f>
        <v>2653.02</v>
      </c>
      <c r="W329" s="59" t="n">
        <f aca="false">IF($A329="","",IFERROR(E329/G329,0))</f>
        <v>32.0032180209171</v>
      </c>
      <c r="X329" s="48" t="n">
        <f aca="false">IF($A329="","",S329+T329)</f>
        <v>1029</v>
      </c>
      <c r="Y329" s="48" t="n">
        <f aca="false">IF($A329="","",MAX(0,E329-X329))</f>
        <v>501</v>
      </c>
      <c r="Z329" s="53" t="n">
        <f aca="false">IF($A329="","",Y329*C329)</f>
        <v>868.734</v>
      </c>
      <c r="AA329" s="56" t="str">
        <f aca="false">IF($A329="","",IF(E329&lt;=R329,"Below Safety Stock",IF(E329&lt;=S329,"Reorder Now",IF(E329&gt;X329,"Excess","Healthy"))))</f>
        <v>Excess</v>
      </c>
      <c r="AB329" s="48" t="n">
        <f aca="false">IF($A329="","",RANK(AF329,$AF$5:$AF$504,0)+COUNTIF($AF$5:AF329,AF329)-1)</f>
        <v>322</v>
      </c>
      <c r="AC329" s="44" t="str">
        <f aca="false">IF($A329="","",Weekly_Demand!B329)</f>
        <v>STORAGE TIN VINTAGE DOILY</v>
      </c>
      <c r="AD329" s="59" t="n">
        <f aca="false">IF($A329="","",H329*SQRT(D329))</f>
        <v>106.596927616961</v>
      </c>
      <c r="AE329" s="53" t="n">
        <f aca="false">IF($A329="","",AD329*C329)</f>
        <v>184.83907248781</v>
      </c>
      <c r="AF329" s="53" t="n">
        <f aca="false">IF($A329="","",ROUND(J329,2))</f>
        <v>4310.72</v>
      </c>
    </row>
    <row r="330" customFormat="false" ht="15" hidden="false" customHeight="false" outlineLevel="0" collapsed="false">
      <c r="A330" s="44" t="str">
        <f aca="false">IF(Weekly_Demand!A330="","",Weekly_Demand!A330)</f>
        <v>21169</v>
      </c>
      <c r="B330" s="44" t="str">
        <f aca="false">IF($A330="","",Weekly_Demand!C330)</f>
        <v>Other</v>
      </c>
      <c r="C330" s="45" t="n">
        <f aca="false">IF($A330="","",Weekly_Demand!D330)</f>
        <v>1.014</v>
      </c>
      <c r="D330" s="46" t="n">
        <f aca="false">IF($A330="","",Weekly_Demand!E330+Assumptions!$B$19)</f>
        <v>4</v>
      </c>
      <c r="E330" s="46" t="n">
        <f aca="false">IF($A330="","",Weekly_Demand!F330)</f>
        <v>82</v>
      </c>
      <c r="F330" s="46" t="n">
        <f aca="false">IF($A330="","",SUM(Weekly_Demand!G330:BF330))</f>
        <v>4260</v>
      </c>
      <c r="G330" s="51" t="n">
        <f aca="false">IF($A330="","",IFERROR(F330/Assumptions!$B$6,0))</f>
        <v>81.9230769230769</v>
      </c>
      <c r="H330" s="51" t="n">
        <f aca="false">IF($A330="","",STDEV(Weekly_Demand!G330:BF330))</f>
        <v>82.0298477848265</v>
      </c>
      <c r="I330" s="52" t="n">
        <f aca="false">IF($A330="","",IFERROR(H330/G330,0))</f>
        <v>1.00130330629366</v>
      </c>
      <c r="J330" s="53" t="n">
        <f aca="false">IF($A330="","",F330*C330)</f>
        <v>4319.64</v>
      </c>
      <c r="K330" s="54" t="n">
        <f aca="false">IF($A330="","",IFERROR(J330/$J$505,0))</f>
        <v>0.00111771707109509</v>
      </c>
      <c r="L330" s="54" t="n">
        <f aca="false">IF($A330="","",IFERROR(SUMIFS($J$5:$J$504,$AB$5:$AB$504,"&lt;="&amp;AB330)/$J$505,0))</f>
        <v>0.834592527659434</v>
      </c>
      <c r="M330" s="55" t="str">
        <f aca="false">IF($A330="","",IF(L330&lt;=Assumptions!$B$7,"A",IF(L330&lt;=Assumptions!$B$8,"B","C")))</f>
        <v>B</v>
      </c>
      <c r="N330" s="55" t="str">
        <f aca="false">IF($A330="","",IF(I330&lt;=Assumptions!$B$9,"X",IF(I330&lt;=Assumptions!$B$10,"Y","Z")))</f>
        <v>Z</v>
      </c>
      <c r="O330" s="56" t="str">
        <f aca="false">IF($A330="","",M330&amp;N330)</f>
        <v>BZ</v>
      </c>
      <c r="P330" s="57" t="n">
        <f aca="false">IF($A330="","",INDEX(Assumptions!$B$35:$B$37,MATCH(M330,Assumptions!$A$35:$A$37,0)))</f>
        <v>0.95</v>
      </c>
      <c r="Q330" s="58" t="n">
        <f aca="false">IF($A330="","",NORMSINV(P330))</f>
        <v>1.64485362695147</v>
      </c>
      <c r="R330" s="48" t="n">
        <f aca="false">IF($A330="","",ROUNDUP(Q330*H330*SQRT(D330),0))</f>
        <v>270</v>
      </c>
      <c r="S330" s="48" t="n">
        <f aca="false">IF($A330="","",ROUNDUP(G330*D330+R330,0))</f>
        <v>598</v>
      </c>
      <c r="T330" s="46" t="n">
        <f aca="false">IF($A330="","",IFERROR(ROUND(SQRT(2*F330*Assumptions!$B$4/(Assumptions!$B$5*C330)),0),0))</f>
        <v>1296</v>
      </c>
      <c r="U330" s="53" t="n">
        <f aca="false">IF($A330="","",R330*C330)</f>
        <v>273.78</v>
      </c>
      <c r="V330" s="53" t="n">
        <f aca="false">IF($A330="","",E330*C330)</f>
        <v>83.148</v>
      </c>
      <c r="W330" s="59" t="n">
        <f aca="false">IF($A330="","",IFERROR(E330/G330,0))</f>
        <v>1.00093896713615</v>
      </c>
      <c r="X330" s="48" t="n">
        <f aca="false">IF($A330="","",S330+T330)</f>
        <v>1894</v>
      </c>
      <c r="Y330" s="48" t="n">
        <f aca="false">IF($A330="","",MAX(0,E330-X330))</f>
        <v>0</v>
      </c>
      <c r="Z330" s="53" t="n">
        <f aca="false">IF($A330="","",Y330*C330)</f>
        <v>0</v>
      </c>
      <c r="AA330" s="56" t="str">
        <f aca="false">IF($A330="","",IF(E330&lt;=R330,"Below Safety Stock",IF(E330&lt;=S330,"Reorder Now",IF(E330&gt;X330,"Excess","Healthy"))))</f>
        <v>Below Safety Stock</v>
      </c>
      <c r="AB330" s="48" t="n">
        <f aca="false">IF($A330="","",RANK(AF330,$AF$5:$AF$504,0)+COUNTIF($AF$5:AF330,AF330)-1)</f>
        <v>320</v>
      </c>
      <c r="AC330" s="44" t="str">
        <f aca="false">IF($A330="","",Weekly_Demand!B330)</f>
        <v>YOU'RE CONFUSING ME METAL SIGN</v>
      </c>
      <c r="AD330" s="59" t="n">
        <f aca="false">IF($A330="","",H330*SQRT(D330))</f>
        <v>164.059695569653</v>
      </c>
      <c r="AE330" s="53" t="n">
        <f aca="false">IF($A330="","",AD330*C330)</f>
        <v>166.356531307628</v>
      </c>
      <c r="AF330" s="53" t="n">
        <f aca="false">IF($A330="","",ROUND(J330,2))</f>
        <v>4319.64</v>
      </c>
    </row>
    <row r="331" customFormat="false" ht="15" hidden="false" customHeight="false" outlineLevel="0" collapsed="false">
      <c r="A331" s="44" t="str">
        <f aca="false">IF(Weekly_Demand!A331="","",Weekly_Demand!A331)</f>
        <v>20969</v>
      </c>
      <c r="B331" s="44" t="str">
        <f aca="false">IF($A331="","",Weekly_Demand!C331)</f>
        <v>Bags</v>
      </c>
      <c r="C331" s="45" t="n">
        <f aca="false">IF($A331="","",Weekly_Demand!D331)</f>
        <v>2.25</v>
      </c>
      <c r="D331" s="46" t="n">
        <f aca="false">IF($A331="","",Weekly_Demand!E331+Assumptions!$B$19)</f>
        <v>4</v>
      </c>
      <c r="E331" s="46" t="n">
        <f aca="false">IF($A331="","",Weekly_Demand!F331)</f>
        <v>37</v>
      </c>
      <c r="F331" s="46" t="n">
        <f aca="false">IF($A331="","",SUM(Weekly_Demand!G331:BF331))</f>
        <v>1909</v>
      </c>
      <c r="G331" s="51" t="n">
        <f aca="false">IF($A331="","",IFERROR(F331/Assumptions!$B$6,0))</f>
        <v>36.7115384615385</v>
      </c>
      <c r="H331" s="51" t="n">
        <f aca="false">IF($A331="","",STDEV(Weekly_Demand!G331:BF331))</f>
        <v>69.3771552326482</v>
      </c>
      <c r="I331" s="52" t="n">
        <f aca="false">IF($A331="","",IFERROR(H331/G331,0))</f>
        <v>1.88979155164888</v>
      </c>
      <c r="J331" s="53" t="n">
        <f aca="false">IF($A331="","",F331*C331)</f>
        <v>4295.25</v>
      </c>
      <c r="K331" s="54" t="n">
        <f aca="false">IF($A331="","",IFERROR(J331/$J$505,0))</f>
        <v>0.00111140610088368</v>
      </c>
      <c r="L331" s="54" t="n">
        <f aca="false">IF($A331="","",IFERROR(SUMIFS($J$5:$J$504,$AB$5:$AB$504,"&lt;="&amp;AB331)/$J$505,0))</f>
        <v>0.841274547211447</v>
      </c>
      <c r="M331" s="55" t="str">
        <f aca="false">IF($A331="","",IF(L331&lt;=Assumptions!$B$7,"A",IF(L331&lt;=Assumptions!$B$8,"B","C")))</f>
        <v>B</v>
      </c>
      <c r="N331" s="55" t="str">
        <f aca="false">IF($A331="","",IF(I331&lt;=Assumptions!$B$9,"X",IF(I331&lt;=Assumptions!$B$10,"Y","Z")))</f>
        <v>Z</v>
      </c>
      <c r="O331" s="56" t="str">
        <f aca="false">IF($A331="","",M331&amp;N331)</f>
        <v>BZ</v>
      </c>
      <c r="P331" s="57" t="n">
        <f aca="false">IF($A331="","",INDEX(Assumptions!$B$35:$B$37,MATCH(M331,Assumptions!$A$35:$A$37,0)))</f>
        <v>0.95</v>
      </c>
      <c r="Q331" s="58" t="n">
        <f aca="false">IF($A331="","",NORMSINV(P331))</f>
        <v>1.64485362695147</v>
      </c>
      <c r="R331" s="48" t="n">
        <f aca="false">IF($A331="","",ROUNDUP(Q331*H331*SQRT(D331),0))</f>
        <v>229</v>
      </c>
      <c r="S331" s="48" t="n">
        <f aca="false">IF($A331="","",ROUNDUP(G331*D331+R331,0))</f>
        <v>376</v>
      </c>
      <c r="T331" s="46" t="n">
        <f aca="false">IF($A331="","",IFERROR(ROUND(SQRT(2*F331*Assumptions!$B$4/(Assumptions!$B$5*C331)),0),0))</f>
        <v>583</v>
      </c>
      <c r="U331" s="53" t="n">
        <f aca="false">IF($A331="","",R331*C331)</f>
        <v>515.25</v>
      </c>
      <c r="V331" s="53" t="n">
        <f aca="false">IF($A331="","",E331*C331)</f>
        <v>83.25</v>
      </c>
      <c r="W331" s="59" t="n">
        <f aca="false">IF($A331="","",IFERROR(E331/G331,0))</f>
        <v>1.00785751702462</v>
      </c>
      <c r="X331" s="48" t="n">
        <f aca="false">IF($A331="","",S331+T331)</f>
        <v>959</v>
      </c>
      <c r="Y331" s="48" t="n">
        <f aca="false">IF($A331="","",MAX(0,E331-X331))</f>
        <v>0</v>
      </c>
      <c r="Z331" s="53" t="n">
        <f aca="false">IF($A331="","",Y331*C331)</f>
        <v>0</v>
      </c>
      <c r="AA331" s="56" t="str">
        <f aca="false">IF($A331="","",IF(E331&lt;=R331,"Below Safety Stock",IF(E331&lt;=S331,"Reorder Now",IF(E331&gt;X331,"Excess","Healthy"))))</f>
        <v>Below Safety Stock</v>
      </c>
      <c r="AB331" s="48" t="n">
        <f aca="false">IF($A331="","",RANK(AF331,$AF$5:$AF$504,0)+COUNTIF($AF$5:AF331,AF331)-1)</f>
        <v>326</v>
      </c>
      <c r="AC331" s="44" t="str">
        <f aca="false">IF($A331="","",Weekly_Demand!B331)</f>
        <v>RED FLORAL FELTCRAFT SHOULDER BAG</v>
      </c>
      <c r="AD331" s="59" t="n">
        <f aca="false">IF($A331="","",H331*SQRT(D331))</f>
        <v>138.754310465296</v>
      </c>
      <c r="AE331" s="53" t="n">
        <f aca="false">IF($A331="","",AD331*C331)</f>
        <v>312.197198546917</v>
      </c>
      <c r="AF331" s="53" t="n">
        <f aca="false">IF($A331="","",ROUND(J331,2))</f>
        <v>4295.25</v>
      </c>
    </row>
    <row r="332" customFormat="false" ht="15" hidden="false" customHeight="false" outlineLevel="0" collapsed="false">
      <c r="A332" s="44" t="str">
        <f aca="false">IF(Weekly_Demand!A332="","",Weekly_Demand!A332)</f>
        <v>22631</v>
      </c>
      <c r="B332" s="44" t="str">
        <f aca="false">IF($A332="","",Weekly_Demand!C332)</f>
        <v>Other</v>
      </c>
      <c r="C332" s="45" t="n">
        <f aca="false">IF($A332="","",Weekly_Demand!D332)</f>
        <v>1.17</v>
      </c>
      <c r="D332" s="46" t="n">
        <f aca="false">IF($A332="","",Weekly_Demand!E332+Assumptions!$B$19)</f>
        <v>8</v>
      </c>
      <c r="E332" s="46" t="n">
        <f aca="false">IF($A332="","",Weekly_Demand!F332)</f>
        <v>206</v>
      </c>
      <c r="F332" s="46" t="n">
        <f aca="false">IF($A332="","",SUM(Weekly_Demand!G332:BF332))</f>
        <v>3573</v>
      </c>
      <c r="G332" s="51" t="n">
        <f aca="false">IF($A332="","",IFERROR(F332/Assumptions!$B$6,0))</f>
        <v>68.7115384615385</v>
      </c>
      <c r="H332" s="51" t="n">
        <f aca="false">IF($A332="","",STDEV(Weekly_Demand!G332:BF332))</f>
        <v>60.1763214908901</v>
      </c>
      <c r="I332" s="52" t="n">
        <f aca="false">IF($A332="","",IFERROR(H332/G332,0))</f>
        <v>0.875781896872736</v>
      </c>
      <c r="J332" s="53" t="n">
        <f aca="false">IF($A332="","",F332*C332)</f>
        <v>4180.41</v>
      </c>
      <c r="K332" s="54" t="n">
        <f aca="false">IF($A332="","",IFERROR(J332/$J$505,0))</f>
        <v>0.00108169097915026</v>
      </c>
      <c r="L332" s="54" t="n">
        <f aca="false">IF($A332="","",IFERROR(SUMIFS($J$5:$J$504,$AB$5:$AB$504,"&lt;="&amp;AB332)/$J$505,0))</f>
        <v>0.859892398377074</v>
      </c>
      <c r="M332" s="55" t="str">
        <f aca="false">IF($A332="","",IF(L332&lt;=Assumptions!$B$7,"A",IF(L332&lt;=Assumptions!$B$8,"B","C")))</f>
        <v>B</v>
      </c>
      <c r="N332" s="55" t="str">
        <f aca="false">IF($A332="","",IF(I332&lt;=Assumptions!$B$9,"X",IF(I332&lt;=Assumptions!$B$10,"Y","Z")))</f>
        <v>Y</v>
      </c>
      <c r="O332" s="56" t="str">
        <f aca="false">IF($A332="","",M332&amp;N332)</f>
        <v>BY</v>
      </c>
      <c r="P332" s="57" t="n">
        <f aca="false">IF($A332="","",INDEX(Assumptions!$B$35:$B$37,MATCH(M332,Assumptions!$A$35:$A$37,0)))</f>
        <v>0.95</v>
      </c>
      <c r="Q332" s="58" t="n">
        <f aca="false">IF($A332="","",NORMSINV(P332))</f>
        <v>1.64485362695147</v>
      </c>
      <c r="R332" s="48" t="n">
        <f aca="false">IF($A332="","",ROUNDUP(Q332*H332*SQRT(D332),0))</f>
        <v>280</v>
      </c>
      <c r="S332" s="48" t="n">
        <f aca="false">IF($A332="","",ROUNDUP(G332*D332+R332,0))</f>
        <v>830</v>
      </c>
      <c r="T332" s="46" t="n">
        <f aca="false">IF($A332="","",IFERROR(ROUND(SQRT(2*F332*Assumptions!$B$4/(Assumptions!$B$5*C332)),0),0))</f>
        <v>1105</v>
      </c>
      <c r="U332" s="53" t="n">
        <f aca="false">IF($A332="","",R332*C332)</f>
        <v>327.6</v>
      </c>
      <c r="V332" s="53" t="n">
        <f aca="false">IF($A332="","",E332*C332)</f>
        <v>241.02</v>
      </c>
      <c r="W332" s="59" t="n">
        <f aca="false">IF($A332="","",IFERROR(E332/G332,0))</f>
        <v>2.99804086202071</v>
      </c>
      <c r="X332" s="48" t="n">
        <f aca="false">IF($A332="","",S332+T332)</f>
        <v>1935</v>
      </c>
      <c r="Y332" s="48" t="n">
        <f aca="false">IF($A332="","",MAX(0,E332-X332))</f>
        <v>0</v>
      </c>
      <c r="Z332" s="53" t="n">
        <f aca="false">IF($A332="","",Y332*C332)</f>
        <v>0</v>
      </c>
      <c r="AA332" s="56" t="str">
        <f aca="false">IF($A332="","",IF(E332&lt;=R332,"Below Safety Stock",IF(E332&lt;=S332,"Reorder Now",IF(E332&gt;X332,"Excess","Healthy"))))</f>
        <v>Below Safety Stock</v>
      </c>
      <c r="AB332" s="48" t="n">
        <f aca="false">IF($A332="","",RANK(AF332,$AF$5:$AF$504,0)+COUNTIF($AF$5:AF332,AF332)-1)</f>
        <v>343</v>
      </c>
      <c r="AC332" s="44" t="str">
        <f aca="false">IF($A332="","",Weekly_Demand!B332)</f>
        <v>CIRCUS PARADE LUNCH BOX</v>
      </c>
      <c r="AD332" s="59" t="n">
        <f aca="false">IF($A332="","",H332*SQRT(D332))</f>
        <v>170.204339972281</v>
      </c>
      <c r="AE332" s="53" t="n">
        <f aca="false">IF($A332="","",AD332*C332)</f>
        <v>199.139077767568</v>
      </c>
      <c r="AF332" s="53" t="n">
        <f aca="false">IF($A332="","",ROUND(J332,2))</f>
        <v>4180.41</v>
      </c>
    </row>
    <row r="333" customFormat="false" ht="15" hidden="false" customHeight="false" outlineLevel="0" collapsed="false">
      <c r="A333" s="44" t="str">
        <f aca="false">IF(Weekly_Demand!A333="","",Weekly_Demand!A333)</f>
        <v>84949</v>
      </c>
      <c r="B333" s="44" t="str">
        <f aca="false">IF($A333="","",Weekly_Demand!C333)</f>
        <v>Lighting</v>
      </c>
      <c r="C333" s="45" t="n">
        <f aca="false">IF($A333="","",Weekly_Demand!D333)</f>
        <v>0.99</v>
      </c>
      <c r="D333" s="46" t="n">
        <f aca="false">IF($A333="","",Weekly_Demand!E333+Assumptions!$B$19)</f>
        <v>4</v>
      </c>
      <c r="E333" s="46" t="n">
        <f aca="false">IF($A333="","",Weekly_Demand!F333)</f>
        <v>671</v>
      </c>
      <c r="F333" s="46" t="n">
        <f aca="false">IF($A333="","",SUM(Weekly_Demand!G333:BF333))</f>
        <v>4359</v>
      </c>
      <c r="G333" s="51" t="n">
        <f aca="false">IF($A333="","",IFERROR(F333/Assumptions!$B$6,0))</f>
        <v>83.8269230769231</v>
      </c>
      <c r="H333" s="51" t="n">
        <f aca="false">IF($A333="","",STDEV(Weekly_Demand!G333:BF333))</f>
        <v>103.907523204926</v>
      </c>
      <c r="I333" s="52" t="n">
        <f aca="false">IF($A333="","",IFERROR(H333/G333,0))</f>
        <v>1.23954833830148</v>
      </c>
      <c r="J333" s="53" t="n">
        <f aca="false">IF($A333="","",F333*C333)</f>
        <v>4315.41</v>
      </c>
      <c r="K333" s="54" t="n">
        <f aca="false">IF($A333="","",IFERROR(J333/$J$505,0))</f>
        <v>0.0011166225485861</v>
      </c>
      <c r="L333" s="54" t="n">
        <f aca="false">IF($A333="","",IFERROR(SUMIFS($J$5:$J$504,$AB$5:$AB$504,"&lt;="&amp;AB333)/$J$505,0))</f>
        <v>0.83570915020802</v>
      </c>
      <c r="M333" s="55" t="str">
        <f aca="false">IF($A333="","",IF(L333&lt;=Assumptions!$B$7,"A",IF(L333&lt;=Assumptions!$B$8,"B","C")))</f>
        <v>B</v>
      </c>
      <c r="N333" s="55" t="str">
        <f aca="false">IF($A333="","",IF(I333&lt;=Assumptions!$B$9,"X",IF(I333&lt;=Assumptions!$B$10,"Y","Z")))</f>
        <v>Z</v>
      </c>
      <c r="O333" s="56" t="str">
        <f aca="false">IF($A333="","",M333&amp;N333)</f>
        <v>BZ</v>
      </c>
      <c r="P333" s="57" t="n">
        <f aca="false">IF($A333="","",INDEX(Assumptions!$B$35:$B$37,MATCH(M333,Assumptions!$A$35:$A$37,0)))</f>
        <v>0.95</v>
      </c>
      <c r="Q333" s="58" t="n">
        <f aca="false">IF($A333="","",NORMSINV(P333))</f>
        <v>1.64485362695147</v>
      </c>
      <c r="R333" s="48" t="n">
        <f aca="false">IF($A333="","",ROUNDUP(Q333*H333*SQRT(D333),0))</f>
        <v>342</v>
      </c>
      <c r="S333" s="48" t="n">
        <f aca="false">IF($A333="","",ROUNDUP(G333*D333+R333,0))</f>
        <v>678</v>
      </c>
      <c r="T333" s="46" t="n">
        <f aca="false">IF($A333="","",IFERROR(ROUND(SQRT(2*F333*Assumptions!$B$4/(Assumptions!$B$5*C333)),0),0))</f>
        <v>1327</v>
      </c>
      <c r="U333" s="53" t="n">
        <f aca="false">IF($A333="","",R333*C333)</f>
        <v>338.58</v>
      </c>
      <c r="V333" s="53" t="n">
        <f aca="false">IF($A333="","",E333*C333)</f>
        <v>664.29</v>
      </c>
      <c r="W333" s="59" t="n">
        <f aca="false">IF($A333="","",IFERROR(E333/G333,0))</f>
        <v>8.00458820830466</v>
      </c>
      <c r="X333" s="48" t="n">
        <f aca="false">IF($A333="","",S333+T333)</f>
        <v>2005</v>
      </c>
      <c r="Y333" s="48" t="n">
        <f aca="false">IF($A333="","",MAX(0,E333-X333))</f>
        <v>0</v>
      </c>
      <c r="Z333" s="53" t="n">
        <f aca="false">IF($A333="","",Y333*C333)</f>
        <v>0</v>
      </c>
      <c r="AA333" s="56" t="str">
        <f aca="false">IF($A333="","",IF(E333&lt;=R333,"Below Safety Stock",IF(E333&lt;=S333,"Reorder Now",IF(E333&gt;X333,"Excess","Healthy"))))</f>
        <v>Reorder Now</v>
      </c>
      <c r="AB333" s="48" t="n">
        <f aca="false">IF($A333="","",RANK(AF333,$AF$5:$AF$504,0)+COUNTIF($AF$5:AF333,AF333)-1)</f>
        <v>321</v>
      </c>
      <c r="AC333" s="44" t="str">
        <f aca="false">IF($A333="","",Weekly_Demand!B333)</f>
        <v>SILVER HANGING T-LIGHT HOLDER</v>
      </c>
      <c r="AD333" s="59" t="n">
        <f aca="false">IF($A333="","",H333*SQRT(D333))</f>
        <v>207.815046409852</v>
      </c>
      <c r="AE333" s="53" t="n">
        <f aca="false">IF($A333="","",AD333*C333)</f>
        <v>205.736895945753</v>
      </c>
      <c r="AF333" s="53" t="n">
        <f aca="false">IF($A333="","",ROUND(J333,2))</f>
        <v>4315.41</v>
      </c>
    </row>
    <row r="334" customFormat="false" ht="15" hidden="false" customHeight="false" outlineLevel="0" collapsed="false">
      <c r="A334" s="44" t="str">
        <f aca="false">IF(Weekly_Demand!A334="","",Weekly_Demand!A334)</f>
        <v>22585</v>
      </c>
      <c r="B334" s="44" t="str">
        <f aca="false">IF($A334="","",Weekly_Demand!C334)</f>
        <v>Other</v>
      </c>
      <c r="C334" s="45" t="n">
        <f aca="false">IF($A334="","",Weekly_Demand!D334)</f>
        <v>0.75</v>
      </c>
      <c r="D334" s="46" t="n">
        <f aca="false">IF($A334="","",Weekly_Demand!E334+Assumptions!$B$19)</f>
        <v>4</v>
      </c>
      <c r="E334" s="46" t="n">
        <f aca="false">IF($A334="","",Weekly_Demand!F334)</f>
        <v>110</v>
      </c>
      <c r="F334" s="46" t="n">
        <f aca="false">IF($A334="","",SUM(Weekly_Demand!G334:BF334))</f>
        <v>5734</v>
      </c>
      <c r="G334" s="51" t="n">
        <f aca="false">IF($A334="","",IFERROR(F334/Assumptions!$B$6,0))</f>
        <v>110.269230769231</v>
      </c>
      <c r="H334" s="51" t="n">
        <f aca="false">IF($A334="","",STDEV(Weekly_Demand!G334:BF334))</f>
        <v>116.90151970441</v>
      </c>
      <c r="I334" s="52" t="n">
        <f aca="false">IF($A334="","",IFERROR(H334/G334,0))</f>
        <v>1.06014632449064</v>
      </c>
      <c r="J334" s="53" t="n">
        <f aca="false">IF($A334="","",F334*C334)</f>
        <v>4300.5</v>
      </c>
      <c r="K334" s="54" t="n">
        <f aca="false">IF($A334="","",IFERROR(J334/$J$505,0))</f>
        <v>0.00111276455080618</v>
      </c>
      <c r="L334" s="54" t="n">
        <f aca="false">IF($A334="","",IFERROR(SUMIFS($J$5:$J$504,$AB$5:$AB$504,"&lt;="&amp;AB334)/$J$505,0))</f>
        <v>0.839051641858828</v>
      </c>
      <c r="M334" s="55" t="str">
        <f aca="false">IF($A334="","",IF(L334&lt;=Assumptions!$B$7,"A",IF(L334&lt;=Assumptions!$B$8,"B","C")))</f>
        <v>B</v>
      </c>
      <c r="N334" s="55" t="str">
        <f aca="false">IF($A334="","",IF(I334&lt;=Assumptions!$B$9,"X",IF(I334&lt;=Assumptions!$B$10,"Y","Z")))</f>
        <v>Z</v>
      </c>
      <c r="O334" s="56" t="str">
        <f aca="false">IF($A334="","",M334&amp;N334)</f>
        <v>BZ</v>
      </c>
      <c r="P334" s="57" t="n">
        <f aca="false">IF($A334="","",INDEX(Assumptions!$B$35:$B$37,MATCH(M334,Assumptions!$A$35:$A$37,0)))</f>
        <v>0.95</v>
      </c>
      <c r="Q334" s="58" t="n">
        <f aca="false">IF($A334="","",NORMSINV(P334))</f>
        <v>1.64485362695147</v>
      </c>
      <c r="R334" s="48" t="n">
        <f aca="false">IF($A334="","",ROUNDUP(Q334*H334*SQRT(D334),0))</f>
        <v>385</v>
      </c>
      <c r="S334" s="48" t="n">
        <f aca="false">IF($A334="","",ROUNDUP(G334*D334+R334,0))</f>
        <v>827</v>
      </c>
      <c r="T334" s="46" t="n">
        <f aca="false">IF($A334="","",IFERROR(ROUND(SQRT(2*F334*Assumptions!$B$4/(Assumptions!$B$5*C334)),0),0))</f>
        <v>1749</v>
      </c>
      <c r="U334" s="53" t="n">
        <f aca="false">IF($A334="","",R334*C334)</f>
        <v>288.75</v>
      </c>
      <c r="V334" s="53" t="n">
        <f aca="false">IF($A334="","",E334*C334)</f>
        <v>82.5</v>
      </c>
      <c r="W334" s="59" t="n">
        <f aca="false">IF($A334="","",IFERROR(E334/G334,0))</f>
        <v>0.997558423439135</v>
      </c>
      <c r="X334" s="48" t="n">
        <f aca="false">IF($A334="","",S334+T334)</f>
        <v>2576</v>
      </c>
      <c r="Y334" s="48" t="n">
        <f aca="false">IF($A334="","",MAX(0,E334-X334))</f>
        <v>0</v>
      </c>
      <c r="Z334" s="53" t="n">
        <f aca="false">IF($A334="","",Y334*C334)</f>
        <v>0</v>
      </c>
      <c r="AA334" s="56" t="str">
        <f aca="false">IF($A334="","",IF(E334&lt;=R334,"Below Safety Stock",IF(E334&lt;=S334,"Reorder Now",IF(E334&gt;X334,"Excess","Healthy"))))</f>
        <v>Below Safety Stock</v>
      </c>
      <c r="AB334" s="48" t="n">
        <f aca="false">IF($A334="","",RANK(AF334,$AF$5:$AF$504,0)+COUNTIF($AF$5:AF334,AF334)-1)</f>
        <v>324</v>
      </c>
      <c r="AC334" s="44" t="str">
        <f aca="false">IF($A334="","",Weekly_Demand!B334)</f>
        <v>PACK OF 6 BIRDY GIFT TAGS</v>
      </c>
      <c r="AD334" s="59" t="n">
        <f aca="false">IF($A334="","",H334*SQRT(D334))</f>
        <v>233.80303940882</v>
      </c>
      <c r="AE334" s="53" t="n">
        <f aca="false">IF($A334="","",AD334*C334)</f>
        <v>175.352279556615</v>
      </c>
      <c r="AF334" s="53" t="n">
        <f aca="false">IF($A334="","",ROUND(J334,2))</f>
        <v>4300.5</v>
      </c>
    </row>
    <row r="335" customFormat="false" ht="15" hidden="false" customHeight="false" outlineLevel="0" collapsed="false">
      <c r="A335" s="44" t="str">
        <f aca="false">IF(Weekly_Demand!A335="","",Weekly_Demand!A335)</f>
        <v>22505</v>
      </c>
      <c r="B335" s="44" t="str">
        <f aca="false">IF($A335="","",Weekly_Demand!C335)</f>
        <v>Other</v>
      </c>
      <c r="C335" s="45" t="n">
        <f aca="false">IF($A335="","",Weekly_Demand!D335)</f>
        <v>2.97</v>
      </c>
      <c r="D335" s="46" t="n">
        <f aca="false">IF($A335="","",Weekly_Demand!E335+Assumptions!$B$19)</f>
        <v>4</v>
      </c>
      <c r="E335" s="46" t="n">
        <f aca="false">IF($A335="","",Weekly_Demand!F335)</f>
        <v>358</v>
      </c>
      <c r="F335" s="46" t="n">
        <f aca="false">IF($A335="","",SUM(Weekly_Demand!G335:BF335))</f>
        <v>1432</v>
      </c>
      <c r="G335" s="51" t="n">
        <f aca="false">IF($A335="","",IFERROR(F335/Assumptions!$B$6,0))</f>
        <v>27.5384615384615</v>
      </c>
      <c r="H335" s="51" t="n">
        <f aca="false">IF($A335="","",STDEV(Weekly_Demand!G335:BF335))</f>
        <v>27.5776703778452</v>
      </c>
      <c r="I335" s="52" t="n">
        <f aca="false">IF($A335="","",IFERROR(H335/G335,0))</f>
        <v>1.00142378467036</v>
      </c>
      <c r="J335" s="53" t="n">
        <f aca="false">IF($A335="","",F335*C335)</f>
        <v>4253.04</v>
      </c>
      <c r="K335" s="54" t="n">
        <f aca="false">IF($A335="","",IFERROR(J335/$J$505,0))</f>
        <v>0.00110048416350674</v>
      </c>
      <c r="L335" s="54" t="n">
        <f aca="false">IF($A335="","",IFERROR(SUMIFS($J$5:$J$504,$AB$5:$AB$504,"&lt;="&amp;AB335)/$J$505,0))</f>
        <v>0.846798579026605</v>
      </c>
      <c r="M335" s="55" t="str">
        <f aca="false">IF($A335="","",IF(L335&lt;=Assumptions!$B$7,"A",IF(L335&lt;=Assumptions!$B$8,"B","C")))</f>
        <v>B</v>
      </c>
      <c r="N335" s="55" t="str">
        <f aca="false">IF($A335="","",IF(I335&lt;=Assumptions!$B$9,"X",IF(I335&lt;=Assumptions!$B$10,"Y","Z")))</f>
        <v>Z</v>
      </c>
      <c r="O335" s="56" t="str">
        <f aca="false">IF($A335="","",M335&amp;N335)</f>
        <v>BZ</v>
      </c>
      <c r="P335" s="57" t="n">
        <f aca="false">IF($A335="","",INDEX(Assumptions!$B$35:$B$37,MATCH(M335,Assumptions!$A$35:$A$37,0)))</f>
        <v>0.95</v>
      </c>
      <c r="Q335" s="58" t="n">
        <f aca="false">IF($A335="","",NORMSINV(P335))</f>
        <v>1.64485362695147</v>
      </c>
      <c r="R335" s="48" t="n">
        <f aca="false">IF($A335="","",ROUNDUP(Q335*H335*SQRT(D335),0))</f>
        <v>91</v>
      </c>
      <c r="S335" s="48" t="n">
        <f aca="false">IF($A335="","",ROUNDUP(G335*D335+R335,0))</f>
        <v>202</v>
      </c>
      <c r="T335" s="46" t="n">
        <f aca="false">IF($A335="","",IFERROR(ROUND(SQRT(2*F335*Assumptions!$B$4/(Assumptions!$B$5*C335)),0),0))</f>
        <v>439</v>
      </c>
      <c r="U335" s="53" t="n">
        <f aca="false">IF($A335="","",R335*C335)</f>
        <v>270.27</v>
      </c>
      <c r="V335" s="53" t="n">
        <f aca="false">IF($A335="","",E335*C335)</f>
        <v>1063.26</v>
      </c>
      <c r="W335" s="59" t="n">
        <f aca="false">IF($A335="","",IFERROR(E335/G335,0))</f>
        <v>13</v>
      </c>
      <c r="X335" s="48" t="n">
        <f aca="false">IF($A335="","",S335+T335)</f>
        <v>641</v>
      </c>
      <c r="Y335" s="48" t="n">
        <f aca="false">IF($A335="","",MAX(0,E335-X335))</f>
        <v>0</v>
      </c>
      <c r="Z335" s="53" t="n">
        <f aca="false">IF($A335="","",Y335*C335)</f>
        <v>0</v>
      </c>
      <c r="AA335" s="56" t="str">
        <f aca="false">IF($A335="","",IF(E335&lt;=R335,"Below Safety Stock",IF(E335&lt;=S335,"Reorder Now",IF(E335&gt;X335,"Excess","Healthy"))))</f>
        <v>Healthy</v>
      </c>
      <c r="AB335" s="48" t="n">
        <f aca="false">IF($A335="","",RANK(AF335,$AF$5:$AF$504,0)+COUNTIF($AF$5:AF335,AF335)-1)</f>
        <v>331</v>
      </c>
      <c r="AC335" s="44" t="str">
        <f aca="false">IF($A335="","",Weekly_Demand!B335)</f>
        <v>MEMO BOARD COTTAGE DESIGN</v>
      </c>
      <c r="AD335" s="59" t="n">
        <f aca="false">IF($A335="","",H335*SQRT(D335))</f>
        <v>55.1553407556904</v>
      </c>
      <c r="AE335" s="53" t="n">
        <f aca="false">IF($A335="","",AD335*C335)</f>
        <v>163.8113620444</v>
      </c>
      <c r="AF335" s="53" t="n">
        <f aca="false">IF($A335="","",ROUND(J335,2))</f>
        <v>4253.04</v>
      </c>
    </row>
    <row r="336" customFormat="false" ht="15" hidden="false" customHeight="false" outlineLevel="0" collapsed="false">
      <c r="A336" s="44" t="str">
        <f aca="false">IF(Weekly_Demand!A336="","",Weekly_Demand!A336)</f>
        <v>22637</v>
      </c>
      <c r="B336" s="44" t="str">
        <f aca="false">IF($A336="","",Weekly_Demand!C336)</f>
        <v>Other</v>
      </c>
      <c r="C336" s="45" t="n">
        <f aca="false">IF($A336="","",Weekly_Demand!D336)</f>
        <v>1.53</v>
      </c>
      <c r="D336" s="46" t="n">
        <f aca="false">IF($A336="","",Weekly_Demand!E336+Assumptions!$B$19)</f>
        <v>4</v>
      </c>
      <c r="E336" s="46" t="n">
        <f aca="false">IF($A336="","",Weekly_Demand!F336)</f>
        <v>415</v>
      </c>
      <c r="F336" s="46" t="n">
        <f aca="false">IF($A336="","",SUM(Weekly_Demand!G336:BF336))</f>
        <v>2699</v>
      </c>
      <c r="G336" s="51" t="n">
        <f aca="false">IF($A336="","",IFERROR(F336/Assumptions!$B$6,0))</f>
        <v>51.9038461538462</v>
      </c>
      <c r="H336" s="51" t="n">
        <f aca="false">IF($A336="","",STDEV(Weekly_Demand!G336:BF336))</f>
        <v>112.926361502405</v>
      </c>
      <c r="I336" s="52" t="n">
        <f aca="false">IF($A336="","",IFERROR(H336/G336,0))</f>
        <v>2.17568388222493</v>
      </c>
      <c r="J336" s="53" t="n">
        <f aca="false">IF($A336="","",F336*C336)</f>
        <v>4129.47</v>
      </c>
      <c r="K336" s="54" t="n">
        <f aca="false">IF($A336="","",IFERROR(J336/$J$505,0))</f>
        <v>0.00106851013361647</v>
      </c>
      <c r="L336" s="54" t="n">
        <f aca="false">IF($A336="","",IFERROR(SUMIFS($J$5:$J$504,$AB$5:$AB$504,"&lt;="&amp;AB336)/$J$505,0))</f>
        <v>0.869557233958299</v>
      </c>
      <c r="M336" s="55" t="str">
        <f aca="false">IF($A336="","",IF(L336&lt;=Assumptions!$B$7,"A",IF(L336&lt;=Assumptions!$B$8,"B","C")))</f>
        <v>B</v>
      </c>
      <c r="N336" s="55" t="str">
        <f aca="false">IF($A336="","",IF(I336&lt;=Assumptions!$B$9,"X",IF(I336&lt;=Assumptions!$B$10,"Y","Z")))</f>
        <v>Z</v>
      </c>
      <c r="O336" s="56" t="str">
        <f aca="false">IF($A336="","",M336&amp;N336)</f>
        <v>BZ</v>
      </c>
      <c r="P336" s="57" t="n">
        <f aca="false">IF($A336="","",INDEX(Assumptions!$B$35:$B$37,MATCH(M336,Assumptions!$A$35:$A$37,0)))</f>
        <v>0.95</v>
      </c>
      <c r="Q336" s="58" t="n">
        <f aca="false">IF($A336="","",NORMSINV(P336))</f>
        <v>1.64485362695147</v>
      </c>
      <c r="R336" s="48" t="n">
        <f aca="false">IF($A336="","",ROUNDUP(Q336*H336*SQRT(D336),0))</f>
        <v>372</v>
      </c>
      <c r="S336" s="48" t="n">
        <f aca="false">IF($A336="","",ROUNDUP(G336*D336+R336,0))</f>
        <v>580</v>
      </c>
      <c r="T336" s="46" t="n">
        <f aca="false">IF($A336="","",IFERROR(ROUND(SQRT(2*F336*Assumptions!$B$4/(Assumptions!$B$5*C336)),0),0))</f>
        <v>840</v>
      </c>
      <c r="U336" s="53" t="n">
        <f aca="false">IF($A336="","",R336*C336)</f>
        <v>569.16</v>
      </c>
      <c r="V336" s="53" t="n">
        <f aca="false">IF($A336="","",E336*C336)</f>
        <v>634.95</v>
      </c>
      <c r="W336" s="59" t="n">
        <f aca="false">IF($A336="","",IFERROR(E336/G336,0))</f>
        <v>7.99555390885513</v>
      </c>
      <c r="X336" s="48" t="n">
        <f aca="false">IF($A336="","",S336+T336)</f>
        <v>1420</v>
      </c>
      <c r="Y336" s="48" t="n">
        <f aca="false">IF($A336="","",MAX(0,E336-X336))</f>
        <v>0</v>
      </c>
      <c r="Z336" s="53" t="n">
        <f aca="false">IF($A336="","",Y336*C336)</f>
        <v>0</v>
      </c>
      <c r="AA336" s="56" t="str">
        <f aca="false">IF($A336="","",IF(E336&lt;=R336,"Below Safety Stock",IF(E336&lt;=S336,"Reorder Now",IF(E336&gt;X336,"Excess","Healthy"))))</f>
        <v>Reorder Now</v>
      </c>
      <c r="AB336" s="48" t="n">
        <f aca="false">IF($A336="","",RANK(AF336,$AF$5:$AF$504,0)+COUNTIF($AF$5:AF336,AF336)-1)</f>
        <v>352</v>
      </c>
      <c r="AC336" s="44" t="str">
        <f aca="false">IF($A336="","",Weekly_Demand!B336)</f>
        <v>PIGGY BANK RETROSPOT</v>
      </c>
      <c r="AD336" s="59" t="n">
        <f aca="false">IF($A336="","",H336*SQRT(D336))</f>
        <v>225.852723004811</v>
      </c>
      <c r="AE336" s="53" t="n">
        <f aca="false">IF($A336="","",AD336*C336)</f>
        <v>345.55466619736</v>
      </c>
      <c r="AF336" s="53" t="n">
        <f aca="false">IF($A336="","",ROUND(J336,2))</f>
        <v>4129.47</v>
      </c>
    </row>
    <row r="337" customFormat="false" ht="15" hidden="false" customHeight="false" outlineLevel="0" collapsed="false">
      <c r="A337" s="44" t="str">
        <f aca="false">IF(Weekly_Demand!A337="","",Weekly_Demand!A337)</f>
        <v>22663</v>
      </c>
      <c r="B337" s="44" t="str">
        <f aca="false">IF($A337="","",Weekly_Demand!C337)</f>
        <v>Bags</v>
      </c>
      <c r="C337" s="45" t="n">
        <f aca="false">IF($A337="","",Weekly_Demand!D337)</f>
        <v>1.248</v>
      </c>
      <c r="D337" s="46" t="n">
        <f aca="false">IF($A337="","",Weekly_Demand!E337+Assumptions!$B$19)</f>
        <v>8</v>
      </c>
      <c r="E337" s="46" t="n">
        <f aca="false">IF($A337="","",Weekly_Demand!F337)</f>
        <v>2003</v>
      </c>
      <c r="F337" s="46" t="n">
        <f aca="false">IF($A337="","",SUM(Weekly_Demand!G337:BF337))</f>
        <v>3360</v>
      </c>
      <c r="G337" s="51" t="n">
        <f aca="false">IF($A337="","",IFERROR(F337/Assumptions!$B$6,0))</f>
        <v>64.6153846153846</v>
      </c>
      <c r="H337" s="51" t="n">
        <f aca="false">IF($A337="","",STDEV(Weekly_Demand!G337:BF337))</f>
        <v>58.7227296228554</v>
      </c>
      <c r="I337" s="52" t="n">
        <f aca="false">IF($A337="","",IFERROR(H337/G337,0))</f>
        <v>0.908804148925142</v>
      </c>
      <c r="J337" s="53" t="n">
        <f aca="false">IF($A337="","",F337*C337)</f>
        <v>4193.28</v>
      </c>
      <c r="K337" s="54" t="n">
        <f aca="false">IF($A337="","",IFERROR(J337/$J$505,0))</f>
        <v>0.00108502112210314</v>
      </c>
      <c r="L337" s="54" t="n">
        <f aca="false">IF($A337="","",IFERROR(SUMIFS($J$5:$J$504,$AB$5:$AB$504,"&lt;="&amp;AB337)/$J$505,0))</f>
        <v>0.857728294499672</v>
      </c>
      <c r="M337" s="55" t="str">
        <f aca="false">IF($A337="","",IF(L337&lt;=Assumptions!$B$7,"A",IF(L337&lt;=Assumptions!$B$8,"B","C")))</f>
        <v>B</v>
      </c>
      <c r="N337" s="55" t="str">
        <f aca="false">IF($A337="","",IF(I337&lt;=Assumptions!$B$9,"X",IF(I337&lt;=Assumptions!$B$10,"Y","Z")))</f>
        <v>Y</v>
      </c>
      <c r="O337" s="56" t="str">
        <f aca="false">IF($A337="","",M337&amp;N337)</f>
        <v>BY</v>
      </c>
      <c r="P337" s="57" t="n">
        <f aca="false">IF($A337="","",INDEX(Assumptions!$B$35:$B$37,MATCH(M337,Assumptions!$A$35:$A$37,0)))</f>
        <v>0.95</v>
      </c>
      <c r="Q337" s="58" t="n">
        <f aca="false">IF($A337="","",NORMSINV(P337))</f>
        <v>1.64485362695147</v>
      </c>
      <c r="R337" s="48" t="n">
        <f aca="false">IF($A337="","",ROUNDUP(Q337*H337*SQRT(D337),0))</f>
        <v>274</v>
      </c>
      <c r="S337" s="48" t="n">
        <f aca="false">IF($A337="","",ROUNDUP(G337*D337+R337,0))</f>
        <v>791</v>
      </c>
      <c r="T337" s="46" t="n">
        <f aca="false">IF($A337="","",IFERROR(ROUND(SQRT(2*F337*Assumptions!$B$4/(Assumptions!$B$5*C337)),0),0))</f>
        <v>1038</v>
      </c>
      <c r="U337" s="53" t="n">
        <f aca="false">IF($A337="","",R337*C337)</f>
        <v>341.952</v>
      </c>
      <c r="V337" s="53" t="n">
        <f aca="false">IF($A337="","",E337*C337)</f>
        <v>2499.744</v>
      </c>
      <c r="W337" s="59" t="n">
        <f aca="false">IF($A337="","",IFERROR(E337/G337,0))</f>
        <v>30.9988095238095</v>
      </c>
      <c r="X337" s="48" t="n">
        <f aca="false">IF($A337="","",S337+T337)</f>
        <v>1829</v>
      </c>
      <c r="Y337" s="48" t="n">
        <f aca="false">IF($A337="","",MAX(0,E337-X337))</f>
        <v>174</v>
      </c>
      <c r="Z337" s="53" t="n">
        <f aca="false">IF($A337="","",Y337*C337)</f>
        <v>217.152</v>
      </c>
      <c r="AA337" s="56" t="str">
        <f aca="false">IF($A337="","",IF(E337&lt;=R337,"Below Safety Stock",IF(E337&lt;=S337,"Reorder Now",IF(E337&gt;X337,"Excess","Healthy"))))</f>
        <v>Excess</v>
      </c>
      <c r="AB337" s="48" t="n">
        <f aca="false">IF($A337="","",RANK(AF337,$AF$5:$AF$504,0)+COUNTIF($AF$5:AF337,AF337)-1)</f>
        <v>341</v>
      </c>
      <c r="AC337" s="44" t="str">
        <f aca="false">IF($A337="","",Weekly_Demand!B337)</f>
        <v>JUMBO BAG DOLLY GIRL DESIGN</v>
      </c>
      <c r="AD337" s="59" t="n">
        <f aca="false">IF($A337="","",H337*SQRT(D337))</f>
        <v>166.092961304421</v>
      </c>
      <c r="AE337" s="53" t="n">
        <f aca="false">IF($A337="","",AD337*C337)</f>
        <v>207.284015707917</v>
      </c>
      <c r="AF337" s="53" t="n">
        <f aca="false">IF($A337="","",ROUND(J337,2))</f>
        <v>4193.28</v>
      </c>
    </row>
    <row r="338" customFormat="false" ht="15" hidden="false" customHeight="false" outlineLevel="0" collapsed="false">
      <c r="A338" s="44" t="str">
        <f aca="false">IF(Weekly_Demand!A338="","",Weekly_Demand!A338)</f>
        <v>23083</v>
      </c>
      <c r="B338" s="44" t="str">
        <f aca="false">IF($A338="","",Weekly_Demand!C338)</f>
        <v>Other</v>
      </c>
      <c r="C338" s="45" t="n">
        <f aca="false">IF($A338="","",Weekly_Demand!D338)</f>
        <v>2.25</v>
      </c>
      <c r="D338" s="46" t="n">
        <f aca="false">IF($A338="","",Weekly_Demand!E338+Assumptions!$B$19)</f>
        <v>8</v>
      </c>
      <c r="E338" s="46" t="n">
        <f aca="false">IF($A338="","",Weekly_Demand!F338)</f>
        <v>355</v>
      </c>
      <c r="F338" s="46" t="n">
        <f aca="false">IF($A338="","",SUM(Weekly_Demand!G338:BF338))</f>
        <v>1848</v>
      </c>
      <c r="G338" s="51" t="n">
        <f aca="false">IF($A338="","",IFERROR(F338/Assumptions!$B$6,0))</f>
        <v>35.5384615384615</v>
      </c>
      <c r="H338" s="51" t="n">
        <f aca="false">IF($A338="","",STDEV(Weekly_Demand!G338:BF338))</f>
        <v>55.4696389446114</v>
      </c>
      <c r="I338" s="52" t="n">
        <f aca="false">IF($A338="","",IFERROR(H338/G338,0))</f>
        <v>1.56083399627694</v>
      </c>
      <c r="J338" s="53" t="n">
        <f aca="false">IF($A338="","",F338*C338)</f>
        <v>4158</v>
      </c>
      <c r="K338" s="54" t="n">
        <f aca="false">IF($A338="","",IFERROR(J338/$J$505,0))</f>
        <v>0.00107589233862391</v>
      </c>
      <c r="L338" s="54" t="n">
        <f aca="false">IF($A338="","",IFERROR(SUMIFS($J$5:$J$504,$AB$5:$AB$504,"&lt;="&amp;AB338)/$J$505,0))</f>
        <v>0.864202697880615</v>
      </c>
      <c r="M338" s="55" t="str">
        <f aca="false">IF($A338="","",IF(L338&lt;=Assumptions!$B$7,"A",IF(L338&lt;=Assumptions!$B$8,"B","C")))</f>
        <v>B</v>
      </c>
      <c r="N338" s="55" t="str">
        <f aca="false">IF($A338="","",IF(I338&lt;=Assumptions!$B$9,"X",IF(I338&lt;=Assumptions!$B$10,"Y","Z")))</f>
        <v>Z</v>
      </c>
      <c r="O338" s="56" t="str">
        <f aca="false">IF($A338="","",M338&amp;N338)</f>
        <v>BZ</v>
      </c>
      <c r="P338" s="57" t="n">
        <f aca="false">IF($A338="","",INDEX(Assumptions!$B$35:$B$37,MATCH(M338,Assumptions!$A$35:$A$37,0)))</f>
        <v>0.95</v>
      </c>
      <c r="Q338" s="58" t="n">
        <f aca="false">IF($A338="","",NORMSINV(P338))</f>
        <v>1.64485362695147</v>
      </c>
      <c r="R338" s="48" t="n">
        <f aca="false">IF($A338="","",ROUNDUP(Q338*H338*SQRT(D338),0))</f>
        <v>259</v>
      </c>
      <c r="S338" s="48" t="n">
        <f aca="false">IF($A338="","",ROUNDUP(G338*D338+R338,0))</f>
        <v>544</v>
      </c>
      <c r="T338" s="46" t="n">
        <f aca="false">IF($A338="","",IFERROR(ROUND(SQRT(2*F338*Assumptions!$B$4/(Assumptions!$B$5*C338)),0),0))</f>
        <v>573</v>
      </c>
      <c r="U338" s="53" t="n">
        <f aca="false">IF($A338="","",R338*C338)</f>
        <v>582.75</v>
      </c>
      <c r="V338" s="53" t="n">
        <f aca="false">IF($A338="","",E338*C338)</f>
        <v>798.75</v>
      </c>
      <c r="W338" s="59" t="n">
        <f aca="false">IF($A338="","",IFERROR(E338/G338,0))</f>
        <v>9.98917748917749</v>
      </c>
      <c r="X338" s="48" t="n">
        <f aca="false">IF($A338="","",S338+T338)</f>
        <v>1117</v>
      </c>
      <c r="Y338" s="48" t="n">
        <f aca="false">IF($A338="","",MAX(0,E338-X338))</f>
        <v>0</v>
      </c>
      <c r="Z338" s="53" t="n">
        <f aca="false">IF($A338="","",Y338*C338)</f>
        <v>0</v>
      </c>
      <c r="AA338" s="56" t="str">
        <f aca="false">IF($A338="","",IF(E338&lt;=R338,"Below Safety Stock",IF(E338&lt;=S338,"Reorder Now",IF(E338&gt;X338,"Excess","Healthy"))))</f>
        <v>Reorder Now</v>
      </c>
      <c r="AB338" s="48" t="n">
        <f aca="false">IF($A338="","",RANK(AF338,$AF$5:$AF$504,0)+COUNTIF($AF$5:AF338,AF338)-1)</f>
        <v>347</v>
      </c>
      <c r="AC338" s="44" t="str">
        <f aca="false">IF($A338="","",Weekly_Demand!B338)</f>
        <v>SET 6 PAPER TABLE LANTERN STARS</v>
      </c>
      <c r="AD338" s="59" t="n">
        <f aca="false">IF($A338="","",H338*SQRT(D338))</f>
        <v>156.891831390817</v>
      </c>
      <c r="AE338" s="53" t="n">
        <f aca="false">IF($A338="","",AD338*C338)</f>
        <v>353.006620629337</v>
      </c>
      <c r="AF338" s="53" t="n">
        <f aca="false">IF($A338="","",ROUND(J338,2))</f>
        <v>4158</v>
      </c>
    </row>
    <row r="339" customFormat="false" ht="15" hidden="false" customHeight="false" outlineLevel="0" collapsed="false">
      <c r="A339" s="44" t="str">
        <f aca="false">IF(Weekly_Demand!A339="","",Weekly_Demand!A339)</f>
        <v>23215</v>
      </c>
      <c r="B339" s="44" t="str">
        <f aca="false">IF($A339="","",Weekly_Demand!C339)</f>
        <v>Other</v>
      </c>
      <c r="C339" s="45" t="n">
        <f aca="false">IF($A339="","",Weekly_Demand!D339)</f>
        <v>1.248</v>
      </c>
      <c r="D339" s="46" t="n">
        <f aca="false">IF($A339="","",Weekly_Demand!E339+Assumptions!$B$19)</f>
        <v>8</v>
      </c>
      <c r="E339" s="46" t="n">
        <f aca="false">IF($A339="","",Weekly_Demand!F339)</f>
        <v>202</v>
      </c>
      <c r="F339" s="46" t="n">
        <f aca="false">IF($A339="","",SUM(Weekly_Demand!G339:BF339))</f>
        <v>3495</v>
      </c>
      <c r="G339" s="51" t="n">
        <f aca="false">IF($A339="","",IFERROR(F339/Assumptions!$B$6,0))</f>
        <v>67.2115384615385</v>
      </c>
      <c r="H339" s="51" t="n">
        <f aca="false">IF($A339="","",STDEV(Weekly_Demand!G339:BF339))</f>
        <v>146.814987819933</v>
      </c>
      <c r="I339" s="52" t="n">
        <f aca="false">IF($A339="","",IFERROR(H339/G339,0))</f>
        <v>2.1843717787229</v>
      </c>
      <c r="J339" s="53" t="n">
        <f aca="false">IF($A339="","",F339*C339)</f>
        <v>4361.76</v>
      </c>
      <c r="K339" s="54" t="n">
        <f aca="false">IF($A339="","",IFERROR(J339/$J$505,0))</f>
        <v>0.00112861572075907</v>
      </c>
      <c r="L339" s="54" t="n">
        <f aca="false">IF($A339="","",IFERROR(SUMIFS($J$5:$J$504,$AB$5:$AB$504,"&lt;="&amp;AB339)/$J$505,0))</f>
        <v>0.82786624592766</v>
      </c>
      <c r="M339" s="55" t="str">
        <f aca="false">IF($A339="","",IF(L339&lt;=Assumptions!$B$7,"A",IF(L339&lt;=Assumptions!$B$8,"B","C")))</f>
        <v>B</v>
      </c>
      <c r="N339" s="55" t="str">
        <f aca="false">IF($A339="","",IF(I339&lt;=Assumptions!$B$9,"X",IF(I339&lt;=Assumptions!$B$10,"Y","Z")))</f>
        <v>Z</v>
      </c>
      <c r="O339" s="56" t="str">
        <f aca="false">IF($A339="","",M339&amp;N339)</f>
        <v>BZ</v>
      </c>
      <c r="P339" s="57" t="n">
        <f aca="false">IF($A339="","",INDEX(Assumptions!$B$35:$B$37,MATCH(M339,Assumptions!$A$35:$A$37,0)))</f>
        <v>0.95</v>
      </c>
      <c r="Q339" s="58" t="n">
        <f aca="false">IF($A339="","",NORMSINV(P339))</f>
        <v>1.64485362695147</v>
      </c>
      <c r="R339" s="48" t="n">
        <f aca="false">IF($A339="","",ROUNDUP(Q339*H339*SQRT(D339),0))</f>
        <v>684</v>
      </c>
      <c r="S339" s="48" t="n">
        <f aca="false">IF($A339="","",ROUNDUP(G339*D339+R339,0))</f>
        <v>1222</v>
      </c>
      <c r="T339" s="46" t="n">
        <f aca="false">IF($A339="","",IFERROR(ROUND(SQRT(2*F339*Assumptions!$B$4/(Assumptions!$B$5*C339)),0),0))</f>
        <v>1058</v>
      </c>
      <c r="U339" s="53" t="n">
        <f aca="false">IF($A339="","",R339*C339)</f>
        <v>853.632</v>
      </c>
      <c r="V339" s="53" t="n">
        <f aca="false">IF($A339="","",E339*C339)</f>
        <v>252.096</v>
      </c>
      <c r="W339" s="59" t="n">
        <f aca="false">IF($A339="","",IFERROR(E339/G339,0))</f>
        <v>3.00543633762518</v>
      </c>
      <c r="X339" s="48" t="n">
        <f aca="false">IF($A339="","",S339+T339)</f>
        <v>2280</v>
      </c>
      <c r="Y339" s="48" t="n">
        <f aca="false">IF($A339="","",MAX(0,E339-X339))</f>
        <v>0</v>
      </c>
      <c r="Z339" s="53" t="n">
        <f aca="false">IF($A339="","",Y339*C339)</f>
        <v>0</v>
      </c>
      <c r="AA339" s="56" t="str">
        <f aca="false">IF($A339="","",IF(E339&lt;=R339,"Below Safety Stock",IF(E339&lt;=S339,"Reorder Now",IF(E339&gt;X339,"Excess","Healthy"))))</f>
        <v>Below Safety Stock</v>
      </c>
      <c r="AB339" s="48" t="n">
        <f aca="false">IF($A339="","",RANK(AF339,$AF$5:$AF$504,0)+COUNTIF($AF$5:AF339,AF339)-1)</f>
        <v>314</v>
      </c>
      <c r="AC339" s="44" t="str">
        <f aca="false">IF($A339="","",Weekly_Demand!B339)</f>
        <v>JINGLE BELL HEART ANTIQUE SILVER</v>
      </c>
      <c r="AD339" s="59" t="n">
        <f aca="false">IF($A339="","",H339*SQRT(D339))</f>
        <v>415.255493869181</v>
      </c>
      <c r="AE339" s="53" t="n">
        <f aca="false">IF($A339="","",AD339*C339)</f>
        <v>518.238856348737</v>
      </c>
      <c r="AF339" s="53" t="n">
        <f aca="false">IF($A339="","",ROUND(J339,2))</f>
        <v>4361.76</v>
      </c>
    </row>
    <row r="340" customFormat="false" ht="15" hidden="false" customHeight="false" outlineLevel="0" collapsed="false">
      <c r="A340" s="44" t="str">
        <f aca="false">IF(Weekly_Demand!A340="","",Weekly_Demand!A340)</f>
        <v>22333</v>
      </c>
      <c r="B340" s="44" t="str">
        <f aca="false">IF($A340="","",Weekly_Demand!C340)</f>
        <v>Bags</v>
      </c>
      <c r="C340" s="45" t="n">
        <f aca="false">IF($A340="","",Weekly_Demand!D340)</f>
        <v>0.99</v>
      </c>
      <c r="D340" s="46" t="n">
        <f aca="false">IF($A340="","",Weekly_Demand!E340+Assumptions!$B$19)</f>
        <v>4</v>
      </c>
      <c r="E340" s="46" t="n">
        <f aca="false">IF($A340="","",Weekly_Demand!F340)</f>
        <v>4054</v>
      </c>
      <c r="F340" s="46" t="n">
        <f aca="false">IF($A340="","",SUM(Weekly_Demand!G340:BF340))</f>
        <v>4392</v>
      </c>
      <c r="G340" s="51" t="n">
        <f aca="false">IF($A340="","",IFERROR(F340/Assumptions!$B$6,0))</f>
        <v>84.4615384615385</v>
      </c>
      <c r="H340" s="51" t="n">
        <f aca="false">IF($A340="","",STDEV(Weekly_Demand!G340:BF340))</f>
        <v>62.321576391016</v>
      </c>
      <c r="I340" s="52" t="n">
        <f aca="false">IF($A340="","",IFERROR(H340/G340,0))</f>
        <v>0.737869301532976</v>
      </c>
      <c r="J340" s="53" t="n">
        <f aca="false">IF($A340="","",F340*C340)</f>
        <v>4348.08</v>
      </c>
      <c r="K340" s="54" t="n">
        <f aca="false">IF($A340="","",IFERROR(J340/$J$505,0))</f>
        <v>0.00112507598838957</v>
      </c>
      <c r="L340" s="54" t="n">
        <f aca="false">IF($A340="","",IFERROR(SUMIFS($J$5:$J$504,$AB$5:$AB$504,"&lt;="&amp;AB340)/$J$505,0))</f>
        <v>0.82899132191605</v>
      </c>
      <c r="M340" s="55" t="str">
        <f aca="false">IF($A340="","",IF(L340&lt;=Assumptions!$B$7,"A",IF(L340&lt;=Assumptions!$B$8,"B","C")))</f>
        <v>B</v>
      </c>
      <c r="N340" s="55" t="str">
        <f aca="false">IF($A340="","",IF(I340&lt;=Assumptions!$B$9,"X",IF(I340&lt;=Assumptions!$B$10,"Y","Z")))</f>
        <v>Y</v>
      </c>
      <c r="O340" s="56" t="str">
        <f aca="false">IF($A340="","",M340&amp;N340)</f>
        <v>BY</v>
      </c>
      <c r="P340" s="57" t="n">
        <f aca="false">IF($A340="","",INDEX(Assumptions!$B$35:$B$37,MATCH(M340,Assumptions!$A$35:$A$37,0)))</f>
        <v>0.95</v>
      </c>
      <c r="Q340" s="58" t="n">
        <f aca="false">IF($A340="","",NORMSINV(P340))</f>
        <v>1.64485362695147</v>
      </c>
      <c r="R340" s="48" t="n">
        <f aca="false">IF($A340="","",ROUNDUP(Q340*H340*SQRT(D340),0))</f>
        <v>206</v>
      </c>
      <c r="S340" s="48" t="n">
        <f aca="false">IF($A340="","",ROUNDUP(G340*D340+R340,0))</f>
        <v>544</v>
      </c>
      <c r="T340" s="46" t="n">
        <f aca="false">IF($A340="","",IFERROR(ROUND(SQRT(2*F340*Assumptions!$B$4/(Assumptions!$B$5*C340)),0),0))</f>
        <v>1332</v>
      </c>
      <c r="U340" s="53" t="n">
        <f aca="false">IF($A340="","",R340*C340)</f>
        <v>203.94</v>
      </c>
      <c r="V340" s="53" t="n">
        <f aca="false">IF($A340="","",E340*C340)</f>
        <v>4013.46</v>
      </c>
      <c r="W340" s="59" t="n">
        <f aca="false">IF($A340="","",IFERROR(E340/G340,0))</f>
        <v>47.9981785063752</v>
      </c>
      <c r="X340" s="48" t="n">
        <f aca="false">IF($A340="","",S340+T340)</f>
        <v>1876</v>
      </c>
      <c r="Y340" s="48" t="n">
        <f aca="false">IF($A340="","",MAX(0,E340-X340))</f>
        <v>2178</v>
      </c>
      <c r="Z340" s="53" t="n">
        <f aca="false">IF($A340="","",Y340*C340)</f>
        <v>2156.22</v>
      </c>
      <c r="AA340" s="56" t="str">
        <f aca="false">IF($A340="","",IF(E340&lt;=R340,"Below Safety Stock",IF(E340&lt;=S340,"Reorder Now",IF(E340&gt;X340,"Excess","Healthy"))))</f>
        <v>Excess</v>
      </c>
      <c r="AB340" s="48" t="n">
        <f aca="false">IF($A340="","",RANK(AF340,$AF$5:$AF$504,0)+COUNTIF($AF$5:AF340,AF340)-1)</f>
        <v>315</v>
      </c>
      <c r="AC340" s="44" t="str">
        <f aca="false">IF($A340="","",Weekly_Demand!B340)</f>
        <v>RETROSPOT PARTY BAG + STICKER SET</v>
      </c>
      <c r="AD340" s="59" t="n">
        <f aca="false">IF($A340="","",H340*SQRT(D340))</f>
        <v>124.643152782032</v>
      </c>
      <c r="AE340" s="53" t="n">
        <f aca="false">IF($A340="","",AD340*C340)</f>
        <v>123.396721254212</v>
      </c>
      <c r="AF340" s="53" t="n">
        <f aca="false">IF($A340="","",ROUND(J340,2))</f>
        <v>4348.08</v>
      </c>
    </row>
    <row r="341" customFormat="false" ht="15" hidden="false" customHeight="false" outlineLevel="0" collapsed="false">
      <c r="A341" s="44" t="str">
        <f aca="false">IF(Weekly_Demand!A341="","",Weekly_Demand!A341)</f>
        <v>22485</v>
      </c>
      <c r="B341" s="44" t="str">
        <f aca="false">IF($A341="","",Weekly_Demand!C341)</f>
        <v>Other</v>
      </c>
      <c r="C341" s="45" t="n">
        <f aca="false">IF($A341="","",Weekly_Demand!D341)</f>
        <v>7.65</v>
      </c>
      <c r="D341" s="46" t="n">
        <f aca="false">IF($A341="","",Weekly_Demand!E341+Assumptions!$B$19)</f>
        <v>4</v>
      </c>
      <c r="E341" s="46" t="n">
        <f aca="false">IF($A341="","",Weekly_Demand!F341)</f>
        <v>10</v>
      </c>
      <c r="F341" s="46" t="n">
        <f aca="false">IF($A341="","",SUM(Weekly_Demand!G341:BF341))</f>
        <v>498</v>
      </c>
      <c r="G341" s="51" t="n">
        <f aca="false">IF($A341="","",IFERROR(F341/Assumptions!$B$6,0))</f>
        <v>9.57692307692308</v>
      </c>
      <c r="H341" s="51" t="n">
        <f aca="false">IF($A341="","",STDEV(Weekly_Demand!G341:BF341))</f>
        <v>8.02531815714359</v>
      </c>
      <c r="I341" s="52" t="n">
        <f aca="false">IF($A341="","",IFERROR(H341/G341,0))</f>
        <v>0.83798502845676</v>
      </c>
      <c r="J341" s="53" t="n">
        <f aca="false">IF($A341="","",F341*C341)</f>
        <v>3809.7</v>
      </c>
      <c r="K341" s="54" t="n">
        <f aca="false">IF($A341="","",IFERROR(J341/$J$505,0))</f>
        <v>0.000985768889479438</v>
      </c>
      <c r="L341" s="54" t="n">
        <f aca="false">IF($A341="","",IFERROR(SUMIFS($J$5:$J$504,$AB$5:$AB$504,"&lt;="&amp;AB341)/$J$505,0))</f>
        <v>0.901216431047047</v>
      </c>
      <c r="M341" s="55" t="str">
        <f aca="false">IF($A341="","",IF(L341&lt;=Assumptions!$B$7,"A",IF(L341&lt;=Assumptions!$B$8,"B","C")))</f>
        <v>B</v>
      </c>
      <c r="N341" s="55" t="str">
        <f aca="false">IF($A341="","",IF(I341&lt;=Assumptions!$B$9,"X",IF(I341&lt;=Assumptions!$B$10,"Y","Z")))</f>
        <v>Y</v>
      </c>
      <c r="O341" s="56" t="str">
        <f aca="false">IF($A341="","",M341&amp;N341)</f>
        <v>BY</v>
      </c>
      <c r="P341" s="57" t="n">
        <f aca="false">IF($A341="","",INDEX(Assumptions!$B$35:$B$37,MATCH(M341,Assumptions!$A$35:$A$37,0)))</f>
        <v>0.95</v>
      </c>
      <c r="Q341" s="58" t="n">
        <f aca="false">IF($A341="","",NORMSINV(P341))</f>
        <v>1.64485362695147</v>
      </c>
      <c r="R341" s="48" t="n">
        <f aca="false">IF($A341="","",ROUNDUP(Q341*H341*SQRT(D341),0))</f>
        <v>27</v>
      </c>
      <c r="S341" s="48" t="n">
        <f aca="false">IF($A341="","",ROUNDUP(G341*D341+R341,0))</f>
        <v>66</v>
      </c>
      <c r="T341" s="46" t="n">
        <f aca="false">IF($A341="","",IFERROR(ROUND(SQRT(2*F341*Assumptions!$B$4/(Assumptions!$B$5*C341)),0),0))</f>
        <v>161</v>
      </c>
      <c r="U341" s="53" t="n">
        <f aca="false">IF($A341="","",R341*C341)</f>
        <v>206.55</v>
      </c>
      <c r="V341" s="53" t="n">
        <f aca="false">IF($A341="","",E341*C341)</f>
        <v>76.5</v>
      </c>
      <c r="W341" s="59" t="n">
        <f aca="false">IF($A341="","",IFERROR(E341/G341,0))</f>
        <v>1.04417670682731</v>
      </c>
      <c r="X341" s="48" t="n">
        <f aca="false">IF($A341="","",S341+T341)</f>
        <v>227</v>
      </c>
      <c r="Y341" s="48" t="n">
        <f aca="false">IF($A341="","",MAX(0,E341-X341))</f>
        <v>0</v>
      </c>
      <c r="Z341" s="53" t="n">
        <f aca="false">IF($A341="","",Y341*C341)</f>
        <v>0</v>
      </c>
      <c r="AA341" s="56" t="str">
        <f aca="false">IF($A341="","",IF(E341&lt;=R341,"Below Safety Stock",IF(E341&lt;=S341,"Reorder Now",IF(E341&gt;X341,"Excess","Healthy"))))</f>
        <v>Below Safety Stock</v>
      </c>
      <c r="AB341" s="48" t="n">
        <f aca="false">IF($A341="","",RANK(AF341,$AF$5:$AF$504,0)+COUNTIF($AF$5:AF341,AF341)-1)</f>
        <v>383</v>
      </c>
      <c r="AC341" s="44" t="str">
        <f aca="false">IF($A341="","",Weekly_Demand!B341)</f>
        <v>SET OF 2 WOODEN MARKET CRATES</v>
      </c>
      <c r="AD341" s="59" t="n">
        <f aca="false">IF($A341="","",H341*SQRT(D341))</f>
        <v>16.0506363142872</v>
      </c>
      <c r="AE341" s="53" t="n">
        <f aca="false">IF($A341="","",AD341*C341)</f>
        <v>122.787367804297</v>
      </c>
      <c r="AF341" s="53" t="n">
        <f aca="false">IF($A341="","",ROUND(J341,2))</f>
        <v>3809.7</v>
      </c>
    </row>
    <row r="342" customFormat="false" ht="15" hidden="false" customHeight="false" outlineLevel="0" collapsed="false">
      <c r="A342" s="44" t="str">
        <f aca="false">IF(Weekly_Demand!A342="","",Weekly_Demand!A342)</f>
        <v>22767</v>
      </c>
      <c r="B342" s="44" t="str">
        <f aca="false">IF($A342="","",Weekly_Demand!C342)</f>
        <v>Other</v>
      </c>
      <c r="C342" s="45" t="n">
        <f aca="false">IF($A342="","",Weekly_Demand!D342)</f>
        <v>5.97</v>
      </c>
      <c r="D342" s="46" t="n">
        <f aca="false">IF($A342="","",Weekly_Demand!E342+Assumptions!$B$19)</f>
        <v>8</v>
      </c>
      <c r="E342" s="46" t="n">
        <f aca="false">IF($A342="","",Weekly_Demand!F342)</f>
        <v>100</v>
      </c>
      <c r="F342" s="46" t="n">
        <f aca="false">IF($A342="","",SUM(Weekly_Demand!G342:BF342))</f>
        <v>744</v>
      </c>
      <c r="G342" s="51" t="n">
        <f aca="false">IF($A342="","",IFERROR(F342/Assumptions!$B$6,0))</f>
        <v>14.3076923076923</v>
      </c>
      <c r="H342" s="51" t="n">
        <f aca="false">IF($A342="","",STDEV(Weekly_Demand!G342:BF342))</f>
        <v>21.0597082652442</v>
      </c>
      <c r="I342" s="52" t="n">
        <f aca="false">IF($A342="","",IFERROR(H342/G342,0))</f>
        <v>1.47191509380739</v>
      </c>
      <c r="J342" s="53" t="n">
        <f aca="false">IF($A342="","",F342*C342)</f>
        <v>4441.68</v>
      </c>
      <c r="K342" s="54" t="n">
        <f aca="false">IF($A342="","",IFERROR(J342/$J$505,0))</f>
        <v>0.00114929520986509</v>
      </c>
      <c r="L342" s="54" t="n">
        <f aca="false">IF($A342="","",IFERROR(SUMIFS($J$5:$J$504,$AB$5:$AB$504,"&lt;="&amp;AB342)/$J$505,0))</f>
        <v>0.821037737346061</v>
      </c>
      <c r="M342" s="55" t="str">
        <f aca="false">IF($A342="","",IF(L342&lt;=Assumptions!$B$7,"A",IF(L342&lt;=Assumptions!$B$8,"B","C")))</f>
        <v>B</v>
      </c>
      <c r="N342" s="55" t="str">
        <f aca="false">IF($A342="","",IF(I342&lt;=Assumptions!$B$9,"X",IF(I342&lt;=Assumptions!$B$10,"Y","Z")))</f>
        <v>Z</v>
      </c>
      <c r="O342" s="56" t="str">
        <f aca="false">IF($A342="","",M342&amp;N342)</f>
        <v>BZ</v>
      </c>
      <c r="P342" s="57" t="n">
        <f aca="false">IF($A342="","",INDEX(Assumptions!$B$35:$B$37,MATCH(M342,Assumptions!$A$35:$A$37,0)))</f>
        <v>0.95</v>
      </c>
      <c r="Q342" s="58" t="n">
        <f aca="false">IF($A342="","",NORMSINV(P342))</f>
        <v>1.64485362695147</v>
      </c>
      <c r="R342" s="48" t="n">
        <f aca="false">IF($A342="","",ROUNDUP(Q342*H342*SQRT(D342),0))</f>
        <v>98</v>
      </c>
      <c r="S342" s="48" t="n">
        <f aca="false">IF($A342="","",ROUNDUP(G342*D342+R342,0))</f>
        <v>213</v>
      </c>
      <c r="T342" s="46" t="n">
        <f aca="false">IF($A342="","",IFERROR(ROUND(SQRT(2*F342*Assumptions!$B$4/(Assumptions!$B$5*C342)),0),0))</f>
        <v>223</v>
      </c>
      <c r="U342" s="53" t="n">
        <f aca="false">IF($A342="","",R342*C342)</f>
        <v>585.06</v>
      </c>
      <c r="V342" s="53" t="n">
        <f aca="false">IF($A342="","",E342*C342)</f>
        <v>597</v>
      </c>
      <c r="W342" s="59" t="n">
        <f aca="false">IF($A342="","",IFERROR(E342/G342,0))</f>
        <v>6.98924731182796</v>
      </c>
      <c r="X342" s="48" t="n">
        <f aca="false">IF($A342="","",S342+T342)</f>
        <v>436</v>
      </c>
      <c r="Y342" s="48" t="n">
        <f aca="false">IF($A342="","",MAX(0,E342-X342))</f>
        <v>0</v>
      </c>
      <c r="Z342" s="53" t="n">
        <f aca="false">IF($A342="","",Y342*C342)</f>
        <v>0</v>
      </c>
      <c r="AA342" s="56" t="str">
        <f aca="false">IF($A342="","",IF(E342&lt;=R342,"Below Safety Stock",IF(E342&lt;=S342,"Reorder Now",IF(E342&gt;X342,"Excess","Healthy"))))</f>
        <v>Reorder Now</v>
      </c>
      <c r="AB342" s="48" t="n">
        <f aca="false">IF($A342="","",RANK(AF342,$AF$5:$AF$504,0)+COUNTIF($AF$5:AF342,AF342)-1)</f>
        <v>308</v>
      </c>
      <c r="AC342" s="44" t="str">
        <f aca="false">IF($A342="","",Weekly_Demand!B342)</f>
        <v>TRIPLE PHOTO FRAME CORNICE</v>
      </c>
      <c r="AD342" s="59" t="n">
        <f aca="false">IF($A342="","",H342*SQRT(D342))</f>
        <v>59.5658500966582</v>
      </c>
      <c r="AE342" s="53" t="n">
        <f aca="false">IF($A342="","",AD342*C342)</f>
        <v>355.608125077049</v>
      </c>
      <c r="AF342" s="53" t="n">
        <f aca="false">IF($A342="","",ROUND(J342,2))</f>
        <v>4441.68</v>
      </c>
    </row>
    <row r="343" customFormat="false" ht="15" hidden="false" customHeight="false" outlineLevel="0" collapsed="false">
      <c r="A343" s="44" t="str">
        <f aca="false">IF(Weekly_Demand!A343="","",Weekly_Demand!A343)</f>
        <v>22946</v>
      </c>
      <c r="B343" s="44" t="str">
        <f aca="false">IF($A343="","",Weekly_Demand!C343)</f>
        <v>Other</v>
      </c>
      <c r="C343" s="45" t="n">
        <f aca="false">IF($A343="","",Weekly_Demand!D343)</f>
        <v>10.17</v>
      </c>
      <c r="D343" s="46" t="n">
        <f aca="false">IF($A343="","",Weekly_Demand!E343+Assumptions!$B$19)</f>
        <v>6</v>
      </c>
      <c r="E343" s="46" t="n">
        <f aca="false">IF($A343="","",Weekly_Demand!F343)</f>
        <v>68</v>
      </c>
      <c r="F343" s="46" t="n">
        <f aca="false">IF($A343="","",SUM(Weekly_Demand!G343:BF343))</f>
        <v>445</v>
      </c>
      <c r="G343" s="51" t="n">
        <f aca="false">IF($A343="","",IFERROR(F343/Assumptions!$B$6,0))</f>
        <v>8.55769230769231</v>
      </c>
      <c r="H343" s="51" t="n">
        <f aca="false">IF($A343="","",STDEV(Weekly_Demand!G343:BF343))</f>
        <v>16.4881579150881</v>
      </c>
      <c r="I343" s="52" t="n">
        <f aca="false">IF($A343="","",IFERROR(H343/G343,0))</f>
        <v>1.92670609344849</v>
      </c>
      <c r="J343" s="53" t="n">
        <f aca="false">IF($A343="","",F343*C343)</f>
        <v>4525.65</v>
      </c>
      <c r="K343" s="54" t="n">
        <f aca="false">IF($A343="","",IFERROR(J343/$J$505,0))</f>
        <v>0.00117102264605418</v>
      </c>
      <c r="L343" s="54" t="n">
        <f aca="false">IF($A343="","",IFERROR(SUMIFS($J$5:$J$504,$AB$5:$AB$504,"&lt;="&amp;AB343)/$J$505,0))</f>
        <v>0.814088784713047</v>
      </c>
      <c r="M343" s="55" t="str">
        <f aca="false">IF($A343="","",IF(L343&lt;=Assumptions!$B$7,"A",IF(L343&lt;=Assumptions!$B$8,"B","C")))</f>
        <v>B</v>
      </c>
      <c r="N343" s="55" t="str">
        <f aca="false">IF($A343="","",IF(I343&lt;=Assumptions!$B$9,"X",IF(I343&lt;=Assumptions!$B$10,"Y","Z")))</f>
        <v>Z</v>
      </c>
      <c r="O343" s="56" t="str">
        <f aca="false">IF($A343="","",M343&amp;N343)</f>
        <v>BZ</v>
      </c>
      <c r="P343" s="57" t="n">
        <f aca="false">IF($A343="","",INDEX(Assumptions!$B$35:$B$37,MATCH(M343,Assumptions!$A$35:$A$37,0)))</f>
        <v>0.95</v>
      </c>
      <c r="Q343" s="58" t="n">
        <f aca="false">IF($A343="","",NORMSINV(P343))</f>
        <v>1.64485362695147</v>
      </c>
      <c r="R343" s="48" t="n">
        <f aca="false">IF($A343="","",ROUNDUP(Q343*H343*SQRT(D343),0))</f>
        <v>67</v>
      </c>
      <c r="S343" s="48" t="n">
        <f aca="false">IF($A343="","",ROUNDUP(G343*D343+R343,0))</f>
        <v>119</v>
      </c>
      <c r="T343" s="46" t="n">
        <f aca="false">IF($A343="","",IFERROR(ROUND(SQRT(2*F343*Assumptions!$B$4/(Assumptions!$B$5*C343)),0),0))</f>
        <v>132</v>
      </c>
      <c r="U343" s="53" t="n">
        <f aca="false">IF($A343="","",R343*C343)</f>
        <v>681.39</v>
      </c>
      <c r="V343" s="53" t="n">
        <f aca="false">IF($A343="","",E343*C343)</f>
        <v>691.56</v>
      </c>
      <c r="W343" s="59" t="n">
        <f aca="false">IF($A343="","",IFERROR(E343/G343,0))</f>
        <v>7.94606741573034</v>
      </c>
      <c r="X343" s="48" t="n">
        <f aca="false">IF($A343="","",S343+T343)</f>
        <v>251</v>
      </c>
      <c r="Y343" s="48" t="n">
        <f aca="false">IF($A343="","",MAX(0,E343-X343))</f>
        <v>0</v>
      </c>
      <c r="Z343" s="53" t="n">
        <f aca="false">IF($A343="","",Y343*C343)</f>
        <v>0</v>
      </c>
      <c r="AA343" s="56" t="str">
        <f aca="false">IF($A343="","",IF(E343&lt;=R343,"Below Safety Stock",IF(E343&lt;=S343,"Reorder Now",IF(E343&gt;X343,"Excess","Healthy"))))</f>
        <v>Reorder Now</v>
      </c>
      <c r="AB343" s="48" t="n">
        <f aca="false">IF($A343="","",RANK(AF343,$AF$5:$AF$504,0)+COUNTIF($AF$5:AF343,AF343)-1)</f>
        <v>302</v>
      </c>
      <c r="AC343" s="44" t="str">
        <f aca="false">IF($A343="","",Weekly_Demand!B343)</f>
        <v>WOODEN ADVENT CALENDAR CREAM</v>
      </c>
      <c r="AD343" s="59" t="n">
        <f aca="false">IF($A343="","",H343*SQRT(D343))</f>
        <v>40.3875736903975</v>
      </c>
      <c r="AE343" s="53" t="n">
        <f aca="false">IF($A343="","",AD343*C343)</f>
        <v>410.741624431342</v>
      </c>
      <c r="AF343" s="53" t="n">
        <f aca="false">IF($A343="","",ROUND(J343,2))</f>
        <v>4525.65</v>
      </c>
    </row>
    <row r="344" customFormat="false" ht="15" hidden="false" customHeight="false" outlineLevel="0" collapsed="false">
      <c r="A344" s="44" t="str">
        <f aca="false">IF(Weekly_Demand!A344="","",Weekly_Demand!A344)</f>
        <v>21922</v>
      </c>
      <c r="B344" s="44" t="str">
        <f aca="false">IF($A344="","",Weekly_Demand!C344)</f>
        <v>Other</v>
      </c>
      <c r="C344" s="45" t="n">
        <f aca="false">IF($A344="","",Weekly_Demand!D344)</f>
        <v>4.77</v>
      </c>
      <c r="D344" s="46" t="n">
        <f aca="false">IF($A344="","",Weekly_Demand!E344+Assumptions!$B$19)</f>
        <v>6</v>
      </c>
      <c r="E344" s="46" t="n">
        <f aca="false">IF($A344="","",Weekly_Demand!F344)</f>
        <v>154</v>
      </c>
      <c r="F344" s="46" t="n">
        <f aca="false">IF($A344="","",SUM(Weekly_Demand!G344:BF344))</f>
        <v>889</v>
      </c>
      <c r="G344" s="51" t="n">
        <f aca="false">IF($A344="","",IFERROR(F344/Assumptions!$B$6,0))</f>
        <v>17.0961538461538</v>
      </c>
      <c r="H344" s="51" t="n">
        <f aca="false">IF($A344="","",STDEV(Weekly_Demand!G344:BF344))</f>
        <v>25.267401004941</v>
      </c>
      <c r="I344" s="52" t="n">
        <f aca="false">IF($A344="","",IFERROR(H344/G344,0))</f>
        <v>1.4779582140123</v>
      </c>
      <c r="J344" s="53" t="n">
        <f aca="false">IF($A344="","",F344*C344)</f>
        <v>4240.53</v>
      </c>
      <c r="K344" s="54" t="n">
        <f aca="false">IF($A344="","",IFERROR(J344/$J$505,0))</f>
        <v>0.00109724717140569</v>
      </c>
      <c r="L344" s="54" t="n">
        <f aca="false">IF($A344="","",IFERROR(SUMIFS($J$5:$J$504,$AB$5:$AB$504,"&lt;="&amp;AB344)/$J$505,0))</f>
        <v>0.850093697259201</v>
      </c>
      <c r="M344" s="55" t="str">
        <f aca="false">IF($A344="","",IF(L344&lt;=Assumptions!$B$7,"A",IF(L344&lt;=Assumptions!$B$8,"B","C")))</f>
        <v>B</v>
      </c>
      <c r="N344" s="55" t="str">
        <f aca="false">IF($A344="","",IF(I344&lt;=Assumptions!$B$9,"X",IF(I344&lt;=Assumptions!$B$10,"Y","Z")))</f>
        <v>Z</v>
      </c>
      <c r="O344" s="56" t="str">
        <f aca="false">IF($A344="","",M344&amp;N344)</f>
        <v>BZ</v>
      </c>
      <c r="P344" s="57" t="n">
        <f aca="false">IF($A344="","",INDEX(Assumptions!$B$35:$B$37,MATCH(M344,Assumptions!$A$35:$A$37,0)))</f>
        <v>0.95</v>
      </c>
      <c r="Q344" s="58" t="n">
        <f aca="false">IF($A344="","",NORMSINV(P344))</f>
        <v>1.64485362695147</v>
      </c>
      <c r="R344" s="48" t="n">
        <f aca="false">IF($A344="","",ROUNDUP(Q344*H344*SQRT(D344),0))</f>
        <v>102</v>
      </c>
      <c r="S344" s="48" t="n">
        <f aca="false">IF($A344="","",ROUNDUP(G344*D344+R344,0))</f>
        <v>205</v>
      </c>
      <c r="T344" s="46" t="n">
        <f aca="false">IF($A344="","",IFERROR(ROUND(SQRT(2*F344*Assumptions!$B$4/(Assumptions!$B$5*C344)),0),0))</f>
        <v>273</v>
      </c>
      <c r="U344" s="53" t="n">
        <f aca="false">IF($A344="","",R344*C344)</f>
        <v>486.54</v>
      </c>
      <c r="V344" s="53" t="n">
        <f aca="false">IF($A344="","",E344*C344)</f>
        <v>734.58</v>
      </c>
      <c r="W344" s="59" t="n">
        <f aca="false">IF($A344="","",IFERROR(E344/G344,0))</f>
        <v>9.00787401574803</v>
      </c>
      <c r="X344" s="48" t="n">
        <f aca="false">IF($A344="","",S344+T344)</f>
        <v>478</v>
      </c>
      <c r="Y344" s="48" t="n">
        <f aca="false">IF($A344="","",MAX(0,E344-X344))</f>
        <v>0</v>
      </c>
      <c r="Z344" s="53" t="n">
        <f aca="false">IF($A344="","",Y344*C344)</f>
        <v>0</v>
      </c>
      <c r="AA344" s="56" t="str">
        <f aca="false">IF($A344="","",IF(E344&lt;=R344,"Below Safety Stock",IF(E344&lt;=S344,"Reorder Now",IF(E344&gt;X344,"Excess","Healthy"))))</f>
        <v>Reorder Now</v>
      </c>
      <c r="AB344" s="48" t="n">
        <f aca="false">IF($A344="","",RANK(AF344,$AF$5:$AF$504,0)+COUNTIF($AF$5:AF344,AF344)-1)</f>
        <v>334</v>
      </c>
      <c r="AC344" s="44" t="str">
        <f aca="false">IF($A344="","",Weekly_Demand!B344)</f>
        <v>UNION STRIPE WITH FRINGE  HAMMOCK</v>
      </c>
      <c r="AD344" s="59" t="n">
        <f aca="false">IF($A344="","",H344*SQRT(D344))</f>
        <v>61.8922395883924</v>
      </c>
      <c r="AE344" s="53" t="n">
        <f aca="false">IF($A344="","",AD344*C344)</f>
        <v>295.225982836632</v>
      </c>
      <c r="AF344" s="53" t="n">
        <f aca="false">IF($A344="","",ROUND(J344,2))</f>
        <v>4240.53</v>
      </c>
    </row>
    <row r="345" customFormat="false" ht="15" hidden="false" customHeight="false" outlineLevel="0" collapsed="false">
      <c r="A345" s="44" t="str">
        <f aca="false">IF(Weekly_Demand!A345="","",Weekly_Demand!A345)</f>
        <v>22553</v>
      </c>
      <c r="B345" s="44" t="str">
        <f aca="false">IF($A345="","",Weekly_Demand!C345)</f>
        <v>Kitchen</v>
      </c>
      <c r="C345" s="45" t="n">
        <f aca="false">IF($A345="","",Weekly_Demand!D345)</f>
        <v>0.99</v>
      </c>
      <c r="D345" s="46" t="n">
        <f aca="false">IF($A345="","",Weekly_Demand!E345+Assumptions!$B$19)</f>
        <v>4</v>
      </c>
      <c r="E345" s="46" t="n">
        <f aca="false">IF($A345="","",Weekly_Demand!F345)</f>
        <v>79</v>
      </c>
      <c r="F345" s="46" t="n">
        <f aca="false">IF($A345="","",SUM(Weekly_Demand!G345:BF345))</f>
        <v>4085</v>
      </c>
      <c r="G345" s="51" t="n">
        <f aca="false">IF($A345="","",IFERROR(F345/Assumptions!$B$6,0))</f>
        <v>78.5576923076923</v>
      </c>
      <c r="H345" s="51" t="n">
        <f aca="false">IF($A345="","",STDEV(Weekly_Demand!G345:BF345))</f>
        <v>57.3299406639403</v>
      </c>
      <c r="I345" s="52" t="n">
        <f aca="false">IF($A345="","",IFERROR(H345/G345,0))</f>
        <v>0.7297813744247</v>
      </c>
      <c r="J345" s="53" t="n">
        <f aca="false">IF($A345="","",F345*C345)</f>
        <v>4044.15</v>
      </c>
      <c r="K345" s="54" t="n">
        <f aca="false">IF($A345="","",IFERROR(J345/$J$505,0))</f>
        <v>0.00104643338173302</v>
      </c>
      <c r="L345" s="54" t="n">
        <f aca="false">IF($A345="","",IFERROR(SUMIFS($J$5:$J$504,$AB$5:$AB$504,"&lt;="&amp;AB345)/$J$505,0))</f>
        <v>0.875900693634311</v>
      </c>
      <c r="M345" s="55" t="str">
        <f aca="false">IF($A345="","",IF(L345&lt;=Assumptions!$B$7,"A",IF(L345&lt;=Assumptions!$B$8,"B","C")))</f>
        <v>B</v>
      </c>
      <c r="N345" s="55" t="str">
        <f aca="false">IF($A345="","",IF(I345&lt;=Assumptions!$B$9,"X",IF(I345&lt;=Assumptions!$B$10,"Y","Z")))</f>
        <v>Y</v>
      </c>
      <c r="O345" s="56" t="str">
        <f aca="false">IF($A345="","",M345&amp;N345)</f>
        <v>BY</v>
      </c>
      <c r="P345" s="57" t="n">
        <f aca="false">IF($A345="","",INDEX(Assumptions!$B$35:$B$37,MATCH(M345,Assumptions!$A$35:$A$37,0)))</f>
        <v>0.95</v>
      </c>
      <c r="Q345" s="58" t="n">
        <f aca="false">IF($A345="","",NORMSINV(P345))</f>
        <v>1.64485362695147</v>
      </c>
      <c r="R345" s="48" t="n">
        <f aca="false">IF($A345="","",ROUNDUP(Q345*H345*SQRT(D345),0))</f>
        <v>189</v>
      </c>
      <c r="S345" s="48" t="n">
        <f aca="false">IF($A345="","",ROUNDUP(G345*D345+R345,0))</f>
        <v>504</v>
      </c>
      <c r="T345" s="46" t="n">
        <f aca="false">IF($A345="","",IFERROR(ROUND(SQRT(2*F345*Assumptions!$B$4/(Assumptions!$B$5*C345)),0),0))</f>
        <v>1285</v>
      </c>
      <c r="U345" s="53" t="n">
        <f aca="false">IF($A345="","",R345*C345)</f>
        <v>187.11</v>
      </c>
      <c r="V345" s="53" t="n">
        <f aca="false">IF($A345="","",E345*C345)</f>
        <v>78.21</v>
      </c>
      <c r="W345" s="59" t="n">
        <f aca="false">IF($A345="","",IFERROR(E345/G345,0))</f>
        <v>1.00563035495716</v>
      </c>
      <c r="X345" s="48" t="n">
        <f aca="false">IF($A345="","",S345+T345)</f>
        <v>1789</v>
      </c>
      <c r="Y345" s="48" t="n">
        <f aca="false">IF($A345="","",MAX(0,E345-X345))</f>
        <v>0</v>
      </c>
      <c r="Z345" s="53" t="n">
        <f aca="false">IF($A345="","",Y345*C345)</f>
        <v>0</v>
      </c>
      <c r="AA345" s="56" t="str">
        <f aca="false">IF($A345="","",IF(E345&lt;=R345,"Below Safety Stock",IF(E345&lt;=S345,"Reorder Now",IF(E345&gt;X345,"Excess","Healthy"))))</f>
        <v>Below Safety Stock</v>
      </c>
      <c r="AB345" s="48" t="n">
        <f aca="false">IF($A345="","",RANK(AF345,$AF$5:$AF$504,0)+COUNTIF($AF$5:AF345,AF345)-1)</f>
        <v>358</v>
      </c>
      <c r="AC345" s="44" t="str">
        <f aca="false">IF($A345="","",Weekly_Demand!B345)</f>
        <v>PLASTERS IN TIN SKULLS</v>
      </c>
      <c r="AD345" s="59" t="n">
        <f aca="false">IF($A345="","",H345*SQRT(D345))</f>
        <v>114.659881327881</v>
      </c>
      <c r="AE345" s="53" t="n">
        <f aca="false">IF($A345="","",AD345*C345)</f>
        <v>113.513282514602</v>
      </c>
      <c r="AF345" s="53" t="n">
        <f aca="false">IF($A345="","",ROUND(J345,2))</f>
        <v>4044.15</v>
      </c>
    </row>
    <row r="346" customFormat="false" ht="15" hidden="false" customHeight="false" outlineLevel="0" collapsed="false">
      <c r="A346" s="44" t="str">
        <f aca="false">IF(Weekly_Demand!A346="","",Weekly_Demand!A346)</f>
        <v>75049L</v>
      </c>
      <c r="B346" s="44" t="str">
        <f aca="false">IF($A346="","",Weekly_Demand!C346)</f>
        <v>Other</v>
      </c>
      <c r="C346" s="45" t="n">
        <f aca="false">IF($A346="","",Weekly_Demand!D346)</f>
        <v>0.75</v>
      </c>
      <c r="D346" s="46" t="n">
        <f aca="false">IF($A346="","",Weekly_Demand!E346+Assumptions!$B$19)</f>
        <v>4</v>
      </c>
      <c r="E346" s="46" t="n">
        <f aca="false">IF($A346="","",Weekly_Demand!F346)</f>
        <v>6964</v>
      </c>
      <c r="F346" s="46" t="n">
        <f aca="false">IF($A346="","",SUM(Weekly_Demand!G346:BF346))</f>
        <v>7101</v>
      </c>
      <c r="G346" s="51" t="n">
        <f aca="false">IF($A346="","",IFERROR(F346/Assumptions!$B$6,0))</f>
        <v>136.557692307692</v>
      </c>
      <c r="H346" s="51" t="n">
        <f aca="false">IF($A346="","",STDEV(Weekly_Demand!G346:BF346))</f>
        <v>154.395140310286</v>
      </c>
      <c r="I346" s="52" t="n">
        <f aca="false">IF($A346="","",IFERROR(H346/G346,0))</f>
        <v>1.13062206677015</v>
      </c>
      <c r="J346" s="53" t="n">
        <f aca="false">IF($A346="","",F346*C346)</f>
        <v>5325.75</v>
      </c>
      <c r="K346" s="54" t="n">
        <f aca="false">IF($A346="","",IFERROR(J346/$J$505,0))</f>
        <v>0.00137805041424393</v>
      </c>
      <c r="L346" s="54" t="n">
        <f aca="false">IF($A346="","",IFERROR(SUMIFS($J$5:$J$504,$AB$5:$AB$504,"&lt;="&amp;AB346)/$J$505,0))</f>
        <v>0.746012567947084</v>
      </c>
      <c r="M346" s="55" t="str">
        <f aca="false">IF($A346="","",IF(L346&lt;=Assumptions!$B$7,"A",IF(L346&lt;=Assumptions!$B$8,"B","C")))</f>
        <v>A</v>
      </c>
      <c r="N346" s="55" t="str">
        <f aca="false">IF($A346="","",IF(I346&lt;=Assumptions!$B$9,"X",IF(I346&lt;=Assumptions!$B$10,"Y","Z")))</f>
        <v>Z</v>
      </c>
      <c r="O346" s="56" t="str">
        <f aca="false">IF($A346="","",M346&amp;N346)</f>
        <v>AZ</v>
      </c>
      <c r="P346" s="57" t="n">
        <f aca="false">IF($A346="","",INDEX(Assumptions!$B$35:$B$37,MATCH(M346,Assumptions!$A$35:$A$37,0)))</f>
        <v>0.98</v>
      </c>
      <c r="Q346" s="58" t="n">
        <f aca="false">IF($A346="","",NORMSINV(P346))</f>
        <v>2.05374891063182</v>
      </c>
      <c r="R346" s="48" t="n">
        <f aca="false">IF($A346="","",ROUNDUP(Q346*H346*SQRT(D346),0))</f>
        <v>635</v>
      </c>
      <c r="S346" s="48" t="n">
        <f aca="false">IF($A346="","",ROUNDUP(G346*D346+R346,0))</f>
        <v>1182</v>
      </c>
      <c r="T346" s="46" t="n">
        <f aca="false">IF($A346="","",IFERROR(ROUND(SQRT(2*F346*Assumptions!$B$4/(Assumptions!$B$5*C346)),0),0))</f>
        <v>1946</v>
      </c>
      <c r="U346" s="53" t="n">
        <f aca="false">IF($A346="","",R346*C346)</f>
        <v>476.25</v>
      </c>
      <c r="V346" s="53" t="n">
        <f aca="false">IF($A346="","",E346*C346)</f>
        <v>5223</v>
      </c>
      <c r="W346" s="59" t="n">
        <f aca="false">IF($A346="","",IFERROR(E346/G346,0))</f>
        <v>50.9967610195747</v>
      </c>
      <c r="X346" s="48" t="n">
        <f aca="false">IF($A346="","",S346+T346)</f>
        <v>3128</v>
      </c>
      <c r="Y346" s="48" t="n">
        <f aca="false">IF($A346="","",MAX(0,E346-X346))</f>
        <v>3836</v>
      </c>
      <c r="Z346" s="53" t="n">
        <f aca="false">IF($A346="","",Y346*C346)</f>
        <v>2877</v>
      </c>
      <c r="AA346" s="56" t="str">
        <f aca="false">IF($A346="","",IF(E346&lt;=R346,"Below Safety Stock",IF(E346&lt;=S346,"Reorder Now",IF(E346&gt;X346,"Excess","Healthy"))))</f>
        <v>Excess</v>
      </c>
      <c r="AB346" s="48" t="n">
        <f aca="false">IF($A346="","",RANK(AF346,$AF$5:$AF$504,0)+COUNTIF($AF$5:AF346,AF346)-1)</f>
        <v>248</v>
      </c>
      <c r="AC346" s="44" t="str">
        <f aca="false">IF($A346="","",Weekly_Demand!B346)</f>
        <v>LARGE CIRCULAR MIRROR MOBILE</v>
      </c>
      <c r="AD346" s="59" t="n">
        <f aca="false">IF($A346="","",H346*SQRT(D346))</f>
        <v>308.790280620572</v>
      </c>
      <c r="AE346" s="53" t="n">
        <f aca="false">IF($A346="","",AD346*C346)</f>
        <v>231.592710465429</v>
      </c>
      <c r="AF346" s="53" t="n">
        <f aca="false">IF($A346="","",ROUND(J346,2))</f>
        <v>5325.75</v>
      </c>
    </row>
    <row r="347" customFormat="false" ht="15" hidden="false" customHeight="false" outlineLevel="0" collapsed="false">
      <c r="A347" s="44" t="str">
        <f aca="false">IF(Weekly_Demand!A347="","",Weekly_Demand!A347)</f>
        <v>23254</v>
      </c>
      <c r="B347" s="44" t="str">
        <f aca="false">IF($A347="","",Weekly_Demand!C347)</f>
        <v>Other</v>
      </c>
      <c r="C347" s="45" t="n">
        <f aca="false">IF($A347="","",Weekly_Demand!D347)</f>
        <v>2.49</v>
      </c>
      <c r="D347" s="46" t="n">
        <f aca="false">IF($A347="","",Weekly_Demand!E347+Assumptions!$B$19)</f>
        <v>6</v>
      </c>
      <c r="E347" s="46" t="n">
        <f aca="false">IF($A347="","",Weekly_Demand!F347)</f>
        <v>485</v>
      </c>
      <c r="F347" s="46" t="n">
        <f aca="false">IF($A347="","",SUM(Weekly_Demand!G347:BF347))</f>
        <v>1680</v>
      </c>
      <c r="G347" s="51" t="n">
        <f aca="false">IF($A347="","",IFERROR(F347/Assumptions!$B$6,0))</f>
        <v>32.3076923076923</v>
      </c>
      <c r="H347" s="51" t="n">
        <f aca="false">IF($A347="","",STDEV(Weekly_Demand!G347:BF347))</f>
        <v>40.4913636211905</v>
      </c>
      <c r="I347" s="52" t="n">
        <f aca="false">IF($A347="","",IFERROR(H347/G347,0))</f>
        <v>1.25330411208447</v>
      </c>
      <c r="J347" s="53" t="n">
        <f aca="false">IF($A347="","",F347*C347)</f>
        <v>4183.2</v>
      </c>
      <c r="K347" s="54" t="n">
        <f aca="false">IF($A347="","",IFERROR(J347/$J$505,0))</f>
        <v>0.00108241289825193</v>
      </c>
      <c r="L347" s="54" t="n">
        <f aca="false">IF($A347="","",IFERROR(SUMIFS($J$5:$J$504,$AB$5:$AB$504,"&lt;="&amp;AB347)/$J$505,0))</f>
        <v>0.858810707397924</v>
      </c>
      <c r="M347" s="55" t="str">
        <f aca="false">IF($A347="","",IF(L347&lt;=Assumptions!$B$7,"A",IF(L347&lt;=Assumptions!$B$8,"B","C")))</f>
        <v>B</v>
      </c>
      <c r="N347" s="55" t="str">
        <f aca="false">IF($A347="","",IF(I347&lt;=Assumptions!$B$9,"X",IF(I347&lt;=Assumptions!$B$10,"Y","Z")))</f>
        <v>Z</v>
      </c>
      <c r="O347" s="56" t="str">
        <f aca="false">IF($A347="","",M347&amp;N347)</f>
        <v>BZ</v>
      </c>
      <c r="P347" s="57" t="n">
        <f aca="false">IF($A347="","",INDEX(Assumptions!$B$35:$B$37,MATCH(M347,Assumptions!$A$35:$A$37,0)))</f>
        <v>0.95</v>
      </c>
      <c r="Q347" s="58" t="n">
        <f aca="false">IF($A347="","",NORMSINV(P347))</f>
        <v>1.64485362695147</v>
      </c>
      <c r="R347" s="48" t="n">
        <f aca="false">IF($A347="","",ROUNDUP(Q347*H347*SQRT(D347),0))</f>
        <v>164</v>
      </c>
      <c r="S347" s="48" t="n">
        <f aca="false">IF($A347="","",ROUNDUP(G347*D347+R347,0))</f>
        <v>358</v>
      </c>
      <c r="T347" s="46" t="n">
        <f aca="false">IF($A347="","",IFERROR(ROUND(SQRT(2*F347*Assumptions!$B$4/(Assumptions!$B$5*C347)),0),0))</f>
        <v>519</v>
      </c>
      <c r="U347" s="53" t="n">
        <f aca="false">IF($A347="","",R347*C347)</f>
        <v>408.36</v>
      </c>
      <c r="V347" s="53" t="n">
        <f aca="false">IF($A347="","",E347*C347)</f>
        <v>1207.65</v>
      </c>
      <c r="W347" s="59" t="n">
        <f aca="false">IF($A347="","",IFERROR(E347/G347,0))</f>
        <v>15.0119047619048</v>
      </c>
      <c r="X347" s="48" t="n">
        <f aca="false">IF($A347="","",S347+T347)</f>
        <v>877</v>
      </c>
      <c r="Y347" s="48" t="n">
        <f aca="false">IF($A347="","",MAX(0,E347-X347))</f>
        <v>0</v>
      </c>
      <c r="Z347" s="53" t="n">
        <f aca="false">IF($A347="","",Y347*C347)</f>
        <v>0</v>
      </c>
      <c r="AA347" s="56" t="str">
        <f aca="false">IF($A347="","",IF(E347&lt;=R347,"Below Safety Stock",IF(E347&lt;=S347,"Reorder Now",IF(E347&gt;X347,"Excess","Healthy"))))</f>
        <v>Healthy</v>
      </c>
      <c r="AB347" s="48" t="n">
        <f aca="false">IF($A347="","",RANK(AF347,$AF$5:$AF$504,0)+COUNTIF($AF$5:AF347,AF347)-1)</f>
        <v>342</v>
      </c>
      <c r="AC347" s="44" t="str">
        <f aca="false">IF($A347="","",Weekly_Demand!B347)</f>
        <v>CHILDRENS CUTLERY DOLLY GIRL</v>
      </c>
      <c r="AD347" s="59" t="n">
        <f aca="false">IF($A347="","",H347*SQRT(D347))</f>
        <v>99.18317986141</v>
      </c>
      <c r="AE347" s="53" t="n">
        <f aca="false">IF($A347="","",AD347*C347)</f>
        <v>246.966117854911</v>
      </c>
      <c r="AF347" s="53" t="n">
        <f aca="false">IF($A347="","",ROUND(J347,2))</f>
        <v>4183.2</v>
      </c>
    </row>
    <row r="348" customFormat="false" ht="15" hidden="false" customHeight="false" outlineLevel="0" collapsed="false">
      <c r="A348" s="44" t="str">
        <f aca="false">IF(Weekly_Demand!A348="","",Weekly_Demand!A348)</f>
        <v>21165</v>
      </c>
      <c r="B348" s="44" t="str">
        <f aca="false">IF($A348="","",Weekly_Demand!C348)</f>
        <v>Other</v>
      </c>
      <c r="C348" s="45" t="n">
        <f aca="false">IF($A348="","",Weekly_Demand!D348)</f>
        <v>1.014</v>
      </c>
      <c r="D348" s="46" t="n">
        <f aca="false">IF($A348="","",Weekly_Demand!E348+Assumptions!$B$19)</f>
        <v>4</v>
      </c>
      <c r="E348" s="46" t="n">
        <f aca="false">IF($A348="","",Weekly_Demand!F348)</f>
        <v>866</v>
      </c>
      <c r="F348" s="46" t="n">
        <f aca="false">IF($A348="","",SUM(Weekly_Demand!G348:BF348))</f>
        <v>4095</v>
      </c>
      <c r="G348" s="51" t="n">
        <f aca="false">IF($A348="","",IFERROR(F348/Assumptions!$B$6,0))</f>
        <v>78.75</v>
      </c>
      <c r="H348" s="51" t="n">
        <f aca="false">IF($A348="","",STDEV(Weekly_Demand!G348:BF348))</f>
        <v>72.3999986458672</v>
      </c>
      <c r="I348" s="52" t="n">
        <f aca="false">IF($A348="","",IFERROR(H348/G348,0))</f>
        <v>0.919365062169742</v>
      </c>
      <c r="J348" s="53" t="n">
        <f aca="false">IF($A348="","",F348*C348)</f>
        <v>4152.33</v>
      </c>
      <c r="K348" s="54" t="n">
        <f aca="false">IF($A348="","",IFERROR(J348/$J$505,0))</f>
        <v>0.0010744252127076</v>
      </c>
      <c r="L348" s="54" t="n">
        <f aca="false">IF($A348="","",IFERROR(SUMIFS($J$5:$J$504,$AB$5:$AB$504,"&lt;="&amp;AB348)/$J$505,0))</f>
        <v>0.865277123093322</v>
      </c>
      <c r="M348" s="55" t="str">
        <f aca="false">IF($A348="","",IF(L348&lt;=Assumptions!$B$7,"A",IF(L348&lt;=Assumptions!$B$8,"B","C")))</f>
        <v>B</v>
      </c>
      <c r="N348" s="55" t="str">
        <f aca="false">IF($A348="","",IF(I348&lt;=Assumptions!$B$9,"X",IF(I348&lt;=Assumptions!$B$10,"Y","Z")))</f>
        <v>Y</v>
      </c>
      <c r="O348" s="56" t="str">
        <f aca="false">IF($A348="","",M348&amp;N348)</f>
        <v>BY</v>
      </c>
      <c r="P348" s="57" t="n">
        <f aca="false">IF($A348="","",INDEX(Assumptions!$B$35:$B$37,MATCH(M348,Assumptions!$A$35:$A$37,0)))</f>
        <v>0.95</v>
      </c>
      <c r="Q348" s="58" t="n">
        <f aca="false">IF($A348="","",NORMSINV(P348))</f>
        <v>1.64485362695147</v>
      </c>
      <c r="R348" s="48" t="n">
        <f aca="false">IF($A348="","",ROUNDUP(Q348*H348*SQRT(D348),0))</f>
        <v>239</v>
      </c>
      <c r="S348" s="48" t="n">
        <f aca="false">IF($A348="","",ROUNDUP(G348*D348+R348,0))</f>
        <v>554</v>
      </c>
      <c r="T348" s="46" t="n">
        <f aca="false">IF($A348="","",IFERROR(ROUND(SQRT(2*F348*Assumptions!$B$4/(Assumptions!$B$5*C348)),0),0))</f>
        <v>1271</v>
      </c>
      <c r="U348" s="53" t="n">
        <f aca="false">IF($A348="","",R348*C348)</f>
        <v>242.346</v>
      </c>
      <c r="V348" s="53" t="n">
        <f aca="false">IF($A348="","",E348*C348)</f>
        <v>878.124</v>
      </c>
      <c r="W348" s="59" t="n">
        <f aca="false">IF($A348="","",IFERROR(E348/G348,0))</f>
        <v>10.9968253968254</v>
      </c>
      <c r="X348" s="48" t="n">
        <f aca="false">IF($A348="","",S348+T348)</f>
        <v>1825</v>
      </c>
      <c r="Y348" s="48" t="n">
        <f aca="false">IF($A348="","",MAX(0,E348-X348))</f>
        <v>0</v>
      </c>
      <c r="Z348" s="53" t="n">
        <f aca="false">IF($A348="","",Y348*C348)</f>
        <v>0</v>
      </c>
      <c r="AA348" s="56" t="str">
        <f aca="false">IF($A348="","",IF(E348&lt;=R348,"Below Safety Stock",IF(E348&lt;=S348,"Reorder Now",IF(E348&gt;X348,"Excess","Healthy"))))</f>
        <v>Healthy</v>
      </c>
      <c r="AB348" s="48" t="n">
        <f aca="false">IF($A348="","",RANK(AF348,$AF$5:$AF$504,0)+COUNTIF($AF$5:AF348,AF348)-1)</f>
        <v>348</v>
      </c>
      <c r="AC348" s="44" t="str">
        <f aca="false">IF($A348="","",Weekly_Demand!B348)</f>
        <v>BEWARE OF THE CAT METAL SIGN</v>
      </c>
      <c r="AD348" s="59" t="n">
        <f aca="false">IF($A348="","",H348*SQRT(D348))</f>
        <v>144.799997291734</v>
      </c>
      <c r="AE348" s="53" t="n">
        <f aca="false">IF($A348="","",AD348*C348)</f>
        <v>146.827197253819</v>
      </c>
      <c r="AF348" s="53" t="n">
        <f aca="false">IF($A348="","",ROUND(J348,2))</f>
        <v>4152.33</v>
      </c>
    </row>
    <row r="349" customFormat="false" ht="15" hidden="false" customHeight="false" outlineLevel="0" collapsed="false">
      <c r="A349" s="44" t="str">
        <f aca="false">IF(Weekly_Demand!A349="","",Weekly_Demand!A349)</f>
        <v>23297</v>
      </c>
      <c r="B349" s="44" t="str">
        <f aca="false">IF($A349="","",Weekly_Demand!C349)</f>
        <v>Other</v>
      </c>
      <c r="C349" s="45" t="n">
        <f aca="false">IF($A349="","",Weekly_Demand!D349)</f>
        <v>0.99</v>
      </c>
      <c r="D349" s="46" t="n">
        <f aca="false">IF($A349="","",Weekly_Demand!E349+Assumptions!$B$19)</f>
        <v>4</v>
      </c>
      <c r="E349" s="46" t="n">
        <f aca="false">IF($A349="","",Weekly_Demand!F349)</f>
        <v>497</v>
      </c>
      <c r="F349" s="46" t="n">
        <f aca="false">IF($A349="","",SUM(Weekly_Demand!G349:BF349))</f>
        <v>4303</v>
      </c>
      <c r="G349" s="51" t="n">
        <f aca="false">IF($A349="","",IFERROR(F349/Assumptions!$B$6,0))</f>
        <v>82.75</v>
      </c>
      <c r="H349" s="51" t="n">
        <f aca="false">IF($A349="","",STDEV(Weekly_Demand!G349:BF349))</f>
        <v>203.997200576717</v>
      </c>
      <c r="I349" s="52" t="n">
        <f aca="false">IF($A349="","",IFERROR(H349/G349,0))</f>
        <v>2.46522296769446</v>
      </c>
      <c r="J349" s="53" t="n">
        <f aca="false">IF($A349="","",F349*C349)</f>
        <v>4259.97</v>
      </c>
      <c r="K349" s="54" t="n">
        <f aca="false">IF($A349="","",IFERROR(J349/$J$505,0))</f>
        <v>0.00110227731740445</v>
      </c>
      <c r="L349" s="54" t="n">
        <f aca="false">IF($A349="","",IFERROR(SUMIFS($J$5:$J$504,$AB$5:$AB$504,"&lt;="&amp;AB349)/$J$505,0))</f>
        <v>0.845698094863098</v>
      </c>
      <c r="M349" s="55" t="str">
        <f aca="false">IF($A349="","",IF(L349&lt;=Assumptions!$B$7,"A",IF(L349&lt;=Assumptions!$B$8,"B","C")))</f>
        <v>B</v>
      </c>
      <c r="N349" s="55" t="str">
        <f aca="false">IF($A349="","",IF(I349&lt;=Assumptions!$B$9,"X",IF(I349&lt;=Assumptions!$B$10,"Y","Z")))</f>
        <v>Z</v>
      </c>
      <c r="O349" s="56" t="str">
        <f aca="false">IF($A349="","",M349&amp;N349)</f>
        <v>BZ</v>
      </c>
      <c r="P349" s="57" t="n">
        <f aca="false">IF($A349="","",INDEX(Assumptions!$B$35:$B$37,MATCH(M349,Assumptions!$A$35:$A$37,0)))</f>
        <v>0.95</v>
      </c>
      <c r="Q349" s="58" t="n">
        <f aca="false">IF($A349="","",NORMSINV(P349))</f>
        <v>1.64485362695147</v>
      </c>
      <c r="R349" s="48" t="n">
        <f aca="false">IF($A349="","",ROUNDUP(Q349*H349*SQRT(D349),0))</f>
        <v>672</v>
      </c>
      <c r="S349" s="48" t="n">
        <f aca="false">IF($A349="","",ROUNDUP(G349*D349+R349,0))</f>
        <v>1003</v>
      </c>
      <c r="T349" s="46" t="n">
        <f aca="false">IF($A349="","",IFERROR(ROUND(SQRT(2*F349*Assumptions!$B$4/(Assumptions!$B$5*C349)),0),0))</f>
        <v>1319</v>
      </c>
      <c r="U349" s="53" t="n">
        <f aca="false">IF($A349="","",R349*C349)</f>
        <v>665.28</v>
      </c>
      <c r="V349" s="53" t="n">
        <f aca="false">IF($A349="","",E349*C349)</f>
        <v>492.03</v>
      </c>
      <c r="W349" s="59" t="n">
        <f aca="false">IF($A349="","",IFERROR(E349/G349,0))</f>
        <v>6.00604229607251</v>
      </c>
      <c r="X349" s="48" t="n">
        <f aca="false">IF($A349="","",S349+T349)</f>
        <v>2322</v>
      </c>
      <c r="Y349" s="48" t="n">
        <f aca="false">IF($A349="","",MAX(0,E349-X349))</f>
        <v>0</v>
      </c>
      <c r="Z349" s="53" t="n">
        <f aca="false">IF($A349="","",Y349*C349)</f>
        <v>0</v>
      </c>
      <c r="AA349" s="56" t="str">
        <f aca="false">IF($A349="","",IF(E349&lt;=R349,"Below Safety Stock",IF(E349&lt;=S349,"Reorder Now",IF(E349&gt;X349,"Excess","Healthy"))))</f>
        <v>Below Safety Stock</v>
      </c>
      <c r="AB349" s="48" t="n">
        <f aca="false">IF($A349="","",RANK(AF349,$AF$5:$AF$504,0)+COUNTIF($AF$5:AF349,AF349)-1)</f>
        <v>330</v>
      </c>
      <c r="AC349" s="44" t="str">
        <f aca="false">IF($A349="","",Weekly_Demand!B349)</f>
        <v>SET 40 HEART SHAPE PETIT FOUR CASES</v>
      </c>
      <c r="AD349" s="59" t="n">
        <f aca="false">IF($A349="","",H349*SQRT(D349))</f>
        <v>407.994401153434</v>
      </c>
      <c r="AE349" s="53" t="n">
        <f aca="false">IF($A349="","",AD349*C349)</f>
        <v>403.914457141899</v>
      </c>
      <c r="AF349" s="53" t="n">
        <f aca="false">IF($A349="","",ROUND(J349,2))</f>
        <v>4259.97</v>
      </c>
    </row>
    <row r="350" customFormat="false" ht="15" hidden="false" customHeight="false" outlineLevel="0" collapsed="false">
      <c r="A350" s="44" t="str">
        <f aca="false">IF(Weekly_Demand!A350="","",Weekly_Demand!A350)</f>
        <v>22634</v>
      </c>
      <c r="B350" s="44" t="str">
        <f aca="false">IF($A350="","",Weekly_Demand!C350)</f>
        <v>Other</v>
      </c>
      <c r="C350" s="45" t="n">
        <f aca="false">IF($A350="","",Weekly_Demand!D350)</f>
        <v>5.97</v>
      </c>
      <c r="D350" s="46" t="n">
        <f aca="false">IF($A350="","",Weekly_Demand!E350+Assumptions!$B$19)</f>
        <v>6</v>
      </c>
      <c r="E350" s="46" t="n">
        <f aca="false">IF($A350="","",Weekly_Demand!F350)</f>
        <v>28</v>
      </c>
      <c r="F350" s="46" t="n">
        <f aca="false">IF($A350="","",SUM(Weekly_Demand!G350:BF350))</f>
        <v>725</v>
      </c>
      <c r="G350" s="51" t="n">
        <f aca="false">IF($A350="","",IFERROR(F350/Assumptions!$B$6,0))</f>
        <v>13.9423076923077</v>
      </c>
      <c r="H350" s="51" t="n">
        <f aca="false">IF($A350="","",STDEV(Weekly_Demand!G350:BF350))</f>
        <v>10.7016829564115</v>
      </c>
      <c r="I350" s="52" t="n">
        <f aca="false">IF($A350="","",IFERROR(H350/G350,0))</f>
        <v>0.767568984459856</v>
      </c>
      <c r="J350" s="53" t="n">
        <f aca="false">IF($A350="","",F350*C350)</f>
        <v>4328.25</v>
      </c>
      <c r="K350" s="54" t="n">
        <f aca="false">IF($A350="","",IFERROR(J350/$J$505,0))</f>
        <v>0.001119944928968</v>
      </c>
      <c r="L350" s="54" t="n">
        <f aca="false">IF($A350="","",IFERROR(SUMIFS($J$5:$J$504,$AB$5:$AB$504,"&lt;="&amp;AB350)/$J$505,0))</f>
        <v>0.832356396438369</v>
      </c>
      <c r="M350" s="55" t="str">
        <f aca="false">IF($A350="","",IF(L350&lt;=Assumptions!$B$7,"A",IF(L350&lt;=Assumptions!$B$8,"B","C")))</f>
        <v>B</v>
      </c>
      <c r="N350" s="55" t="str">
        <f aca="false">IF($A350="","",IF(I350&lt;=Assumptions!$B$9,"X",IF(I350&lt;=Assumptions!$B$10,"Y","Z")))</f>
        <v>Y</v>
      </c>
      <c r="O350" s="56" t="str">
        <f aca="false">IF($A350="","",M350&amp;N350)</f>
        <v>BY</v>
      </c>
      <c r="P350" s="57" t="n">
        <f aca="false">IF($A350="","",INDEX(Assumptions!$B$35:$B$37,MATCH(M350,Assumptions!$A$35:$A$37,0)))</f>
        <v>0.95</v>
      </c>
      <c r="Q350" s="58" t="n">
        <f aca="false">IF($A350="","",NORMSINV(P350))</f>
        <v>1.64485362695147</v>
      </c>
      <c r="R350" s="48" t="n">
        <f aca="false">IF($A350="","",ROUNDUP(Q350*H350*SQRT(D350),0))</f>
        <v>44</v>
      </c>
      <c r="S350" s="48" t="n">
        <f aca="false">IF($A350="","",ROUNDUP(G350*D350+R350,0))</f>
        <v>128</v>
      </c>
      <c r="T350" s="46" t="n">
        <f aca="false">IF($A350="","",IFERROR(ROUND(SQRT(2*F350*Assumptions!$B$4/(Assumptions!$B$5*C350)),0),0))</f>
        <v>220</v>
      </c>
      <c r="U350" s="53" t="n">
        <f aca="false">IF($A350="","",R350*C350)</f>
        <v>262.68</v>
      </c>
      <c r="V350" s="53" t="n">
        <f aca="false">IF($A350="","",E350*C350)</f>
        <v>167.16</v>
      </c>
      <c r="W350" s="59" t="n">
        <f aca="false">IF($A350="","",IFERROR(E350/G350,0))</f>
        <v>2.00827586206897</v>
      </c>
      <c r="X350" s="48" t="n">
        <f aca="false">IF($A350="","",S350+T350)</f>
        <v>348</v>
      </c>
      <c r="Y350" s="48" t="n">
        <f aca="false">IF($A350="","",MAX(0,E350-X350))</f>
        <v>0</v>
      </c>
      <c r="Z350" s="53" t="n">
        <f aca="false">IF($A350="","",Y350*C350)</f>
        <v>0</v>
      </c>
      <c r="AA350" s="56" t="str">
        <f aca="false">IF($A350="","",IF(E350&lt;=R350,"Below Safety Stock",IF(E350&lt;=S350,"Reorder Now",IF(E350&gt;X350,"Excess","Healthy"))))</f>
        <v>Below Safety Stock</v>
      </c>
      <c r="AB350" s="48" t="n">
        <f aca="false">IF($A350="","",RANK(AF350,$AF$5:$AF$504,0)+COUNTIF($AF$5:AF350,AF350)-1)</f>
        <v>318</v>
      </c>
      <c r="AC350" s="44" t="str">
        <f aca="false">IF($A350="","",Weekly_Demand!B350)</f>
        <v>CHILDS BREAKFAST SET SPACEBOY</v>
      </c>
      <c r="AD350" s="59" t="n">
        <f aca="false">IF($A350="","",H350*SQRT(D350))</f>
        <v>26.2136626322474</v>
      </c>
      <c r="AE350" s="53" t="n">
        <f aca="false">IF($A350="","",AD350*C350)</f>
        <v>156.495565914517</v>
      </c>
      <c r="AF350" s="53" t="n">
        <f aca="false">IF($A350="","",ROUND(J350,2))</f>
        <v>4328.25</v>
      </c>
    </row>
    <row r="351" customFormat="false" ht="15" hidden="false" customHeight="false" outlineLevel="0" collapsed="false">
      <c r="A351" s="44" t="str">
        <f aca="false">IF(Weekly_Demand!A351="","",Weekly_Demand!A351)</f>
        <v>21877</v>
      </c>
      <c r="B351" s="44" t="str">
        <f aca="false">IF($A351="","",Weekly_Demand!C351)</f>
        <v>Kitchen</v>
      </c>
      <c r="C351" s="45" t="n">
        <f aca="false">IF($A351="","",Weekly_Demand!D351)</f>
        <v>0.75</v>
      </c>
      <c r="D351" s="46" t="n">
        <f aca="false">IF($A351="","",Weekly_Demand!E351+Assumptions!$B$19)</f>
        <v>4</v>
      </c>
      <c r="E351" s="46" t="n">
        <f aca="false">IF($A351="","",Weekly_Demand!F351)</f>
        <v>102</v>
      </c>
      <c r="F351" s="46" t="n">
        <f aca="false">IF($A351="","",SUM(Weekly_Demand!G351:BF351))</f>
        <v>5320</v>
      </c>
      <c r="G351" s="51" t="n">
        <f aca="false">IF($A351="","",IFERROR(F351/Assumptions!$B$6,0))</f>
        <v>102.307692307692</v>
      </c>
      <c r="H351" s="51" t="n">
        <f aca="false">IF($A351="","",STDEV(Weekly_Demand!G351:BF351))</f>
        <v>190.565056408519</v>
      </c>
      <c r="I351" s="52" t="n">
        <f aca="false">IF($A351="","",IFERROR(H351/G351,0))</f>
        <v>1.8626659648953</v>
      </c>
      <c r="J351" s="53" t="n">
        <f aca="false">IF($A351="","",F351*C351)</f>
        <v>3990</v>
      </c>
      <c r="K351" s="54" t="n">
        <f aca="false">IF($A351="","",IFERROR(J351/$J$505,0))</f>
        <v>0.00103242194110375</v>
      </c>
      <c r="L351" s="54" t="n">
        <f aca="false">IF($A351="","",IFERROR(SUMIFS($J$5:$J$504,$AB$5:$AB$504,"&lt;="&amp;AB351)/$J$505,0))</f>
        <v>0.882117794179818</v>
      </c>
      <c r="M351" s="55" t="str">
        <f aca="false">IF($A351="","",IF(L351&lt;=Assumptions!$B$7,"A",IF(L351&lt;=Assumptions!$B$8,"B","C")))</f>
        <v>B</v>
      </c>
      <c r="N351" s="55" t="str">
        <f aca="false">IF($A351="","",IF(I351&lt;=Assumptions!$B$9,"X",IF(I351&lt;=Assumptions!$B$10,"Y","Z")))</f>
        <v>Z</v>
      </c>
      <c r="O351" s="56" t="str">
        <f aca="false">IF($A351="","",M351&amp;N351)</f>
        <v>BZ</v>
      </c>
      <c r="P351" s="57" t="n">
        <f aca="false">IF($A351="","",INDEX(Assumptions!$B$35:$B$37,MATCH(M351,Assumptions!$A$35:$A$37,0)))</f>
        <v>0.95</v>
      </c>
      <c r="Q351" s="58" t="n">
        <f aca="false">IF($A351="","",NORMSINV(P351))</f>
        <v>1.64485362695147</v>
      </c>
      <c r="R351" s="48" t="n">
        <f aca="false">IF($A351="","",ROUNDUP(Q351*H351*SQRT(D351),0))</f>
        <v>627</v>
      </c>
      <c r="S351" s="48" t="n">
        <f aca="false">IF($A351="","",ROUNDUP(G351*D351+R351,0))</f>
        <v>1037</v>
      </c>
      <c r="T351" s="46" t="n">
        <f aca="false">IF($A351="","",IFERROR(ROUND(SQRT(2*F351*Assumptions!$B$4/(Assumptions!$B$5*C351)),0),0))</f>
        <v>1684</v>
      </c>
      <c r="U351" s="53" t="n">
        <f aca="false">IF($A351="","",R351*C351)</f>
        <v>470.25</v>
      </c>
      <c r="V351" s="53" t="n">
        <f aca="false">IF($A351="","",E351*C351)</f>
        <v>76.5</v>
      </c>
      <c r="W351" s="59" t="n">
        <f aca="false">IF($A351="","",IFERROR(E351/G351,0))</f>
        <v>0.996992481203008</v>
      </c>
      <c r="X351" s="48" t="n">
        <f aca="false">IF($A351="","",S351+T351)</f>
        <v>2721</v>
      </c>
      <c r="Y351" s="48" t="n">
        <f aca="false">IF($A351="","",MAX(0,E351-X351))</f>
        <v>0</v>
      </c>
      <c r="Z351" s="53" t="n">
        <f aca="false">IF($A351="","",Y351*C351)</f>
        <v>0</v>
      </c>
      <c r="AA351" s="56" t="str">
        <f aca="false">IF($A351="","",IF(E351&lt;=R351,"Below Safety Stock",IF(E351&lt;=S351,"Reorder Now",IF(E351&gt;X351,"Excess","Healthy"))))</f>
        <v>Below Safety Stock</v>
      </c>
      <c r="AB351" s="48" t="n">
        <f aca="false">IF($A351="","",RANK(AF351,$AF$5:$AF$504,0)+COUNTIF($AF$5:AF351,AF351)-1)</f>
        <v>364</v>
      </c>
      <c r="AC351" s="44" t="str">
        <f aca="false">IF($A351="","",Weekly_Demand!B351)</f>
        <v>HOME SWEET HOME MUG</v>
      </c>
      <c r="AD351" s="59" t="n">
        <f aca="false">IF($A351="","",H351*SQRT(D351))</f>
        <v>381.130112817037</v>
      </c>
      <c r="AE351" s="53" t="n">
        <f aca="false">IF($A351="","",AD351*C351)</f>
        <v>285.847584612778</v>
      </c>
      <c r="AF351" s="53" t="n">
        <f aca="false">IF($A351="","",ROUND(J351,2))</f>
        <v>3990</v>
      </c>
    </row>
    <row r="352" customFormat="false" ht="15" hidden="false" customHeight="false" outlineLevel="0" collapsed="false">
      <c r="A352" s="44" t="str">
        <f aca="false">IF(Weekly_Demand!A352="","",Weekly_Demand!A352)</f>
        <v>85014A</v>
      </c>
      <c r="B352" s="44" t="str">
        <f aca="false">IF($A352="","",Weekly_Demand!C352)</f>
        <v>Other</v>
      </c>
      <c r="C352" s="45" t="n">
        <f aca="false">IF($A352="","",Weekly_Demand!D352)</f>
        <v>3.57</v>
      </c>
      <c r="D352" s="46" t="n">
        <f aca="false">IF($A352="","",Weekly_Demand!E352+Assumptions!$B$19)</f>
        <v>6</v>
      </c>
      <c r="E352" s="46" t="n">
        <f aca="false">IF($A352="","",Weekly_Demand!F352)</f>
        <v>647</v>
      </c>
      <c r="F352" s="46" t="n">
        <f aca="false">IF($A352="","",SUM(Weekly_Demand!G352:BF352))</f>
        <v>1161</v>
      </c>
      <c r="G352" s="51" t="n">
        <f aca="false">IF($A352="","",IFERROR(F352/Assumptions!$B$6,0))</f>
        <v>22.3269230769231</v>
      </c>
      <c r="H352" s="51" t="n">
        <f aca="false">IF($A352="","",STDEV(Weekly_Demand!G352:BF352))</f>
        <v>22.9865443622885</v>
      </c>
      <c r="I352" s="52" t="n">
        <f aca="false">IF($A352="","",IFERROR(H352/G352,0))</f>
        <v>1.0295437612739</v>
      </c>
      <c r="J352" s="53" t="n">
        <f aca="false">IF($A352="","",F352*C352)</f>
        <v>4144.77</v>
      </c>
      <c r="K352" s="54" t="n">
        <f aca="false">IF($A352="","",IFERROR(J352/$J$505,0))</f>
        <v>0.0010724690448192</v>
      </c>
      <c r="L352" s="54" t="n">
        <f aca="false">IF($A352="","",IFERROR(SUMIFS($J$5:$J$504,$AB$5:$AB$504,"&lt;="&amp;AB352)/$J$505,0))</f>
        <v>0.866349592138141</v>
      </c>
      <c r="M352" s="55" t="str">
        <f aca="false">IF($A352="","",IF(L352&lt;=Assumptions!$B$7,"A",IF(L352&lt;=Assumptions!$B$8,"B","C")))</f>
        <v>B</v>
      </c>
      <c r="N352" s="55" t="str">
        <f aca="false">IF($A352="","",IF(I352&lt;=Assumptions!$B$9,"X",IF(I352&lt;=Assumptions!$B$10,"Y","Z")))</f>
        <v>Z</v>
      </c>
      <c r="O352" s="56" t="str">
        <f aca="false">IF($A352="","",M352&amp;N352)</f>
        <v>BZ</v>
      </c>
      <c r="P352" s="57" t="n">
        <f aca="false">IF($A352="","",INDEX(Assumptions!$B$35:$B$37,MATCH(M352,Assumptions!$A$35:$A$37,0)))</f>
        <v>0.95</v>
      </c>
      <c r="Q352" s="58" t="n">
        <f aca="false">IF($A352="","",NORMSINV(P352))</f>
        <v>1.64485362695147</v>
      </c>
      <c r="R352" s="48" t="n">
        <f aca="false">IF($A352="","",ROUNDUP(Q352*H352*SQRT(D352),0))</f>
        <v>93</v>
      </c>
      <c r="S352" s="48" t="n">
        <f aca="false">IF($A352="","",ROUNDUP(G352*D352+R352,0))</f>
        <v>227</v>
      </c>
      <c r="T352" s="46" t="n">
        <f aca="false">IF($A352="","",IFERROR(ROUND(SQRT(2*F352*Assumptions!$B$4/(Assumptions!$B$5*C352)),0),0))</f>
        <v>361</v>
      </c>
      <c r="U352" s="53" t="n">
        <f aca="false">IF($A352="","",R352*C352)</f>
        <v>332.01</v>
      </c>
      <c r="V352" s="53" t="n">
        <f aca="false">IF($A352="","",E352*C352)</f>
        <v>2309.79</v>
      </c>
      <c r="W352" s="59" t="n">
        <f aca="false">IF($A352="","",IFERROR(E352/G352,0))</f>
        <v>28.978466838932</v>
      </c>
      <c r="X352" s="48" t="n">
        <f aca="false">IF($A352="","",S352+T352)</f>
        <v>588</v>
      </c>
      <c r="Y352" s="48" t="n">
        <f aca="false">IF($A352="","",MAX(0,E352-X352))</f>
        <v>59</v>
      </c>
      <c r="Z352" s="53" t="n">
        <f aca="false">IF($A352="","",Y352*C352)</f>
        <v>210.63</v>
      </c>
      <c r="AA352" s="56" t="str">
        <f aca="false">IF($A352="","",IF(E352&lt;=R352,"Below Safety Stock",IF(E352&lt;=S352,"Reorder Now",IF(E352&gt;X352,"Excess","Healthy"))))</f>
        <v>Excess</v>
      </c>
      <c r="AB352" s="48" t="n">
        <f aca="false">IF($A352="","",RANK(AF352,$AF$5:$AF$504,0)+COUNTIF($AF$5:AF352,AF352)-1)</f>
        <v>349</v>
      </c>
      <c r="AC352" s="44" t="str">
        <f aca="false">IF($A352="","",Weekly_Demand!B352)</f>
        <v>BLACK/BLUE POLKADOT UMBRELLA</v>
      </c>
      <c r="AD352" s="59" t="n">
        <f aca="false">IF($A352="","",H352*SQRT(D352))</f>
        <v>56.3053046374562</v>
      </c>
      <c r="AE352" s="53" t="n">
        <f aca="false">IF($A352="","",AD352*C352)</f>
        <v>201.009937555719</v>
      </c>
      <c r="AF352" s="53" t="n">
        <f aca="false">IF($A352="","",ROUND(J352,2))</f>
        <v>4144.77</v>
      </c>
    </row>
    <row r="353" customFormat="false" ht="15" hidden="false" customHeight="false" outlineLevel="0" collapsed="false">
      <c r="A353" s="44" t="str">
        <f aca="false">IF(Weekly_Demand!A353="","",Weekly_Demand!A353)</f>
        <v>22840</v>
      </c>
      <c r="B353" s="44" t="str">
        <f aca="false">IF($A353="","",Weekly_Demand!C353)</f>
        <v>Kitchen</v>
      </c>
      <c r="C353" s="45" t="n">
        <f aca="false">IF($A353="","",Weekly_Demand!D353)</f>
        <v>4.77</v>
      </c>
      <c r="D353" s="46" t="n">
        <f aca="false">IF($A353="","",Weekly_Demand!E353+Assumptions!$B$19)</f>
        <v>2</v>
      </c>
      <c r="E353" s="46" t="n">
        <f aca="false">IF($A353="","",Weekly_Demand!F353)</f>
        <v>138</v>
      </c>
      <c r="F353" s="46" t="n">
        <f aca="false">IF($A353="","",SUM(Weekly_Demand!G353:BF353))</f>
        <v>898</v>
      </c>
      <c r="G353" s="51" t="n">
        <f aca="false">IF($A353="","",IFERROR(F353/Assumptions!$B$6,0))</f>
        <v>17.2692307692308</v>
      </c>
      <c r="H353" s="51" t="n">
        <f aca="false">IF($A353="","",STDEV(Weekly_Demand!G353:BF353))</f>
        <v>21.8848281089312</v>
      </c>
      <c r="I353" s="52" t="n">
        <f aca="false">IF($A353="","",IFERROR(H353/G353,0))</f>
        <v>1.26727289717642</v>
      </c>
      <c r="J353" s="53" t="n">
        <f aca="false">IF($A353="","",F353*C353)</f>
        <v>4283.46</v>
      </c>
      <c r="K353" s="54" t="n">
        <f aca="false">IF($A353="","",IFERROR(J353/$J$505,0))</f>
        <v>0.00110835541048628</v>
      </c>
      <c r="L353" s="54" t="n">
        <f aca="false">IF($A353="","",IFERROR(SUMIFS($J$5:$J$504,$AB$5:$AB$504,"&lt;="&amp;AB353)/$J$505,0))</f>
        <v>0.842382902621933</v>
      </c>
      <c r="M353" s="55" t="str">
        <f aca="false">IF($A353="","",IF(L353&lt;=Assumptions!$B$7,"A",IF(L353&lt;=Assumptions!$B$8,"B","C")))</f>
        <v>B</v>
      </c>
      <c r="N353" s="55" t="str">
        <f aca="false">IF($A353="","",IF(I353&lt;=Assumptions!$B$9,"X",IF(I353&lt;=Assumptions!$B$10,"Y","Z")))</f>
        <v>Z</v>
      </c>
      <c r="O353" s="56" t="str">
        <f aca="false">IF($A353="","",M353&amp;N353)</f>
        <v>BZ</v>
      </c>
      <c r="P353" s="57" t="n">
        <f aca="false">IF($A353="","",INDEX(Assumptions!$B$35:$B$37,MATCH(M353,Assumptions!$A$35:$A$37,0)))</f>
        <v>0.95</v>
      </c>
      <c r="Q353" s="58" t="n">
        <f aca="false">IF($A353="","",NORMSINV(P353))</f>
        <v>1.64485362695147</v>
      </c>
      <c r="R353" s="48" t="n">
        <f aca="false">IF($A353="","",ROUNDUP(Q353*H353*SQRT(D353),0))</f>
        <v>51</v>
      </c>
      <c r="S353" s="48" t="n">
        <f aca="false">IF($A353="","",ROUNDUP(G353*D353+R353,0))</f>
        <v>86</v>
      </c>
      <c r="T353" s="46" t="n">
        <f aca="false">IF($A353="","",IFERROR(ROUND(SQRT(2*F353*Assumptions!$B$4/(Assumptions!$B$5*C353)),0),0))</f>
        <v>274</v>
      </c>
      <c r="U353" s="53" t="n">
        <f aca="false">IF($A353="","",R353*C353)</f>
        <v>243.27</v>
      </c>
      <c r="V353" s="53" t="n">
        <f aca="false">IF($A353="","",E353*C353)</f>
        <v>658.26</v>
      </c>
      <c r="W353" s="59" t="n">
        <f aca="false">IF($A353="","",IFERROR(E353/G353,0))</f>
        <v>7.99109131403118</v>
      </c>
      <c r="X353" s="48" t="n">
        <f aca="false">IF($A353="","",S353+T353)</f>
        <v>360</v>
      </c>
      <c r="Y353" s="48" t="n">
        <f aca="false">IF($A353="","",MAX(0,E353-X353))</f>
        <v>0</v>
      </c>
      <c r="Z353" s="53" t="n">
        <f aca="false">IF($A353="","",Y353*C353)</f>
        <v>0</v>
      </c>
      <c r="AA353" s="56" t="str">
        <f aca="false">IF($A353="","",IF(E353&lt;=R353,"Below Safety Stock",IF(E353&lt;=S353,"Reorder Now",IF(E353&gt;X353,"Excess","Healthy"))))</f>
        <v>Healthy</v>
      </c>
      <c r="AB353" s="48" t="n">
        <f aca="false">IF($A353="","",RANK(AF353,$AF$5:$AF$504,0)+COUNTIF($AF$5:AF353,AF353)-1)</f>
        <v>327</v>
      </c>
      <c r="AC353" s="44" t="str">
        <f aca="false">IF($A353="","",Weekly_Demand!B353)</f>
        <v>ROUND CAKE TIN VINTAGE RED</v>
      </c>
      <c r="AD353" s="59" t="n">
        <f aca="false">IF($A353="","",H353*SQRT(D353))</f>
        <v>30.9498207218545</v>
      </c>
      <c r="AE353" s="53" t="n">
        <f aca="false">IF($A353="","",AD353*C353)</f>
        <v>147.630644843246</v>
      </c>
      <c r="AF353" s="53" t="n">
        <f aca="false">IF($A353="","",ROUND(J353,2))</f>
        <v>4283.46</v>
      </c>
    </row>
    <row r="354" customFormat="false" ht="15" hidden="false" customHeight="false" outlineLevel="0" collapsed="false">
      <c r="A354" s="44" t="str">
        <f aca="false">IF(Weekly_Demand!A354="","",Weekly_Demand!A354)</f>
        <v>22839</v>
      </c>
      <c r="B354" s="44" t="str">
        <f aca="false">IF($A354="","",Weekly_Demand!C354)</f>
        <v>Kitchen</v>
      </c>
      <c r="C354" s="45" t="n">
        <f aca="false">IF($A354="","",Weekly_Demand!D354)</f>
        <v>8.97</v>
      </c>
      <c r="D354" s="46" t="n">
        <f aca="false">IF($A354="","",Weekly_Demand!E354+Assumptions!$B$19)</f>
        <v>8</v>
      </c>
      <c r="E354" s="46" t="n">
        <f aca="false">IF($A354="","",Weekly_Demand!F354)</f>
        <v>359</v>
      </c>
      <c r="F354" s="46" t="n">
        <f aca="false">IF($A354="","",SUM(Weekly_Demand!G354:BF354))</f>
        <v>434</v>
      </c>
      <c r="G354" s="51" t="n">
        <f aca="false">IF($A354="","",IFERROR(F354/Assumptions!$B$6,0))</f>
        <v>8.34615384615385</v>
      </c>
      <c r="H354" s="51" t="n">
        <f aca="false">IF($A354="","",STDEV(Weekly_Demand!G354:BF354))</f>
        <v>9.43062307505238</v>
      </c>
      <c r="I354" s="52" t="n">
        <f aca="false">IF($A354="","",IFERROR(H354/G354,0))</f>
        <v>1.12993640530582</v>
      </c>
      <c r="J354" s="53" t="n">
        <f aca="false">IF($A354="","",F354*C354)</f>
        <v>3892.98</v>
      </c>
      <c r="K354" s="54" t="n">
        <f aca="false">IF($A354="","",IFERROR(J354/$J$505,0))</f>
        <v>0.00100731778653586</v>
      </c>
      <c r="L354" s="54" t="n">
        <f aca="false">IF($A354="","",IFERROR(SUMIFS($J$5:$J$504,$AB$5:$AB$504,"&lt;="&amp;AB354)/$J$505,0))</f>
        <v>0.891265495044543</v>
      </c>
      <c r="M354" s="55" t="str">
        <f aca="false">IF($A354="","",IF(L354&lt;=Assumptions!$B$7,"A",IF(L354&lt;=Assumptions!$B$8,"B","C")))</f>
        <v>B</v>
      </c>
      <c r="N354" s="55" t="str">
        <f aca="false">IF($A354="","",IF(I354&lt;=Assumptions!$B$9,"X",IF(I354&lt;=Assumptions!$B$10,"Y","Z")))</f>
        <v>Z</v>
      </c>
      <c r="O354" s="56" t="str">
        <f aca="false">IF($A354="","",M354&amp;N354)</f>
        <v>BZ</v>
      </c>
      <c r="P354" s="57" t="n">
        <f aca="false">IF($A354="","",INDEX(Assumptions!$B$35:$B$37,MATCH(M354,Assumptions!$A$35:$A$37,0)))</f>
        <v>0.95</v>
      </c>
      <c r="Q354" s="58" t="n">
        <f aca="false">IF($A354="","",NORMSINV(P354))</f>
        <v>1.64485362695147</v>
      </c>
      <c r="R354" s="48" t="n">
        <f aca="false">IF($A354="","",ROUNDUP(Q354*H354*SQRT(D354),0))</f>
        <v>44</v>
      </c>
      <c r="S354" s="48" t="n">
        <f aca="false">IF($A354="","",ROUNDUP(G354*D354+R354,0))</f>
        <v>111</v>
      </c>
      <c r="T354" s="46" t="n">
        <f aca="false">IF($A354="","",IFERROR(ROUND(SQRT(2*F354*Assumptions!$B$4/(Assumptions!$B$5*C354)),0),0))</f>
        <v>139</v>
      </c>
      <c r="U354" s="53" t="n">
        <f aca="false">IF($A354="","",R354*C354)</f>
        <v>394.68</v>
      </c>
      <c r="V354" s="53" t="n">
        <f aca="false">IF($A354="","",E354*C354)</f>
        <v>3220.23</v>
      </c>
      <c r="W354" s="59" t="n">
        <f aca="false">IF($A354="","",IFERROR(E354/G354,0))</f>
        <v>43.0138248847926</v>
      </c>
      <c r="X354" s="48" t="n">
        <f aca="false">IF($A354="","",S354+T354)</f>
        <v>250</v>
      </c>
      <c r="Y354" s="48" t="n">
        <f aca="false">IF($A354="","",MAX(0,E354-X354))</f>
        <v>109</v>
      </c>
      <c r="Z354" s="53" t="n">
        <f aca="false">IF($A354="","",Y354*C354)</f>
        <v>977.73</v>
      </c>
      <c r="AA354" s="56" t="str">
        <f aca="false">IF($A354="","",IF(E354&lt;=R354,"Below Safety Stock",IF(E354&lt;=S354,"Reorder Now",IF(E354&gt;X354,"Excess","Healthy"))))</f>
        <v>Excess</v>
      </c>
      <c r="AB354" s="48" t="n">
        <f aca="false">IF($A354="","",RANK(AF354,$AF$5:$AF$504,0)+COUNTIF($AF$5:AF354,AF354)-1)</f>
        <v>373</v>
      </c>
      <c r="AC354" s="44" t="str">
        <f aca="false">IF($A354="","",Weekly_Demand!B354)</f>
        <v>3 TIER CAKE TIN GREEN AND CREAM</v>
      </c>
      <c r="AD354" s="59" t="n">
        <f aca="false">IF($A354="","",H354*SQRT(D354))</f>
        <v>26.6738301087355</v>
      </c>
      <c r="AE354" s="53" t="n">
        <f aca="false">IF($A354="","",AD354*C354)</f>
        <v>239.264256075357</v>
      </c>
      <c r="AF354" s="53" t="n">
        <f aca="false">IF($A354="","",ROUND(J354,2))</f>
        <v>3892.98</v>
      </c>
    </row>
    <row r="355" customFormat="false" ht="15" hidden="false" customHeight="false" outlineLevel="0" collapsed="false">
      <c r="A355" s="44" t="str">
        <f aca="false">IF(Weekly_Demand!A355="","",Weekly_Demand!A355)</f>
        <v>23283</v>
      </c>
      <c r="B355" s="44" t="str">
        <f aca="false">IF($A355="","",Weekly_Demand!C355)</f>
        <v>Other</v>
      </c>
      <c r="C355" s="45" t="n">
        <f aca="false">IF($A355="","",Weekly_Demand!D355)</f>
        <v>4.77</v>
      </c>
      <c r="D355" s="46" t="n">
        <f aca="false">IF($A355="","",Weekly_Demand!E355+Assumptions!$B$19)</f>
        <v>8</v>
      </c>
      <c r="E355" s="46" t="n">
        <f aca="false">IF($A355="","",Weekly_Demand!F355)</f>
        <v>185</v>
      </c>
      <c r="F355" s="46" t="n">
        <f aca="false">IF($A355="","",SUM(Weekly_Demand!G355:BF355))</f>
        <v>964</v>
      </c>
      <c r="G355" s="51" t="n">
        <f aca="false">IF($A355="","",IFERROR(F355/Assumptions!$B$6,0))</f>
        <v>18.5384615384615</v>
      </c>
      <c r="H355" s="51" t="n">
        <f aca="false">IF($A355="","",STDEV(Weekly_Demand!G355:BF355))</f>
        <v>33.9841148234263</v>
      </c>
      <c r="I355" s="52" t="n">
        <f aca="false">IF($A355="","",IFERROR(H355/G355,0))</f>
        <v>1.83316801952092</v>
      </c>
      <c r="J355" s="53" t="n">
        <f aca="false">IF($A355="","",F355*C355)</f>
        <v>4598.28</v>
      </c>
      <c r="K355" s="54" t="n">
        <f aca="false">IF($A355="","",IFERROR(J355/$J$505,0))</f>
        <v>0.00118981583041066</v>
      </c>
      <c r="L355" s="54" t="n">
        <f aca="false">IF($A355="","",IFERROR(SUMIFS($J$5:$J$504,$AB$5:$AB$504,"&lt;="&amp;AB355)/$J$505,0))</f>
        <v>0.805827321052622</v>
      </c>
      <c r="M355" s="55" t="str">
        <f aca="false">IF($A355="","",IF(L355&lt;=Assumptions!$B$7,"A",IF(L355&lt;=Assumptions!$B$8,"B","C")))</f>
        <v>B</v>
      </c>
      <c r="N355" s="55" t="str">
        <f aca="false">IF($A355="","",IF(I355&lt;=Assumptions!$B$9,"X",IF(I355&lt;=Assumptions!$B$10,"Y","Z")))</f>
        <v>Z</v>
      </c>
      <c r="O355" s="56" t="str">
        <f aca="false">IF($A355="","",M355&amp;N355)</f>
        <v>BZ</v>
      </c>
      <c r="P355" s="57" t="n">
        <f aca="false">IF($A355="","",INDEX(Assumptions!$B$35:$B$37,MATCH(M355,Assumptions!$A$35:$A$37,0)))</f>
        <v>0.95</v>
      </c>
      <c r="Q355" s="58" t="n">
        <f aca="false">IF($A355="","",NORMSINV(P355))</f>
        <v>1.64485362695147</v>
      </c>
      <c r="R355" s="48" t="n">
        <f aca="false">IF($A355="","",ROUNDUP(Q355*H355*SQRT(D355),0))</f>
        <v>159</v>
      </c>
      <c r="S355" s="48" t="n">
        <f aca="false">IF($A355="","",ROUNDUP(G355*D355+R355,0))</f>
        <v>308</v>
      </c>
      <c r="T355" s="46" t="n">
        <f aca="false">IF($A355="","",IFERROR(ROUND(SQRT(2*F355*Assumptions!$B$4/(Assumptions!$B$5*C355)),0),0))</f>
        <v>284</v>
      </c>
      <c r="U355" s="53" t="n">
        <f aca="false">IF($A355="","",R355*C355)</f>
        <v>758.43</v>
      </c>
      <c r="V355" s="53" t="n">
        <f aca="false">IF($A355="","",E355*C355)</f>
        <v>882.45</v>
      </c>
      <c r="W355" s="59" t="n">
        <f aca="false">IF($A355="","",IFERROR(E355/G355,0))</f>
        <v>9.97925311203319</v>
      </c>
      <c r="X355" s="48" t="n">
        <f aca="false">IF($A355="","",S355+T355)</f>
        <v>592</v>
      </c>
      <c r="Y355" s="48" t="n">
        <f aca="false">IF($A355="","",MAX(0,E355-X355))</f>
        <v>0</v>
      </c>
      <c r="Z355" s="53" t="n">
        <f aca="false">IF($A355="","",Y355*C355)</f>
        <v>0</v>
      </c>
      <c r="AA355" s="56" t="str">
        <f aca="false">IF($A355="","",IF(E355&lt;=R355,"Below Safety Stock",IF(E355&lt;=S355,"Reorder Now",IF(E355&gt;X355,"Excess","Healthy"))))</f>
        <v>Reorder Now</v>
      </c>
      <c r="AB355" s="48" t="n">
        <f aca="false">IF($A355="","",RANK(AF355,$AF$5:$AF$504,0)+COUNTIF($AF$5:AF355,AF355)-1)</f>
        <v>295</v>
      </c>
      <c r="AC355" s="44" t="str">
        <f aca="false">IF($A355="","",Weekly_Demand!B355)</f>
        <v>DOORMAT VINTAGE LEAF</v>
      </c>
      <c r="AD355" s="59" t="n">
        <f aca="false">IF($A355="","",H355*SQRT(D355))</f>
        <v>96.1215921770681</v>
      </c>
      <c r="AE355" s="53" t="n">
        <f aca="false">IF($A355="","",AD355*C355)</f>
        <v>458.499994684615</v>
      </c>
      <c r="AF355" s="53" t="n">
        <f aca="false">IF($A355="","",ROUND(J355,2))</f>
        <v>4598.28</v>
      </c>
    </row>
    <row r="356" customFormat="false" ht="15" hidden="false" customHeight="false" outlineLevel="0" collapsed="false">
      <c r="A356" s="44" t="str">
        <f aca="false">IF(Weekly_Demand!A356="","",Weekly_Demand!A356)</f>
        <v>23008</v>
      </c>
      <c r="B356" s="44" t="str">
        <f aca="false">IF($A356="","",Weekly_Demand!C356)</f>
        <v>Other</v>
      </c>
      <c r="C356" s="45" t="n">
        <f aca="false">IF($A356="","",Weekly_Demand!D356)</f>
        <v>10.17</v>
      </c>
      <c r="D356" s="46" t="n">
        <f aca="false">IF($A356="","",Weekly_Demand!E356+Assumptions!$B$19)</f>
        <v>2</v>
      </c>
      <c r="E356" s="46" t="n">
        <f aca="false">IF($A356="","",Weekly_Demand!F356)</f>
        <v>108</v>
      </c>
      <c r="F356" s="46" t="n">
        <f aca="false">IF($A356="","",SUM(Weekly_Demand!G356:BF356))</f>
        <v>432</v>
      </c>
      <c r="G356" s="51" t="n">
        <f aca="false">IF($A356="","",IFERROR(F356/Assumptions!$B$6,0))</f>
        <v>8.30769230769231</v>
      </c>
      <c r="H356" s="51" t="n">
        <f aca="false">IF($A356="","",STDEV(Weekly_Demand!G356:BF356))</f>
        <v>11.440448471839</v>
      </c>
      <c r="I356" s="52" t="n">
        <f aca="false">IF($A356="","",IFERROR(H356/G356,0))</f>
        <v>1.37709101975839</v>
      </c>
      <c r="J356" s="53" t="n">
        <f aca="false">IF($A356="","",F356*C356)</f>
        <v>4393.44</v>
      </c>
      <c r="K356" s="54" t="n">
        <f aca="false">IF($A356="","",IFERROR(J356/$J$505,0))</f>
        <v>0.00113681299572002</v>
      </c>
      <c r="L356" s="54" t="n">
        <f aca="false">IF($A356="","",IFERROR(SUMIFS($J$5:$J$504,$AB$5:$AB$504,"&lt;="&amp;AB356)/$J$505,0))</f>
        <v>0.825603130457335</v>
      </c>
      <c r="M356" s="55" t="str">
        <f aca="false">IF($A356="","",IF(L356&lt;=Assumptions!$B$7,"A",IF(L356&lt;=Assumptions!$B$8,"B","C")))</f>
        <v>B</v>
      </c>
      <c r="N356" s="55" t="str">
        <f aca="false">IF($A356="","",IF(I356&lt;=Assumptions!$B$9,"X",IF(I356&lt;=Assumptions!$B$10,"Y","Z")))</f>
        <v>Z</v>
      </c>
      <c r="O356" s="56" t="str">
        <f aca="false">IF($A356="","",M356&amp;N356)</f>
        <v>BZ</v>
      </c>
      <c r="P356" s="57" t="n">
        <f aca="false">IF($A356="","",INDEX(Assumptions!$B$35:$B$37,MATCH(M356,Assumptions!$A$35:$A$37,0)))</f>
        <v>0.95</v>
      </c>
      <c r="Q356" s="58" t="n">
        <f aca="false">IF($A356="","",NORMSINV(P356))</f>
        <v>1.64485362695147</v>
      </c>
      <c r="R356" s="48" t="n">
        <f aca="false">IF($A356="","",ROUNDUP(Q356*H356*SQRT(D356),0))</f>
        <v>27</v>
      </c>
      <c r="S356" s="48" t="n">
        <f aca="false">IF($A356="","",ROUNDUP(G356*D356+R356,0))</f>
        <v>44</v>
      </c>
      <c r="T356" s="46" t="n">
        <f aca="false">IF($A356="","",IFERROR(ROUND(SQRT(2*F356*Assumptions!$B$4/(Assumptions!$B$5*C356)),0),0))</f>
        <v>130</v>
      </c>
      <c r="U356" s="53" t="n">
        <f aca="false">IF($A356="","",R356*C356)</f>
        <v>274.59</v>
      </c>
      <c r="V356" s="53" t="n">
        <f aca="false">IF($A356="","",E356*C356)</f>
        <v>1098.36</v>
      </c>
      <c r="W356" s="59" t="n">
        <f aca="false">IF($A356="","",IFERROR(E356/G356,0))</f>
        <v>13</v>
      </c>
      <c r="X356" s="48" t="n">
        <f aca="false">IF($A356="","",S356+T356)</f>
        <v>174</v>
      </c>
      <c r="Y356" s="48" t="n">
        <f aca="false">IF($A356="","",MAX(0,E356-X356))</f>
        <v>0</v>
      </c>
      <c r="Z356" s="53" t="n">
        <f aca="false">IF($A356="","",Y356*C356)</f>
        <v>0</v>
      </c>
      <c r="AA356" s="56" t="str">
        <f aca="false">IF($A356="","",IF(E356&lt;=R356,"Below Safety Stock",IF(E356&lt;=S356,"Reorder Now",IF(E356&gt;X356,"Excess","Healthy"))))</f>
        <v>Healthy</v>
      </c>
      <c r="AB356" s="48" t="n">
        <f aca="false">IF($A356="","",RANK(AF356,$AF$5:$AF$504,0)+COUNTIF($AF$5:AF356,AF356)-1)</f>
        <v>312</v>
      </c>
      <c r="AC356" s="44" t="str">
        <f aca="false">IF($A356="","",Weekly_Demand!B356)</f>
        <v>DOLLY GIRL BABY GIFT SET</v>
      </c>
      <c r="AD356" s="59" t="n">
        <f aca="false">IF($A356="","",H356*SQRT(D356))</f>
        <v>16.1792373885052</v>
      </c>
      <c r="AE356" s="53" t="n">
        <f aca="false">IF($A356="","",AD356*C356)</f>
        <v>164.542844241098</v>
      </c>
      <c r="AF356" s="53" t="n">
        <f aca="false">IF($A356="","",ROUND(J356,2))</f>
        <v>4393.44</v>
      </c>
    </row>
    <row r="357" customFormat="false" ht="15" hidden="false" customHeight="false" outlineLevel="0" collapsed="false">
      <c r="A357" s="44" t="str">
        <f aca="false">IF(Weekly_Demand!A357="","",Weekly_Demand!A357)</f>
        <v>84030E</v>
      </c>
      <c r="B357" s="44" t="str">
        <f aca="false">IF($A357="","",Weekly_Demand!C357)</f>
        <v>Other</v>
      </c>
      <c r="C357" s="45" t="n">
        <f aca="false">IF($A357="","",Weekly_Demand!D357)</f>
        <v>2.55</v>
      </c>
      <c r="D357" s="46" t="n">
        <f aca="false">IF($A357="","",Weekly_Demand!E357+Assumptions!$B$19)</f>
        <v>6</v>
      </c>
      <c r="E357" s="46" t="n">
        <f aca="false">IF($A357="","",Weekly_Demand!F357)</f>
        <v>1360</v>
      </c>
      <c r="F357" s="46" t="n">
        <f aca="false">IF($A357="","",SUM(Weekly_Demand!G357:BF357))</f>
        <v>1473</v>
      </c>
      <c r="G357" s="51" t="n">
        <f aca="false">IF($A357="","",IFERROR(F357/Assumptions!$B$6,0))</f>
        <v>28.3269230769231</v>
      </c>
      <c r="H357" s="51" t="n">
        <f aca="false">IF($A357="","",STDEV(Weekly_Demand!G357:BF357))</f>
        <v>35.3579572838715</v>
      </c>
      <c r="I357" s="52" t="n">
        <f aca="false">IF($A357="","",IFERROR(H357/G357,0))</f>
        <v>1.24821030465806</v>
      </c>
      <c r="J357" s="53" t="n">
        <f aca="false">IF($A357="","",F357*C357)</f>
        <v>3756.15</v>
      </c>
      <c r="K357" s="54" t="n">
        <f aca="false">IF($A357="","",IFERROR(J357/$J$505,0))</f>
        <v>0.000971912700269887</v>
      </c>
      <c r="L357" s="54" t="n">
        <f aca="false">IF($A357="","",IFERROR(SUMIFS($J$5:$J$504,$AB$5:$AB$504,"&lt;="&amp;AB357)/$J$505,0))</f>
        <v>0.906109761732184</v>
      </c>
      <c r="M357" s="55" t="str">
        <f aca="false">IF($A357="","",IF(L357&lt;=Assumptions!$B$7,"A",IF(L357&lt;=Assumptions!$B$8,"B","C")))</f>
        <v>B</v>
      </c>
      <c r="N357" s="55" t="str">
        <f aca="false">IF($A357="","",IF(I357&lt;=Assumptions!$B$9,"X",IF(I357&lt;=Assumptions!$B$10,"Y","Z")))</f>
        <v>Z</v>
      </c>
      <c r="O357" s="56" t="str">
        <f aca="false">IF($A357="","",M357&amp;N357)</f>
        <v>BZ</v>
      </c>
      <c r="P357" s="57" t="n">
        <f aca="false">IF($A357="","",INDEX(Assumptions!$B$35:$B$37,MATCH(M357,Assumptions!$A$35:$A$37,0)))</f>
        <v>0.95</v>
      </c>
      <c r="Q357" s="58" t="n">
        <f aca="false">IF($A357="","",NORMSINV(P357))</f>
        <v>1.64485362695147</v>
      </c>
      <c r="R357" s="48" t="n">
        <f aca="false">IF($A357="","",ROUNDUP(Q357*H357*SQRT(D357),0))</f>
        <v>143</v>
      </c>
      <c r="S357" s="48" t="n">
        <f aca="false">IF($A357="","",ROUNDUP(G357*D357+R357,0))</f>
        <v>313</v>
      </c>
      <c r="T357" s="46" t="n">
        <f aca="false">IF($A357="","",IFERROR(ROUND(SQRT(2*F357*Assumptions!$B$4/(Assumptions!$B$5*C357)),0),0))</f>
        <v>481</v>
      </c>
      <c r="U357" s="53" t="n">
        <f aca="false">IF($A357="","",R357*C357)</f>
        <v>364.65</v>
      </c>
      <c r="V357" s="53" t="n">
        <f aca="false">IF($A357="","",E357*C357)</f>
        <v>3468</v>
      </c>
      <c r="W357" s="59" t="n">
        <f aca="false">IF($A357="","",IFERROR(E357/G357,0))</f>
        <v>48.0108621860149</v>
      </c>
      <c r="X357" s="48" t="n">
        <f aca="false">IF($A357="","",S357+T357)</f>
        <v>794</v>
      </c>
      <c r="Y357" s="48" t="n">
        <f aca="false">IF($A357="","",MAX(0,E357-X357))</f>
        <v>566</v>
      </c>
      <c r="Z357" s="53" t="n">
        <f aca="false">IF($A357="","",Y357*C357)</f>
        <v>1443.3</v>
      </c>
      <c r="AA357" s="56" t="str">
        <f aca="false">IF($A357="","",IF(E357&lt;=R357,"Below Safety Stock",IF(E357&lt;=S357,"Reorder Now",IF(E357&gt;X357,"Excess","Healthy"))))</f>
        <v>Excess</v>
      </c>
      <c r="AB357" s="48" t="n">
        <f aca="false">IF($A357="","",RANK(AF357,$AF$5:$AF$504,0)+COUNTIF($AF$5:AF357,AF357)-1)</f>
        <v>388</v>
      </c>
      <c r="AC357" s="44" t="str">
        <f aca="false">IF($A357="","",Weekly_Demand!B357)</f>
        <v>ENGLISH ROSE HOT WATER BOTTLE</v>
      </c>
      <c r="AD357" s="59" t="n">
        <f aca="false">IF($A357="","",H357*SQRT(D357))</f>
        <v>86.6089536926091</v>
      </c>
      <c r="AE357" s="53" t="n">
        <f aca="false">IF($A357="","",AD357*C357)</f>
        <v>220.852831916153</v>
      </c>
      <c r="AF357" s="53" t="n">
        <f aca="false">IF($A357="","",ROUND(J357,2))</f>
        <v>3756.15</v>
      </c>
    </row>
    <row r="358" customFormat="false" ht="15" hidden="false" customHeight="false" outlineLevel="0" collapsed="false">
      <c r="A358" s="44" t="str">
        <f aca="false">IF(Weekly_Demand!A358="","",Weekly_Demand!A358)</f>
        <v>23541</v>
      </c>
      <c r="B358" s="44" t="str">
        <f aca="false">IF($A358="","",Weekly_Demand!C358)</f>
        <v>Other</v>
      </c>
      <c r="C358" s="45" t="n">
        <f aca="false">IF($A358="","",Weekly_Demand!D358)</f>
        <v>4.95</v>
      </c>
      <c r="D358" s="46" t="n">
        <f aca="false">IF($A358="","",Weekly_Demand!E358+Assumptions!$B$19)</f>
        <v>4</v>
      </c>
      <c r="E358" s="46" t="n">
        <f aca="false">IF($A358="","",Weekly_Demand!F358)</f>
        <v>200</v>
      </c>
      <c r="F358" s="46" t="n">
        <f aca="false">IF($A358="","",SUM(Weekly_Demand!G358:BF358))</f>
        <v>865</v>
      </c>
      <c r="G358" s="51" t="n">
        <f aca="false">IF($A358="","",IFERROR(F358/Assumptions!$B$6,0))</f>
        <v>16.6346153846154</v>
      </c>
      <c r="H358" s="51" t="n">
        <f aca="false">IF($A358="","",STDEV(Weekly_Demand!G358:BF358))</f>
        <v>46.8091782713327</v>
      </c>
      <c r="I358" s="52" t="n">
        <f aca="false">IF($A358="","",IFERROR(H358/G358,0))</f>
        <v>2.81396216197607</v>
      </c>
      <c r="J358" s="53" t="n">
        <f aca="false">IF($A358="","",F358*C358)</f>
        <v>4281.75</v>
      </c>
      <c r="K358" s="54" t="n">
        <f aca="false">IF($A358="","",IFERROR(J358/$J$505,0))</f>
        <v>0.0011079129439401</v>
      </c>
      <c r="L358" s="54" t="n">
        <f aca="false">IF($A358="","",IFERROR(SUMIFS($J$5:$J$504,$AB$5:$AB$504,"&lt;="&amp;AB358)/$J$505,0))</f>
        <v>0.843490815565873</v>
      </c>
      <c r="M358" s="55" t="str">
        <f aca="false">IF($A358="","",IF(L358&lt;=Assumptions!$B$7,"A",IF(L358&lt;=Assumptions!$B$8,"B","C")))</f>
        <v>B</v>
      </c>
      <c r="N358" s="55" t="str">
        <f aca="false">IF($A358="","",IF(I358&lt;=Assumptions!$B$9,"X",IF(I358&lt;=Assumptions!$B$10,"Y","Z")))</f>
        <v>Z</v>
      </c>
      <c r="O358" s="56" t="str">
        <f aca="false">IF($A358="","",M358&amp;N358)</f>
        <v>BZ</v>
      </c>
      <c r="P358" s="57" t="n">
        <f aca="false">IF($A358="","",INDEX(Assumptions!$B$35:$B$37,MATCH(M358,Assumptions!$A$35:$A$37,0)))</f>
        <v>0.95</v>
      </c>
      <c r="Q358" s="58" t="n">
        <f aca="false">IF($A358="","",NORMSINV(P358))</f>
        <v>1.64485362695147</v>
      </c>
      <c r="R358" s="48" t="n">
        <f aca="false">IF($A358="","",ROUNDUP(Q358*H358*SQRT(D358),0))</f>
        <v>154</v>
      </c>
      <c r="S358" s="48" t="n">
        <f aca="false">IF($A358="","",ROUNDUP(G358*D358+R358,0))</f>
        <v>221</v>
      </c>
      <c r="T358" s="46" t="n">
        <f aca="false">IF($A358="","",IFERROR(ROUND(SQRT(2*F358*Assumptions!$B$4/(Assumptions!$B$5*C358)),0),0))</f>
        <v>264</v>
      </c>
      <c r="U358" s="53" t="n">
        <f aca="false">IF($A358="","",R358*C358)</f>
        <v>762.3</v>
      </c>
      <c r="V358" s="53" t="n">
        <f aca="false">IF($A358="","",E358*C358)</f>
        <v>990</v>
      </c>
      <c r="W358" s="59" t="n">
        <f aca="false">IF($A358="","",IFERROR(E358/G358,0))</f>
        <v>12.0231213872832</v>
      </c>
      <c r="X358" s="48" t="n">
        <f aca="false">IF($A358="","",S358+T358)</f>
        <v>485</v>
      </c>
      <c r="Y358" s="48" t="n">
        <f aca="false">IF($A358="","",MAX(0,E358-X358))</f>
        <v>0</v>
      </c>
      <c r="Z358" s="53" t="n">
        <f aca="false">IF($A358="","",Y358*C358)</f>
        <v>0</v>
      </c>
      <c r="AA358" s="56" t="str">
        <f aca="false">IF($A358="","",IF(E358&lt;=R358,"Below Safety Stock",IF(E358&lt;=S358,"Reorder Now",IF(E358&gt;X358,"Excess","Healthy"))))</f>
        <v>Reorder Now</v>
      </c>
      <c r="AB358" s="48" t="n">
        <f aca="false">IF($A358="","",RANK(AF358,$AF$5:$AF$504,0)+COUNTIF($AF$5:AF358,AF358)-1)</f>
        <v>328</v>
      </c>
      <c r="AC358" s="44" t="str">
        <f aca="false">IF($A358="","",Weekly_Demand!B358)</f>
        <v>WALL ART CLASSIC PUDDINGS</v>
      </c>
      <c r="AD358" s="59" t="n">
        <f aca="false">IF($A358="","",H358*SQRT(D358))</f>
        <v>93.6183565426654</v>
      </c>
      <c r="AE358" s="53" t="n">
        <f aca="false">IF($A358="","",AD358*C358)</f>
        <v>463.410864886194</v>
      </c>
      <c r="AF358" s="53" t="n">
        <f aca="false">IF($A358="","",ROUND(J358,2))</f>
        <v>4281.75</v>
      </c>
    </row>
    <row r="359" customFormat="false" ht="15" hidden="false" customHeight="false" outlineLevel="0" collapsed="false">
      <c r="A359" s="44" t="str">
        <f aca="false">IF(Weekly_Demand!A359="","",Weekly_Demand!A359)</f>
        <v>23103</v>
      </c>
      <c r="B359" s="44" t="str">
        <f aca="false">IF($A359="","",Weekly_Demand!C359)</f>
        <v>Other</v>
      </c>
      <c r="C359" s="45" t="n">
        <f aca="false">IF($A359="","",Weekly_Demand!D359)</f>
        <v>0.99</v>
      </c>
      <c r="D359" s="46" t="n">
        <f aca="false">IF($A359="","",Weekly_Demand!E359+Assumptions!$B$19)</f>
        <v>8</v>
      </c>
      <c r="E359" s="46" t="n">
        <f aca="false">IF($A359="","",Weekly_Demand!F359)</f>
        <v>461</v>
      </c>
      <c r="F359" s="46" t="n">
        <f aca="false">IF($A359="","",SUM(Weekly_Demand!G359:BF359))</f>
        <v>3994</v>
      </c>
      <c r="G359" s="51" t="n">
        <f aca="false">IF($A359="","",IFERROR(F359/Assumptions!$B$6,0))</f>
        <v>76.8076923076923</v>
      </c>
      <c r="H359" s="51" t="n">
        <f aca="false">IF($A359="","",STDEV(Weekly_Demand!G359:BF359))</f>
        <v>102.536466676455</v>
      </c>
      <c r="I359" s="52" t="n">
        <f aca="false">IF($A359="","",IFERROR(H359/G359,0))</f>
        <v>1.3349765315913</v>
      </c>
      <c r="J359" s="53" t="n">
        <f aca="false">IF($A359="","",F359*C359)</f>
        <v>3954.06</v>
      </c>
      <c r="K359" s="54" t="n">
        <f aca="false">IF($A359="","",IFERROR(J359/$J$505,0))</f>
        <v>0.00102312238106283</v>
      </c>
      <c r="L359" s="54" t="n">
        <f aca="false">IF($A359="","",IFERROR(SUMIFS($J$5:$J$504,$AB$5:$AB$504,"&lt;="&amp;AB359)/$J$505,0))</f>
        <v>0.884168122054282</v>
      </c>
      <c r="M359" s="55" t="str">
        <f aca="false">IF($A359="","",IF(L359&lt;=Assumptions!$B$7,"A",IF(L359&lt;=Assumptions!$B$8,"B","C")))</f>
        <v>B</v>
      </c>
      <c r="N359" s="55" t="str">
        <f aca="false">IF($A359="","",IF(I359&lt;=Assumptions!$B$9,"X",IF(I359&lt;=Assumptions!$B$10,"Y","Z")))</f>
        <v>Z</v>
      </c>
      <c r="O359" s="56" t="str">
        <f aca="false">IF($A359="","",M359&amp;N359)</f>
        <v>BZ</v>
      </c>
      <c r="P359" s="57" t="n">
        <f aca="false">IF($A359="","",INDEX(Assumptions!$B$35:$B$37,MATCH(M359,Assumptions!$A$35:$A$37,0)))</f>
        <v>0.95</v>
      </c>
      <c r="Q359" s="58" t="n">
        <f aca="false">IF($A359="","",NORMSINV(P359))</f>
        <v>1.64485362695147</v>
      </c>
      <c r="R359" s="48" t="n">
        <f aca="false">IF($A359="","",ROUNDUP(Q359*H359*SQRT(D359),0))</f>
        <v>478</v>
      </c>
      <c r="S359" s="48" t="n">
        <f aca="false">IF($A359="","",ROUNDUP(G359*D359+R359,0))</f>
        <v>1093</v>
      </c>
      <c r="T359" s="46" t="n">
        <f aca="false">IF($A359="","",IFERROR(ROUND(SQRT(2*F359*Assumptions!$B$4/(Assumptions!$B$5*C359)),0),0))</f>
        <v>1270</v>
      </c>
      <c r="U359" s="53" t="n">
        <f aca="false">IF($A359="","",R359*C359)</f>
        <v>473.22</v>
      </c>
      <c r="V359" s="53" t="n">
        <f aca="false">IF($A359="","",E359*C359)</f>
        <v>456.39</v>
      </c>
      <c r="W359" s="59" t="n">
        <f aca="false">IF($A359="","",IFERROR(E359/G359,0))</f>
        <v>6.00200300450676</v>
      </c>
      <c r="X359" s="48" t="n">
        <f aca="false">IF($A359="","",S359+T359)</f>
        <v>2363</v>
      </c>
      <c r="Y359" s="48" t="n">
        <f aca="false">IF($A359="","",MAX(0,E359-X359))</f>
        <v>0</v>
      </c>
      <c r="Z359" s="53" t="n">
        <f aca="false">IF($A359="","",Y359*C359)</f>
        <v>0</v>
      </c>
      <c r="AA359" s="56" t="str">
        <f aca="false">IF($A359="","",IF(E359&lt;=R359,"Below Safety Stock",IF(E359&lt;=S359,"Reorder Now",IF(E359&gt;X359,"Excess","Healthy"))))</f>
        <v>Below Safety Stock</v>
      </c>
      <c r="AB359" s="48" t="n">
        <f aca="false">IF($A359="","",RANK(AF359,$AF$5:$AF$504,0)+COUNTIF($AF$5:AF359,AF359)-1)</f>
        <v>366</v>
      </c>
      <c r="AC359" s="44" t="str">
        <f aca="false">IF($A359="","",Weekly_Demand!B359)</f>
        <v>JINGLE BELL HEART DECORATION</v>
      </c>
      <c r="AD359" s="59" t="n">
        <f aca="false">IF($A359="","",H359*SQRT(D359))</f>
        <v>290.016923623318</v>
      </c>
      <c r="AE359" s="53" t="n">
        <f aca="false">IF($A359="","",AD359*C359)</f>
        <v>287.116754387085</v>
      </c>
      <c r="AF359" s="53" t="n">
        <f aca="false">IF($A359="","",ROUND(J359,2))</f>
        <v>3954.06</v>
      </c>
    </row>
    <row r="360" customFormat="false" ht="15" hidden="false" customHeight="false" outlineLevel="0" collapsed="false">
      <c r="A360" s="44" t="str">
        <f aca="false">IF(Weekly_Demand!A360="","",Weekly_Demand!A360)</f>
        <v>21259</v>
      </c>
      <c r="B360" s="44" t="str">
        <f aca="false">IF($A360="","",Weekly_Demand!C360)</f>
        <v>Other</v>
      </c>
      <c r="C360" s="45" t="n">
        <f aca="false">IF($A360="","",Weekly_Demand!D360)</f>
        <v>3.57</v>
      </c>
      <c r="D360" s="46" t="n">
        <f aca="false">IF($A360="","",Weekly_Demand!E360+Assumptions!$B$19)</f>
        <v>8</v>
      </c>
      <c r="E360" s="46" t="n">
        <f aca="false">IF($A360="","",Weekly_Demand!F360)</f>
        <v>238</v>
      </c>
      <c r="F360" s="46" t="n">
        <f aca="false">IF($A360="","",SUM(Weekly_Demand!G360:BF360))</f>
        <v>1124</v>
      </c>
      <c r="G360" s="51" t="n">
        <f aca="false">IF($A360="","",IFERROR(F360/Assumptions!$B$6,0))</f>
        <v>21.6153846153846</v>
      </c>
      <c r="H360" s="51" t="n">
        <f aca="false">IF($A360="","",STDEV(Weekly_Demand!G360:BF360))</f>
        <v>32.4594189153127</v>
      </c>
      <c r="I360" s="52" t="n">
        <f aca="false">IF($A360="","",IFERROR(H360/G360,0))</f>
        <v>1.5016813021319</v>
      </c>
      <c r="J360" s="53" t="n">
        <f aca="false">IF($A360="","",F360*C360)</f>
        <v>4012.68</v>
      </c>
      <c r="K360" s="54" t="n">
        <f aca="false">IF($A360="","",IFERROR(J360/$J$505,0))</f>
        <v>0.00103829044476897</v>
      </c>
      <c r="L360" s="54" t="n">
        <f aca="false">IF($A360="","",IFERROR(SUMIFS($J$5:$J$504,$AB$5:$AB$504,"&lt;="&amp;AB360)/$J$505,0))</f>
        <v>0.87693898407908</v>
      </c>
      <c r="M360" s="55" t="str">
        <f aca="false">IF($A360="","",IF(L360&lt;=Assumptions!$B$7,"A",IF(L360&lt;=Assumptions!$B$8,"B","C")))</f>
        <v>B</v>
      </c>
      <c r="N360" s="55" t="str">
        <f aca="false">IF($A360="","",IF(I360&lt;=Assumptions!$B$9,"X",IF(I360&lt;=Assumptions!$B$10,"Y","Z")))</f>
        <v>Z</v>
      </c>
      <c r="O360" s="56" t="str">
        <f aca="false">IF($A360="","",M360&amp;N360)</f>
        <v>BZ</v>
      </c>
      <c r="P360" s="57" t="n">
        <f aca="false">IF($A360="","",INDEX(Assumptions!$B$35:$B$37,MATCH(M360,Assumptions!$A$35:$A$37,0)))</f>
        <v>0.95</v>
      </c>
      <c r="Q360" s="58" t="n">
        <f aca="false">IF($A360="","",NORMSINV(P360))</f>
        <v>1.64485362695147</v>
      </c>
      <c r="R360" s="48" t="n">
        <f aca="false">IF($A360="","",ROUNDUP(Q360*H360*SQRT(D360),0))</f>
        <v>152</v>
      </c>
      <c r="S360" s="48" t="n">
        <f aca="false">IF($A360="","",ROUNDUP(G360*D360+R360,0))</f>
        <v>325</v>
      </c>
      <c r="T360" s="46" t="n">
        <f aca="false">IF($A360="","",IFERROR(ROUND(SQRT(2*F360*Assumptions!$B$4/(Assumptions!$B$5*C360)),0),0))</f>
        <v>355</v>
      </c>
      <c r="U360" s="53" t="n">
        <f aca="false">IF($A360="","",R360*C360)</f>
        <v>542.64</v>
      </c>
      <c r="V360" s="53" t="n">
        <f aca="false">IF($A360="","",E360*C360)</f>
        <v>849.66</v>
      </c>
      <c r="W360" s="59" t="n">
        <f aca="false">IF($A360="","",IFERROR(E360/G360,0))</f>
        <v>11.0106761565836</v>
      </c>
      <c r="X360" s="48" t="n">
        <f aca="false">IF($A360="","",S360+T360)</f>
        <v>680</v>
      </c>
      <c r="Y360" s="48" t="n">
        <f aca="false">IF($A360="","",MAX(0,E360-X360))</f>
        <v>0</v>
      </c>
      <c r="Z360" s="53" t="n">
        <f aca="false">IF($A360="","",Y360*C360)</f>
        <v>0</v>
      </c>
      <c r="AA360" s="56" t="str">
        <f aca="false">IF($A360="","",IF(E360&lt;=R360,"Below Safety Stock",IF(E360&lt;=S360,"Reorder Now",IF(E360&gt;X360,"Excess","Healthy"))))</f>
        <v>Reorder Now</v>
      </c>
      <c r="AB360" s="48" t="n">
        <f aca="false">IF($A360="","",RANK(AF360,$AF$5:$AF$504,0)+COUNTIF($AF$5:AF360,AF360)-1)</f>
        <v>359</v>
      </c>
      <c r="AC360" s="44" t="str">
        <f aca="false">IF($A360="","",Weekly_Demand!B360)</f>
        <v>VICTORIAN SEWING BOX SMALL</v>
      </c>
      <c r="AD360" s="59" t="n">
        <f aca="false">IF($A360="","",H360*SQRT(D360))</f>
        <v>91.8091009135699</v>
      </c>
      <c r="AE360" s="53" t="n">
        <f aca="false">IF($A360="","",AD360*C360)</f>
        <v>327.758490261445</v>
      </c>
      <c r="AF360" s="53" t="n">
        <f aca="false">IF($A360="","",ROUND(J360,2))</f>
        <v>4012.68</v>
      </c>
    </row>
    <row r="361" customFormat="false" ht="15" hidden="false" customHeight="false" outlineLevel="0" collapsed="false">
      <c r="A361" s="44" t="str">
        <f aca="false">IF(Weekly_Demand!A361="","",Weekly_Demand!A361)</f>
        <v>22668</v>
      </c>
      <c r="B361" s="44" t="str">
        <f aca="false">IF($A361="","",Weekly_Demand!C361)</f>
        <v>Other</v>
      </c>
      <c r="C361" s="45" t="n">
        <f aca="false">IF($A361="","",Weekly_Demand!D361)</f>
        <v>1.77</v>
      </c>
      <c r="D361" s="46" t="n">
        <f aca="false">IF($A361="","",Weekly_Demand!E361+Assumptions!$B$19)</f>
        <v>2</v>
      </c>
      <c r="E361" s="46" t="n">
        <f aca="false">IF($A361="","",Weekly_Demand!F361)</f>
        <v>461</v>
      </c>
      <c r="F361" s="46" t="n">
        <f aca="false">IF($A361="","",SUM(Weekly_Demand!G361:BF361))</f>
        <v>2181</v>
      </c>
      <c r="G361" s="51" t="n">
        <f aca="false">IF($A361="","",IFERROR(F361/Assumptions!$B$6,0))</f>
        <v>41.9423076923077</v>
      </c>
      <c r="H361" s="51" t="n">
        <f aca="false">IF($A361="","",STDEV(Weekly_Demand!G361:BF361))</f>
        <v>38.6012361183454</v>
      </c>
      <c r="I361" s="52" t="n">
        <f aca="false">IF($A361="","",IFERROR(H361/G361,0))</f>
        <v>0.920341255458029</v>
      </c>
      <c r="J361" s="53" t="n">
        <f aca="false">IF($A361="","",F361*C361)</f>
        <v>3860.37</v>
      </c>
      <c r="K361" s="54" t="n">
        <f aca="false">IF($A361="","",IFERROR(J361/$J$505,0))</f>
        <v>0.000998879871874357</v>
      </c>
      <c r="L361" s="54" t="n">
        <f aca="false">IF($A361="","",IFERROR(SUMIFS($J$5:$J$504,$AB$5:$AB$504,"&lt;="&amp;AB361)/$J$505,0))</f>
        <v>0.89526981418251</v>
      </c>
      <c r="M361" s="55" t="str">
        <f aca="false">IF($A361="","",IF(L361&lt;=Assumptions!$B$7,"A",IF(L361&lt;=Assumptions!$B$8,"B","C")))</f>
        <v>B</v>
      </c>
      <c r="N361" s="55" t="str">
        <f aca="false">IF($A361="","",IF(I361&lt;=Assumptions!$B$9,"X",IF(I361&lt;=Assumptions!$B$10,"Y","Z")))</f>
        <v>Y</v>
      </c>
      <c r="O361" s="56" t="str">
        <f aca="false">IF($A361="","",M361&amp;N361)</f>
        <v>BY</v>
      </c>
      <c r="P361" s="57" t="n">
        <f aca="false">IF($A361="","",INDEX(Assumptions!$B$35:$B$37,MATCH(M361,Assumptions!$A$35:$A$37,0)))</f>
        <v>0.95</v>
      </c>
      <c r="Q361" s="58" t="n">
        <f aca="false">IF($A361="","",NORMSINV(P361))</f>
        <v>1.64485362695147</v>
      </c>
      <c r="R361" s="48" t="n">
        <f aca="false">IF($A361="","",ROUNDUP(Q361*H361*SQRT(D361),0))</f>
        <v>90</v>
      </c>
      <c r="S361" s="48" t="n">
        <f aca="false">IF($A361="","",ROUNDUP(G361*D361+R361,0))</f>
        <v>174</v>
      </c>
      <c r="T361" s="46" t="n">
        <f aca="false">IF($A361="","",IFERROR(ROUND(SQRT(2*F361*Assumptions!$B$4/(Assumptions!$B$5*C361)),0),0))</f>
        <v>702</v>
      </c>
      <c r="U361" s="53" t="n">
        <f aca="false">IF($A361="","",R361*C361)</f>
        <v>159.3</v>
      </c>
      <c r="V361" s="53" t="n">
        <f aca="false">IF($A361="","",E361*C361)</f>
        <v>815.97</v>
      </c>
      <c r="W361" s="59" t="n">
        <f aca="false">IF($A361="","",IFERROR(E361/G361,0))</f>
        <v>10.9912883998166</v>
      </c>
      <c r="X361" s="48" t="n">
        <f aca="false">IF($A361="","",S361+T361)</f>
        <v>876</v>
      </c>
      <c r="Y361" s="48" t="n">
        <f aca="false">IF($A361="","",MAX(0,E361-X361))</f>
        <v>0</v>
      </c>
      <c r="Z361" s="53" t="n">
        <f aca="false">IF($A361="","",Y361*C361)</f>
        <v>0</v>
      </c>
      <c r="AA361" s="56" t="str">
        <f aca="false">IF($A361="","",IF(E361&lt;=R361,"Below Safety Stock",IF(E361&lt;=S361,"Reorder Now",IF(E361&gt;X361,"Excess","Healthy"))))</f>
        <v>Healthy</v>
      </c>
      <c r="AB361" s="48" t="n">
        <f aca="false">IF($A361="","",RANK(AF361,$AF$5:$AF$504,0)+COUNTIF($AF$5:AF361,AF361)-1)</f>
        <v>377</v>
      </c>
      <c r="AC361" s="44" t="str">
        <f aca="false">IF($A361="","",Weekly_Demand!B361)</f>
        <v>PINK BABY BUNTING</v>
      </c>
      <c r="AD361" s="59" t="n">
        <f aca="false">IF($A361="","",H361*SQRT(D361))</f>
        <v>54.5903916429302</v>
      </c>
      <c r="AE361" s="53" t="n">
        <f aca="false">IF($A361="","",AD361*C361)</f>
        <v>96.6249932079865</v>
      </c>
      <c r="AF361" s="53" t="n">
        <f aca="false">IF($A361="","",ROUND(J361,2))</f>
        <v>3860.37</v>
      </c>
    </row>
    <row r="362" customFormat="false" ht="15" hidden="false" customHeight="false" outlineLevel="0" collapsed="false">
      <c r="A362" s="44" t="str">
        <f aca="false">IF(Weekly_Demand!A362="","",Weekly_Demand!A362)</f>
        <v>21672</v>
      </c>
      <c r="B362" s="44" t="str">
        <f aca="false">IF($A362="","",Weekly_Demand!C362)</f>
        <v>Other</v>
      </c>
      <c r="C362" s="45" t="n">
        <f aca="false">IF($A362="","",Weekly_Demand!D362)</f>
        <v>0.75</v>
      </c>
      <c r="D362" s="46" t="n">
        <f aca="false">IF($A362="","",Weekly_Demand!E362+Assumptions!$B$19)</f>
        <v>2</v>
      </c>
      <c r="E362" s="46" t="n">
        <f aca="false">IF($A362="","",Weekly_Demand!F362)</f>
        <v>379</v>
      </c>
      <c r="F362" s="46" t="n">
        <f aca="false">IF($A362="","",SUM(Weekly_Demand!G362:BF362))</f>
        <v>4927</v>
      </c>
      <c r="G362" s="51" t="n">
        <f aca="false">IF($A362="","",IFERROR(F362/Assumptions!$B$6,0))</f>
        <v>94.75</v>
      </c>
      <c r="H362" s="51" t="n">
        <f aca="false">IF($A362="","",STDEV(Weekly_Demand!G362:BF362))</f>
        <v>78.587000621392</v>
      </c>
      <c r="I362" s="52" t="n">
        <f aca="false">IF($A362="","",IFERROR(H362/G362,0))</f>
        <v>0.829414254579335</v>
      </c>
      <c r="J362" s="53" t="n">
        <f aca="false">IF($A362="","",F362*C362)</f>
        <v>3695.25</v>
      </c>
      <c r="K362" s="54" t="n">
        <f aca="false">IF($A362="","",IFERROR(J362/$J$505,0))</f>
        <v>0.00095615468116883</v>
      </c>
      <c r="L362" s="54" t="n">
        <f aca="false">IF($A362="","",IFERROR(SUMIFS($J$5:$J$504,$AB$5:$AB$504,"&lt;="&amp;AB362)/$J$505,0))</f>
        <v>0.916684631455323</v>
      </c>
      <c r="M362" s="55" t="str">
        <f aca="false">IF($A362="","",IF(L362&lt;=Assumptions!$B$7,"A",IF(L362&lt;=Assumptions!$B$8,"B","C")))</f>
        <v>B</v>
      </c>
      <c r="N362" s="55" t="str">
        <f aca="false">IF($A362="","",IF(I362&lt;=Assumptions!$B$9,"X",IF(I362&lt;=Assumptions!$B$10,"Y","Z")))</f>
        <v>Y</v>
      </c>
      <c r="O362" s="56" t="str">
        <f aca="false">IF($A362="","",M362&amp;N362)</f>
        <v>BY</v>
      </c>
      <c r="P362" s="57" t="n">
        <f aca="false">IF($A362="","",INDEX(Assumptions!$B$35:$B$37,MATCH(M362,Assumptions!$A$35:$A$37,0)))</f>
        <v>0.95</v>
      </c>
      <c r="Q362" s="58" t="n">
        <f aca="false">IF($A362="","",NORMSINV(P362))</f>
        <v>1.64485362695147</v>
      </c>
      <c r="R362" s="48" t="n">
        <f aca="false">IF($A362="","",ROUNDUP(Q362*H362*SQRT(D362),0))</f>
        <v>183</v>
      </c>
      <c r="S362" s="48" t="n">
        <f aca="false">IF($A362="","",ROUNDUP(G362*D362+R362,0))</f>
        <v>373</v>
      </c>
      <c r="T362" s="46" t="n">
        <f aca="false">IF($A362="","",IFERROR(ROUND(SQRT(2*F362*Assumptions!$B$4/(Assumptions!$B$5*C362)),0),0))</f>
        <v>1621</v>
      </c>
      <c r="U362" s="53" t="n">
        <f aca="false">IF($A362="","",R362*C362)</f>
        <v>137.25</v>
      </c>
      <c r="V362" s="53" t="n">
        <f aca="false">IF($A362="","",E362*C362)</f>
        <v>284.25</v>
      </c>
      <c r="W362" s="59" t="n">
        <f aca="false">IF($A362="","",IFERROR(E362/G362,0))</f>
        <v>4</v>
      </c>
      <c r="X362" s="48" t="n">
        <f aca="false">IF($A362="","",S362+T362)</f>
        <v>1994</v>
      </c>
      <c r="Y362" s="48" t="n">
        <f aca="false">IF($A362="","",MAX(0,E362-X362))</f>
        <v>0</v>
      </c>
      <c r="Z362" s="53" t="n">
        <f aca="false">IF($A362="","",Y362*C362)</f>
        <v>0</v>
      </c>
      <c r="AA362" s="56" t="str">
        <f aca="false">IF($A362="","",IF(E362&lt;=R362,"Below Safety Stock",IF(E362&lt;=S362,"Reorder Now",IF(E362&gt;X362,"Excess","Healthy"))))</f>
        <v>Healthy</v>
      </c>
      <c r="AB362" s="48" t="n">
        <f aca="false">IF($A362="","",RANK(AF362,$AF$5:$AF$504,0)+COUNTIF($AF$5:AF362,AF362)-1)</f>
        <v>399</v>
      </c>
      <c r="AC362" s="44" t="str">
        <f aca="false">IF($A362="","",Weekly_Demand!B362)</f>
        <v>WHITE SPOT RED CERAMIC DRAWER KNOB</v>
      </c>
      <c r="AD362" s="59" t="n">
        <f aca="false">IF($A362="","",H362*SQRT(D362))</f>
        <v>111.138802104995</v>
      </c>
      <c r="AE362" s="53" t="n">
        <f aca="false">IF($A362="","",AD362*C362)</f>
        <v>83.3541015787466</v>
      </c>
      <c r="AF362" s="53" t="n">
        <f aca="false">IF($A362="","",ROUND(J362,2))</f>
        <v>3695.25</v>
      </c>
    </row>
    <row r="363" customFormat="false" ht="15" hidden="false" customHeight="false" outlineLevel="0" collapsed="false">
      <c r="A363" s="44" t="str">
        <f aca="false">IF(Weekly_Demand!A363="","",Weekly_Demand!A363)</f>
        <v>22170</v>
      </c>
      <c r="B363" s="44" t="str">
        <f aca="false">IF($A363="","",Weekly_Demand!C363)</f>
        <v>Other</v>
      </c>
      <c r="C363" s="45" t="n">
        <f aca="false">IF($A363="","",Weekly_Demand!D363)</f>
        <v>4.05</v>
      </c>
      <c r="D363" s="46" t="n">
        <f aca="false">IF($A363="","",Weekly_Demand!E363+Assumptions!$B$19)</f>
        <v>6</v>
      </c>
      <c r="E363" s="46" t="n">
        <f aca="false">IF($A363="","",Weekly_Demand!F363)</f>
        <v>137</v>
      </c>
      <c r="F363" s="46" t="n">
        <f aca="false">IF($A363="","",SUM(Weekly_Demand!G363:BF363))</f>
        <v>1020</v>
      </c>
      <c r="G363" s="51" t="n">
        <f aca="false">IF($A363="","",IFERROR(F363/Assumptions!$B$6,0))</f>
        <v>19.6153846153846</v>
      </c>
      <c r="H363" s="51" t="n">
        <f aca="false">IF($A363="","",STDEV(Weekly_Demand!G363:BF363))</f>
        <v>26.4487323882868</v>
      </c>
      <c r="I363" s="52" t="n">
        <f aca="false">IF($A363="","",IFERROR(H363/G363,0))</f>
        <v>1.34836674920678</v>
      </c>
      <c r="J363" s="53" t="n">
        <f aca="false">IF($A363="","",F363*C363)</f>
        <v>4131</v>
      </c>
      <c r="K363" s="54" t="n">
        <f aca="false">IF($A363="","",IFERROR(J363/$J$505,0))</f>
        <v>0.00106890602473674</v>
      </c>
      <c r="L363" s="54" t="n">
        <f aca="false">IF($A363="","",IFERROR(SUMIFS($J$5:$J$504,$AB$5:$AB$504,"&lt;="&amp;AB363)/$J$505,0))</f>
        <v>0.868488723824683</v>
      </c>
      <c r="M363" s="55" t="str">
        <f aca="false">IF($A363="","",IF(L363&lt;=Assumptions!$B$7,"A",IF(L363&lt;=Assumptions!$B$8,"B","C")))</f>
        <v>B</v>
      </c>
      <c r="N363" s="55" t="str">
        <f aca="false">IF($A363="","",IF(I363&lt;=Assumptions!$B$9,"X",IF(I363&lt;=Assumptions!$B$10,"Y","Z")))</f>
        <v>Z</v>
      </c>
      <c r="O363" s="56" t="str">
        <f aca="false">IF($A363="","",M363&amp;N363)</f>
        <v>BZ</v>
      </c>
      <c r="P363" s="57" t="n">
        <f aca="false">IF($A363="","",INDEX(Assumptions!$B$35:$B$37,MATCH(M363,Assumptions!$A$35:$A$37,0)))</f>
        <v>0.95</v>
      </c>
      <c r="Q363" s="58" t="n">
        <f aca="false">IF($A363="","",NORMSINV(P363))</f>
        <v>1.64485362695147</v>
      </c>
      <c r="R363" s="48" t="n">
        <f aca="false">IF($A363="","",ROUNDUP(Q363*H363*SQRT(D363),0))</f>
        <v>107</v>
      </c>
      <c r="S363" s="48" t="n">
        <f aca="false">IF($A363="","",ROUNDUP(G363*D363+R363,0))</f>
        <v>225</v>
      </c>
      <c r="T363" s="46" t="n">
        <f aca="false">IF($A363="","",IFERROR(ROUND(SQRT(2*F363*Assumptions!$B$4/(Assumptions!$B$5*C363)),0),0))</f>
        <v>317</v>
      </c>
      <c r="U363" s="53" t="n">
        <f aca="false">IF($A363="","",R363*C363)</f>
        <v>433.35</v>
      </c>
      <c r="V363" s="53" t="n">
        <f aca="false">IF($A363="","",E363*C363)</f>
        <v>554.85</v>
      </c>
      <c r="W363" s="59" t="n">
        <f aca="false">IF($A363="","",IFERROR(E363/G363,0))</f>
        <v>6.9843137254902</v>
      </c>
      <c r="X363" s="48" t="n">
        <f aca="false">IF($A363="","",S363+T363)</f>
        <v>542</v>
      </c>
      <c r="Y363" s="48" t="n">
        <f aca="false">IF($A363="","",MAX(0,E363-X363))</f>
        <v>0</v>
      </c>
      <c r="Z363" s="53" t="n">
        <f aca="false">IF($A363="","",Y363*C363)</f>
        <v>0</v>
      </c>
      <c r="AA363" s="56" t="str">
        <f aca="false">IF($A363="","",IF(E363&lt;=R363,"Below Safety Stock",IF(E363&lt;=S363,"Reorder Now",IF(E363&gt;X363,"Excess","Healthy"))))</f>
        <v>Reorder Now</v>
      </c>
      <c r="AB363" s="48" t="n">
        <f aca="false">IF($A363="","",RANK(AF363,$AF$5:$AF$504,0)+COUNTIF($AF$5:AF363,AF363)-1)</f>
        <v>351</v>
      </c>
      <c r="AC363" s="44" t="str">
        <f aca="false">IF($A363="","",Weekly_Demand!B363)</f>
        <v>PICTURE FRAME WOOD TRIPLE PORTRAIT</v>
      </c>
      <c r="AD363" s="59" t="n">
        <f aca="false">IF($A363="","",H363*SQRT(D363))</f>
        <v>64.7858986947257</v>
      </c>
      <c r="AE363" s="53" t="n">
        <f aca="false">IF($A363="","",AD363*C363)</f>
        <v>262.382889713639</v>
      </c>
      <c r="AF363" s="53" t="n">
        <f aca="false">IF($A363="","",ROUND(J363,2))</f>
        <v>4131</v>
      </c>
    </row>
    <row r="364" customFormat="false" ht="15" hidden="false" customHeight="false" outlineLevel="0" collapsed="false">
      <c r="A364" s="44" t="str">
        <f aca="false">IF(Weekly_Demand!A364="","",Weekly_Demand!A364)</f>
        <v>23320</v>
      </c>
      <c r="B364" s="44" t="str">
        <f aca="false">IF($A364="","",Weekly_Demand!C364)</f>
        <v>Other</v>
      </c>
      <c r="C364" s="45" t="n">
        <f aca="false">IF($A364="","",Weekly_Demand!D364)</f>
        <v>1.734</v>
      </c>
      <c r="D364" s="46" t="n">
        <f aca="false">IF($A364="","",Weekly_Demand!E364+Assumptions!$B$19)</f>
        <v>2</v>
      </c>
      <c r="E364" s="46" t="n">
        <f aca="false">IF($A364="","",Weekly_Demand!F364)</f>
        <v>1818</v>
      </c>
      <c r="F364" s="46" t="n">
        <f aca="false">IF($A364="","",SUM(Weekly_Demand!G364:BF364))</f>
        <v>2363</v>
      </c>
      <c r="G364" s="51" t="n">
        <f aca="false">IF($A364="","",IFERROR(F364/Assumptions!$B$6,0))</f>
        <v>45.4423076923077</v>
      </c>
      <c r="H364" s="51" t="n">
        <f aca="false">IF($A364="","",STDEV(Weekly_Demand!G364:BF364))</f>
        <v>73.6066422465081</v>
      </c>
      <c r="I364" s="52" t="n">
        <f aca="false">IF($A364="","",IFERROR(H364/G364,0))</f>
        <v>1.6197822246375</v>
      </c>
      <c r="J364" s="53" t="n">
        <f aca="false">IF($A364="","",F364*C364)</f>
        <v>4097.442</v>
      </c>
      <c r="K364" s="54" t="n">
        <f aca="false">IF($A364="","",IFERROR(J364/$J$505,0))</f>
        <v>0.00106022281283209</v>
      </c>
      <c r="L364" s="54" t="n">
        <f aca="false">IF($A364="","",IFERROR(SUMIFS($J$5:$J$504,$AB$5:$AB$504,"&lt;="&amp;AB364)/$J$505,0))</f>
        <v>0.873801655626912</v>
      </c>
      <c r="M364" s="55" t="str">
        <f aca="false">IF($A364="","",IF(L364&lt;=Assumptions!$B$7,"A",IF(L364&lt;=Assumptions!$B$8,"B","C")))</f>
        <v>B</v>
      </c>
      <c r="N364" s="55" t="str">
        <f aca="false">IF($A364="","",IF(I364&lt;=Assumptions!$B$9,"X",IF(I364&lt;=Assumptions!$B$10,"Y","Z")))</f>
        <v>Z</v>
      </c>
      <c r="O364" s="56" t="str">
        <f aca="false">IF($A364="","",M364&amp;N364)</f>
        <v>BZ</v>
      </c>
      <c r="P364" s="57" t="n">
        <f aca="false">IF($A364="","",INDEX(Assumptions!$B$35:$B$37,MATCH(M364,Assumptions!$A$35:$A$37,0)))</f>
        <v>0.95</v>
      </c>
      <c r="Q364" s="58" t="n">
        <f aca="false">IF($A364="","",NORMSINV(P364))</f>
        <v>1.64485362695147</v>
      </c>
      <c r="R364" s="48" t="n">
        <f aca="false">IF($A364="","",ROUNDUP(Q364*H364*SQRT(D364),0))</f>
        <v>172</v>
      </c>
      <c r="S364" s="48" t="n">
        <f aca="false">IF($A364="","",ROUNDUP(G364*D364+R364,0))</f>
        <v>263</v>
      </c>
      <c r="T364" s="46" t="n">
        <f aca="false">IF($A364="","",IFERROR(ROUND(SQRT(2*F364*Assumptions!$B$4/(Assumptions!$B$5*C364)),0),0))</f>
        <v>738</v>
      </c>
      <c r="U364" s="53" t="n">
        <f aca="false">IF($A364="","",R364*C364)</f>
        <v>298.248</v>
      </c>
      <c r="V364" s="53" t="n">
        <f aca="false">IF($A364="","",E364*C364)</f>
        <v>3152.412</v>
      </c>
      <c r="W364" s="59" t="n">
        <f aca="false">IF($A364="","",IFERROR(E364/G364,0))</f>
        <v>40.0067710537452</v>
      </c>
      <c r="X364" s="48" t="n">
        <f aca="false">IF($A364="","",S364+T364)</f>
        <v>1001</v>
      </c>
      <c r="Y364" s="48" t="n">
        <f aca="false">IF($A364="","",MAX(0,E364-X364))</f>
        <v>817</v>
      </c>
      <c r="Z364" s="53" t="n">
        <f aca="false">IF($A364="","",Y364*C364)</f>
        <v>1416.678</v>
      </c>
      <c r="AA364" s="56" t="str">
        <f aca="false">IF($A364="","",IF(E364&lt;=R364,"Below Safety Stock",IF(E364&lt;=S364,"Reorder Now",IF(E364&gt;X364,"Excess","Healthy"))))</f>
        <v>Excess</v>
      </c>
      <c r="AB364" s="48" t="n">
        <f aca="false">IF($A364="","",RANK(AF364,$AF$5:$AF$504,0)+COUNTIF($AF$5:AF364,AF364)-1)</f>
        <v>356</v>
      </c>
      <c r="AC364" s="44" t="str">
        <f aca="false">IF($A364="","",Weekly_Demand!B364)</f>
        <v>GIANT 50'S CHRISTMAS CRACKER</v>
      </c>
      <c r="AD364" s="59" t="n">
        <f aca="false">IF($A364="","",H364*SQRT(D364))</f>
        <v>104.095511745756</v>
      </c>
      <c r="AE364" s="53" t="n">
        <f aca="false">IF($A364="","",AD364*C364)</f>
        <v>180.501617367141</v>
      </c>
      <c r="AF364" s="53" t="n">
        <f aca="false">IF($A364="","",ROUND(J364,2))</f>
        <v>4097.44</v>
      </c>
    </row>
    <row r="365" customFormat="false" ht="15" hidden="false" customHeight="false" outlineLevel="0" collapsed="false">
      <c r="A365" s="44" t="str">
        <f aca="false">IF(Weekly_Demand!A365="","",Weekly_Demand!A365)</f>
        <v>22294</v>
      </c>
      <c r="B365" s="44" t="str">
        <f aca="false">IF($A365="","",Weekly_Demand!C365)</f>
        <v>Other</v>
      </c>
      <c r="C365" s="45" t="n">
        <f aca="false">IF($A365="","",Weekly_Demand!D365)</f>
        <v>0.75</v>
      </c>
      <c r="D365" s="46" t="n">
        <f aca="false">IF($A365="","",Weekly_Demand!E365+Assumptions!$B$19)</f>
        <v>6</v>
      </c>
      <c r="E365" s="46" t="n">
        <f aca="false">IF($A365="","",Weekly_Demand!F365)</f>
        <v>617</v>
      </c>
      <c r="F365" s="46" t="n">
        <f aca="false">IF($A365="","",SUM(Weekly_Demand!G365:BF365))</f>
        <v>5348</v>
      </c>
      <c r="G365" s="51" t="n">
        <f aca="false">IF($A365="","",IFERROR(F365/Assumptions!$B$6,0))</f>
        <v>102.846153846154</v>
      </c>
      <c r="H365" s="51" t="n">
        <f aca="false">IF($A365="","",STDEV(Weekly_Demand!G365:BF365))</f>
        <v>90.5311959265834</v>
      </c>
      <c r="I365" s="52" t="n">
        <f aca="false">IF($A365="","",IFERROR(H365/G365,0))</f>
        <v>0.880258449547932</v>
      </c>
      <c r="J365" s="53" t="n">
        <f aca="false">IF($A365="","",F365*C365)</f>
        <v>4011</v>
      </c>
      <c r="K365" s="54" t="n">
        <f aca="false">IF($A365="","",IFERROR(J365/$J$505,0))</f>
        <v>0.00103785574079377</v>
      </c>
      <c r="L365" s="54" t="n">
        <f aca="false">IF($A365="","",IFERROR(SUMIFS($J$5:$J$504,$AB$5:$AB$504,"&lt;="&amp;AB365)/$J$505,0))</f>
        <v>0.877976839819874</v>
      </c>
      <c r="M365" s="55" t="str">
        <f aca="false">IF($A365="","",IF(L365&lt;=Assumptions!$B$7,"A",IF(L365&lt;=Assumptions!$B$8,"B","C")))</f>
        <v>B</v>
      </c>
      <c r="N365" s="55" t="str">
        <f aca="false">IF($A365="","",IF(I365&lt;=Assumptions!$B$9,"X",IF(I365&lt;=Assumptions!$B$10,"Y","Z")))</f>
        <v>Y</v>
      </c>
      <c r="O365" s="56" t="str">
        <f aca="false">IF($A365="","",M365&amp;N365)</f>
        <v>BY</v>
      </c>
      <c r="P365" s="57" t="n">
        <f aca="false">IF($A365="","",INDEX(Assumptions!$B$35:$B$37,MATCH(M365,Assumptions!$A$35:$A$37,0)))</f>
        <v>0.95</v>
      </c>
      <c r="Q365" s="58" t="n">
        <f aca="false">IF($A365="","",NORMSINV(P365))</f>
        <v>1.64485362695147</v>
      </c>
      <c r="R365" s="48" t="n">
        <f aca="false">IF($A365="","",ROUNDUP(Q365*H365*SQRT(D365),0))</f>
        <v>365</v>
      </c>
      <c r="S365" s="48" t="n">
        <f aca="false">IF($A365="","",ROUNDUP(G365*D365+R365,0))</f>
        <v>983</v>
      </c>
      <c r="T365" s="46" t="n">
        <f aca="false">IF($A365="","",IFERROR(ROUND(SQRT(2*F365*Assumptions!$B$4/(Assumptions!$B$5*C365)),0),0))</f>
        <v>1689</v>
      </c>
      <c r="U365" s="53" t="n">
        <f aca="false">IF($A365="","",R365*C365)</f>
        <v>273.75</v>
      </c>
      <c r="V365" s="53" t="n">
        <f aca="false">IF($A365="","",E365*C365)</f>
        <v>462.75</v>
      </c>
      <c r="W365" s="59" t="n">
        <f aca="false">IF($A365="","",IFERROR(E365/G365,0))</f>
        <v>5.99925205684368</v>
      </c>
      <c r="X365" s="48" t="n">
        <f aca="false">IF($A365="","",S365+T365)</f>
        <v>2672</v>
      </c>
      <c r="Y365" s="48" t="n">
        <f aca="false">IF($A365="","",MAX(0,E365-X365))</f>
        <v>0</v>
      </c>
      <c r="Z365" s="53" t="n">
        <f aca="false">IF($A365="","",Y365*C365)</f>
        <v>0</v>
      </c>
      <c r="AA365" s="56" t="str">
        <f aca="false">IF($A365="","",IF(E365&lt;=R365,"Below Safety Stock",IF(E365&lt;=S365,"Reorder Now",IF(E365&gt;X365,"Excess","Healthy"))))</f>
        <v>Reorder Now</v>
      </c>
      <c r="AB365" s="48" t="n">
        <f aca="false">IF($A365="","",RANK(AF365,$AF$5:$AF$504,0)+COUNTIF($AF$5:AF365,AF365)-1)</f>
        <v>360</v>
      </c>
      <c r="AC365" s="44" t="str">
        <f aca="false">IF($A365="","",Weekly_Demand!B365)</f>
        <v>HEART FILIGREE DOVE  SMALL</v>
      </c>
      <c r="AD365" s="59" t="n">
        <f aca="false">IF($A365="","",H365*SQRT(D365))</f>
        <v>221.75523582406</v>
      </c>
      <c r="AE365" s="53" t="n">
        <f aca="false">IF($A365="","",AD365*C365)</f>
        <v>166.316426868045</v>
      </c>
      <c r="AF365" s="53" t="n">
        <f aca="false">IF($A365="","",ROUND(J365,2))</f>
        <v>4011</v>
      </c>
    </row>
    <row r="366" customFormat="false" ht="15" hidden="false" customHeight="false" outlineLevel="0" collapsed="false">
      <c r="A366" s="44" t="str">
        <f aca="false">IF(Weekly_Demand!A366="","",Weekly_Demand!A366)</f>
        <v>22834</v>
      </c>
      <c r="B366" s="44" t="str">
        <f aca="false">IF($A366="","",Weekly_Demand!C366)</f>
        <v>Other</v>
      </c>
      <c r="C366" s="45" t="n">
        <f aca="false">IF($A366="","",Weekly_Demand!D366)</f>
        <v>1.26</v>
      </c>
      <c r="D366" s="46" t="n">
        <f aca="false">IF($A366="","",Weekly_Demand!E366+Assumptions!$B$19)</f>
        <v>6</v>
      </c>
      <c r="E366" s="46" t="n">
        <f aca="false">IF($A366="","",Weekly_Demand!F366)</f>
        <v>183</v>
      </c>
      <c r="F366" s="46" t="n">
        <f aca="false">IF($A366="","",SUM(Weekly_Demand!G366:BF366))</f>
        <v>4750</v>
      </c>
      <c r="G366" s="51" t="n">
        <f aca="false">IF($A366="","",IFERROR(F366/Assumptions!$B$6,0))</f>
        <v>91.3461538461538</v>
      </c>
      <c r="H366" s="51" t="n">
        <f aca="false">IF($A366="","",STDEV(Weekly_Demand!G366:BF366))</f>
        <v>309.969567425603</v>
      </c>
      <c r="I366" s="52" t="n">
        <f aca="false">IF($A366="","",IFERROR(H366/G366,0))</f>
        <v>3.39335105392239</v>
      </c>
      <c r="J366" s="53" t="n">
        <f aca="false">IF($A366="","",F366*C366)</f>
        <v>5985</v>
      </c>
      <c r="K366" s="54" t="n">
        <f aca="false">IF($A366="","",IFERROR(J366/$J$505,0))</f>
        <v>0.00154863291165563</v>
      </c>
      <c r="L366" s="54" t="n">
        <f aca="false">IF($A366="","",IFERROR(SUMIFS($J$5:$J$504,$AB$5:$AB$504,"&lt;="&amp;AB366)/$J$505,0))</f>
        <v>0.699583295719149</v>
      </c>
      <c r="M366" s="55" t="str">
        <f aca="false">IF($A366="","",IF(L366&lt;=Assumptions!$B$7,"A",IF(L366&lt;=Assumptions!$B$8,"B","C")))</f>
        <v>A</v>
      </c>
      <c r="N366" s="55" t="str">
        <f aca="false">IF($A366="","",IF(I366&lt;=Assumptions!$B$9,"X",IF(I366&lt;=Assumptions!$B$10,"Y","Z")))</f>
        <v>Z</v>
      </c>
      <c r="O366" s="56" t="str">
        <f aca="false">IF($A366="","",M366&amp;N366)</f>
        <v>AZ</v>
      </c>
      <c r="P366" s="57" t="n">
        <f aca="false">IF($A366="","",INDEX(Assumptions!$B$35:$B$37,MATCH(M366,Assumptions!$A$35:$A$37,0)))</f>
        <v>0.98</v>
      </c>
      <c r="Q366" s="58" t="n">
        <f aca="false">IF($A366="","",NORMSINV(P366))</f>
        <v>2.05374891063182</v>
      </c>
      <c r="R366" s="48" t="n">
        <f aca="false">IF($A366="","",ROUNDUP(Q366*H366*SQRT(D366),0))</f>
        <v>1560</v>
      </c>
      <c r="S366" s="48" t="n">
        <f aca="false">IF($A366="","",ROUNDUP(G366*D366+R366,0))</f>
        <v>2109</v>
      </c>
      <c r="T366" s="46" t="n">
        <f aca="false">IF($A366="","",IFERROR(ROUND(SQRT(2*F366*Assumptions!$B$4/(Assumptions!$B$5*C366)),0),0))</f>
        <v>1228</v>
      </c>
      <c r="U366" s="53" t="n">
        <f aca="false">IF($A366="","",R366*C366)</f>
        <v>1965.6</v>
      </c>
      <c r="V366" s="53" t="n">
        <f aca="false">IF($A366="","",E366*C366)</f>
        <v>230.58</v>
      </c>
      <c r="W366" s="59" t="n">
        <f aca="false">IF($A366="","",IFERROR(E366/G366,0))</f>
        <v>2.00336842105263</v>
      </c>
      <c r="X366" s="48" t="n">
        <f aca="false">IF($A366="","",S366+T366)</f>
        <v>3337</v>
      </c>
      <c r="Y366" s="48" t="n">
        <f aca="false">IF($A366="","",MAX(0,E366-X366))</f>
        <v>0</v>
      </c>
      <c r="Z366" s="53" t="n">
        <f aca="false">IF($A366="","",Y366*C366)</f>
        <v>0</v>
      </c>
      <c r="AA366" s="56" t="str">
        <f aca="false">IF($A366="","",IF(E366&lt;=R366,"Below Safety Stock",IF(E366&lt;=S366,"Reorder Now",IF(E366&gt;X366,"Excess","Healthy"))))</f>
        <v>Below Safety Stock</v>
      </c>
      <c r="AB366" s="48" t="n">
        <f aca="false">IF($A366="","",RANK(AF366,$AF$5:$AF$504,0)+COUNTIF($AF$5:AF366,AF366)-1)</f>
        <v>216</v>
      </c>
      <c r="AC366" s="44" t="str">
        <f aca="false">IF($A366="","",Weekly_Demand!B366)</f>
        <v>HAND WARMER BABUSHKA DESIGN</v>
      </c>
      <c r="AD366" s="59" t="n">
        <f aca="false">IF($A366="","",H366*SQRT(D366))</f>
        <v>759.267275983952</v>
      </c>
      <c r="AE366" s="53" t="n">
        <f aca="false">IF($A366="","",AD366*C366)</f>
        <v>956.67676773978</v>
      </c>
      <c r="AF366" s="53" t="n">
        <f aca="false">IF($A366="","",ROUND(J366,2))</f>
        <v>5985</v>
      </c>
    </row>
    <row r="367" customFormat="false" ht="15" hidden="false" customHeight="false" outlineLevel="0" collapsed="false">
      <c r="A367" s="44" t="str">
        <f aca="false">IF(Weekly_Demand!A367="","",Weekly_Demand!A367)</f>
        <v>23169</v>
      </c>
      <c r="B367" s="44" t="str">
        <f aca="false">IF($A367="","",Weekly_Demand!C367)</f>
        <v>Other</v>
      </c>
      <c r="C367" s="45" t="n">
        <f aca="false">IF($A367="","",Weekly_Demand!D367)</f>
        <v>2.49</v>
      </c>
      <c r="D367" s="46" t="n">
        <f aca="false">IF($A367="","",Weekly_Demand!E367+Assumptions!$B$19)</f>
        <v>4</v>
      </c>
      <c r="E367" s="46" t="n">
        <f aca="false">IF($A367="","",Weekly_Demand!F367)</f>
        <v>30</v>
      </c>
      <c r="F367" s="46" t="n">
        <f aca="false">IF($A367="","",SUM(Weekly_Demand!G367:BF367))</f>
        <v>1548</v>
      </c>
      <c r="G367" s="51" t="n">
        <f aca="false">IF($A367="","",IFERROR(F367/Assumptions!$B$6,0))</f>
        <v>29.7692307692308</v>
      </c>
      <c r="H367" s="51" t="n">
        <f aca="false">IF($A367="","",STDEV(Weekly_Demand!G367:BF367))</f>
        <v>32.6926359667664</v>
      </c>
      <c r="I367" s="52" t="n">
        <f aca="false">IF($A367="","",IFERROR(H367/G367,0))</f>
        <v>1.09820224177768</v>
      </c>
      <c r="J367" s="53" t="n">
        <f aca="false">IF($A367="","",F367*C367)</f>
        <v>3854.52</v>
      </c>
      <c r="K367" s="54" t="n">
        <f aca="false">IF($A367="","",IFERROR(J367/$J$505,0))</f>
        <v>0.000997366170532137</v>
      </c>
      <c r="L367" s="54" t="n">
        <f aca="false">IF($A367="","",IFERROR(SUMIFS($J$5:$J$504,$AB$5:$AB$504,"&lt;="&amp;AB367)/$J$505,0))</f>
        <v>0.897265516844948</v>
      </c>
      <c r="M367" s="55" t="str">
        <f aca="false">IF($A367="","",IF(L367&lt;=Assumptions!$B$7,"A",IF(L367&lt;=Assumptions!$B$8,"B","C")))</f>
        <v>B</v>
      </c>
      <c r="N367" s="55" t="str">
        <f aca="false">IF($A367="","",IF(I367&lt;=Assumptions!$B$9,"X",IF(I367&lt;=Assumptions!$B$10,"Y","Z")))</f>
        <v>Z</v>
      </c>
      <c r="O367" s="56" t="str">
        <f aca="false">IF($A367="","",M367&amp;N367)</f>
        <v>BZ</v>
      </c>
      <c r="P367" s="57" t="n">
        <f aca="false">IF($A367="","",INDEX(Assumptions!$B$35:$B$37,MATCH(M367,Assumptions!$A$35:$A$37,0)))</f>
        <v>0.95</v>
      </c>
      <c r="Q367" s="58" t="n">
        <f aca="false">IF($A367="","",NORMSINV(P367))</f>
        <v>1.64485362695147</v>
      </c>
      <c r="R367" s="48" t="n">
        <f aca="false">IF($A367="","",ROUNDUP(Q367*H367*SQRT(D367),0))</f>
        <v>108</v>
      </c>
      <c r="S367" s="48" t="n">
        <f aca="false">IF($A367="","",ROUNDUP(G367*D367+R367,0))</f>
        <v>228</v>
      </c>
      <c r="T367" s="46" t="n">
        <f aca="false">IF($A367="","",IFERROR(ROUND(SQRT(2*F367*Assumptions!$B$4/(Assumptions!$B$5*C367)),0),0))</f>
        <v>499</v>
      </c>
      <c r="U367" s="53" t="n">
        <f aca="false">IF($A367="","",R367*C367)</f>
        <v>268.92</v>
      </c>
      <c r="V367" s="53" t="n">
        <f aca="false">IF($A367="","",E367*C367)</f>
        <v>74.7</v>
      </c>
      <c r="W367" s="59" t="n">
        <f aca="false">IF($A367="","",IFERROR(E367/G367,0))</f>
        <v>1.0077519379845</v>
      </c>
      <c r="X367" s="48" t="n">
        <f aca="false">IF($A367="","",S367+T367)</f>
        <v>727</v>
      </c>
      <c r="Y367" s="48" t="n">
        <f aca="false">IF($A367="","",MAX(0,E367-X367))</f>
        <v>0</v>
      </c>
      <c r="Z367" s="53" t="n">
        <f aca="false">IF($A367="","",Y367*C367)</f>
        <v>0</v>
      </c>
      <c r="AA367" s="56" t="str">
        <f aca="false">IF($A367="","",IF(E367&lt;=R367,"Below Safety Stock",IF(E367&lt;=S367,"Reorder Now",IF(E367&gt;X367,"Excess","Healthy"))))</f>
        <v>Below Safety Stock</v>
      </c>
      <c r="AB367" s="48" t="n">
        <f aca="false">IF($A367="","",RANK(AF367,$AF$5:$AF$504,0)+COUNTIF($AF$5:AF367,AF367)-1)</f>
        <v>379</v>
      </c>
      <c r="AC367" s="44" t="str">
        <f aca="false">IF($A367="","",Weekly_Demand!B367)</f>
        <v>CLASSIC GLASS COOKIE JAR</v>
      </c>
      <c r="AD367" s="59" t="n">
        <f aca="false">IF($A367="","",H367*SQRT(D367))</f>
        <v>65.3852719335327</v>
      </c>
      <c r="AE367" s="53" t="n">
        <f aca="false">IF($A367="","",AD367*C367)</f>
        <v>162.809327114496</v>
      </c>
      <c r="AF367" s="53" t="n">
        <f aca="false">IF($A367="","",ROUND(J367,2))</f>
        <v>3854.52</v>
      </c>
    </row>
    <row r="368" customFormat="false" ht="15" hidden="false" customHeight="false" outlineLevel="0" collapsed="false">
      <c r="A368" s="44" t="str">
        <f aca="false">IF(Weekly_Demand!A368="","",Weekly_Demand!A368)</f>
        <v>23293</v>
      </c>
      <c r="B368" s="44" t="str">
        <f aca="false">IF($A368="","",Weekly_Demand!C368)</f>
        <v>Kitchen</v>
      </c>
      <c r="C368" s="45" t="n">
        <f aca="false">IF($A368="","",Weekly_Demand!D368)</f>
        <v>0.498</v>
      </c>
      <c r="D368" s="46" t="n">
        <f aca="false">IF($A368="","",Weekly_Demand!E368+Assumptions!$B$19)</f>
        <v>4</v>
      </c>
      <c r="E368" s="46" t="n">
        <f aca="false">IF($A368="","",Weekly_Demand!F368)</f>
        <v>6342</v>
      </c>
      <c r="F368" s="46" t="n">
        <f aca="false">IF($A368="","",SUM(Weekly_Demand!G368:BF368))</f>
        <v>8044</v>
      </c>
      <c r="G368" s="51" t="n">
        <f aca="false">IF($A368="","",IFERROR(F368/Assumptions!$B$6,0))</f>
        <v>154.692307692308</v>
      </c>
      <c r="H368" s="51" t="n">
        <f aca="false">IF($A368="","",STDEV(Weekly_Demand!G368:BF368))</f>
        <v>224.978825884862</v>
      </c>
      <c r="I368" s="52" t="n">
        <f aca="false">IF($A368="","",IFERROR(H368/G368,0))</f>
        <v>1.45436336971815</v>
      </c>
      <c r="J368" s="53" t="n">
        <f aca="false">IF($A368="","",F368*C368)</f>
        <v>4005.912</v>
      </c>
      <c r="K368" s="54" t="n">
        <f aca="false">IF($A368="","",IFERROR(J368/$J$505,0))</f>
        <v>0.00103653920875459</v>
      </c>
      <c r="L368" s="54" t="n">
        <f aca="false">IF($A368="","",IFERROR(SUMIFS($J$5:$J$504,$AB$5:$AB$504,"&lt;="&amp;AB368)/$J$505,0))</f>
        <v>0.879013379028629</v>
      </c>
      <c r="M368" s="55" t="str">
        <f aca="false">IF($A368="","",IF(L368&lt;=Assumptions!$B$7,"A",IF(L368&lt;=Assumptions!$B$8,"B","C")))</f>
        <v>B</v>
      </c>
      <c r="N368" s="55" t="str">
        <f aca="false">IF($A368="","",IF(I368&lt;=Assumptions!$B$9,"X",IF(I368&lt;=Assumptions!$B$10,"Y","Z")))</f>
        <v>Z</v>
      </c>
      <c r="O368" s="56" t="str">
        <f aca="false">IF($A368="","",M368&amp;N368)</f>
        <v>BZ</v>
      </c>
      <c r="P368" s="57" t="n">
        <f aca="false">IF($A368="","",INDEX(Assumptions!$B$35:$B$37,MATCH(M368,Assumptions!$A$35:$A$37,0)))</f>
        <v>0.95</v>
      </c>
      <c r="Q368" s="58" t="n">
        <f aca="false">IF($A368="","",NORMSINV(P368))</f>
        <v>1.64485362695147</v>
      </c>
      <c r="R368" s="48" t="n">
        <f aca="false">IF($A368="","",ROUNDUP(Q368*H368*SQRT(D368),0))</f>
        <v>741</v>
      </c>
      <c r="S368" s="48" t="n">
        <f aca="false">IF($A368="","",ROUNDUP(G368*D368+R368,0))</f>
        <v>1360</v>
      </c>
      <c r="T368" s="46" t="n">
        <f aca="false">IF($A368="","",IFERROR(ROUND(SQRT(2*F368*Assumptions!$B$4/(Assumptions!$B$5*C368)),0),0))</f>
        <v>2542</v>
      </c>
      <c r="U368" s="53" t="n">
        <f aca="false">IF($A368="","",R368*C368)</f>
        <v>369.018</v>
      </c>
      <c r="V368" s="53" t="n">
        <f aca="false">IF($A368="","",E368*C368)</f>
        <v>3158.316</v>
      </c>
      <c r="W368" s="59" t="n">
        <f aca="false">IF($A368="","",IFERROR(E368/G368,0))</f>
        <v>40.9975136747887</v>
      </c>
      <c r="X368" s="48" t="n">
        <f aca="false">IF($A368="","",S368+T368)</f>
        <v>3902</v>
      </c>
      <c r="Y368" s="48" t="n">
        <f aca="false">IF($A368="","",MAX(0,E368-X368))</f>
        <v>2440</v>
      </c>
      <c r="Z368" s="53" t="n">
        <f aca="false">IF($A368="","",Y368*C368)</f>
        <v>1215.12</v>
      </c>
      <c r="AA368" s="56" t="str">
        <f aca="false">IF($A368="","",IF(E368&lt;=R368,"Below Safety Stock",IF(E368&lt;=S368,"Reorder Now",IF(E368&gt;X368,"Excess","Healthy"))))</f>
        <v>Excess</v>
      </c>
      <c r="AB368" s="48" t="n">
        <f aca="false">IF($A368="","",RANK(AF368,$AF$5:$AF$504,0)+COUNTIF($AF$5:AF368,AF368)-1)</f>
        <v>361</v>
      </c>
      <c r="AC368" s="44" t="str">
        <f aca="false">IF($A368="","",Weekly_Demand!B368)</f>
        <v>SET OF 12 FAIRY CAKE BAKING CASES</v>
      </c>
      <c r="AD368" s="59" t="n">
        <f aca="false">IF($A368="","",H368*SQRT(D368))</f>
        <v>449.957651769723</v>
      </c>
      <c r="AE368" s="53" t="n">
        <f aca="false">IF($A368="","",AD368*C368)</f>
        <v>224.078910581322</v>
      </c>
      <c r="AF368" s="53" t="n">
        <f aca="false">IF($A368="","",ROUND(J368,2))</f>
        <v>4005.91</v>
      </c>
    </row>
    <row r="369" customFormat="false" ht="15" hidden="false" customHeight="false" outlineLevel="0" collapsed="false">
      <c r="A369" s="44" t="str">
        <f aca="false">IF(Weekly_Demand!A369="","",Weekly_Demand!A369)</f>
        <v>21912</v>
      </c>
      <c r="B369" s="44" t="str">
        <f aca="false">IF($A369="","",Weekly_Demand!C369)</f>
        <v>Other</v>
      </c>
      <c r="C369" s="45" t="n">
        <f aca="false">IF($A369="","",Weekly_Demand!D369)</f>
        <v>2.25</v>
      </c>
      <c r="D369" s="46" t="n">
        <f aca="false">IF($A369="","",Weekly_Demand!E369+Assumptions!$B$19)</f>
        <v>2</v>
      </c>
      <c r="E369" s="46" t="n">
        <f aca="false">IF($A369="","",Weekly_Demand!F369)</f>
        <v>1427</v>
      </c>
      <c r="F369" s="46" t="n">
        <f aca="false">IF($A369="","",SUM(Weekly_Demand!G369:BF369))</f>
        <v>1686</v>
      </c>
      <c r="G369" s="51" t="n">
        <f aca="false">IF($A369="","",IFERROR(F369/Assumptions!$B$6,0))</f>
        <v>32.4230769230769</v>
      </c>
      <c r="H369" s="51" t="n">
        <f aca="false">IF($A369="","",STDEV(Weekly_Demand!G369:BF369))</f>
        <v>39.670380195515</v>
      </c>
      <c r="I369" s="52" t="n">
        <f aca="false">IF($A369="","",IFERROR(H369/G369,0))</f>
        <v>1.22352299535396</v>
      </c>
      <c r="J369" s="53" t="n">
        <f aca="false">IF($A369="","",F369*C369)</f>
        <v>3793.5</v>
      </c>
      <c r="K369" s="54" t="n">
        <f aca="false">IF($A369="","",IFERROR(J369/$J$505,0))</f>
        <v>0.000981577101147137</v>
      </c>
      <c r="L369" s="54" t="n">
        <f aca="false">IF($A369="","",IFERROR(SUMIFS($J$5:$J$504,$AB$5:$AB$504,"&lt;="&amp;AB369)/$J$505,0))</f>
        <v>0.904164422630302</v>
      </c>
      <c r="M369" s="55" t="str">
        <f aca="false">IF($A369="","",IF(L369&lt;=Assumptions!$B$7,"A",IF(L369&lt;=Assumptions!$B$8,"B","C")))</f>
        <v>B</v>
      </c>
      <c r="N369" s="55" t="str">
        <f aca="false">IF($A369="","",IF(I369&lt;=Assumptions!$B$9,"X",IF(I369&lt;=Assumptions!$B$10,"Y","Z")))</f>
        <v>Z</v>
      </c>
      <c r="O369" s="56" t="str">
        <f aca="false">IF($A369="","",M369&amp;N369)</f>
        <v>BZ</v>
      </c>
      <c r="P369" s="57" t="n">
        <f aca="false">IF($A369="","",INDEX(Assumptions!$B$35:$B$37,MATCH(M369,Assumptions!$A$35:$A$37,0)))</f>
        <v>0.95</v>
      </c>
      <c r="Q369" s="58" t="n">
        <f aca="false">IF($A369="","",NORMSINV(P369))</f>
        <v>1.64485362695147</v>
      </c>
      <c r="R369" s="48" t="n">
        <f aca="false">IF($A369="","",ROUNDUP(Q369*H369*SQRT(D369),0))</f>
        <v>93</v>
      </c>
      <c r="S369" s="48" t="n">
        <f aca="false">IF($A369="","",ROUNDUP(G369*D369+R369,0))</f>
        <v>158</v>
      </c>
      <c r="T369" s="46" t="n">
        <f aca="false">IF($A369="","",IFERROR(ROUND(SQRT(2*F369*Assumptions!$B$4/(Assumptions!$B$5*C369)),0),0))</f>
        <v>547</v>
      </c>
      <c r="U369" s="53" t="n">
        <f aca="false">IF($A369="","",R369*C369)</f>
        <v>209.25</v>
      </c>
      <c r="V369" s="53" t="n">
        <f aca="false">IF($A369="","",E369*C369)</f>
        <v>3210.75</v>
      </c>
      <c r="W369" s="59" t="n">
        <f aca="false">IF($A369="","",IFERROR(E369/G369,0))</f>
        <v>44.011862396204</v>
      </c>
      <c r="X369" s="48" t="n">
        <f aca="false">IF($A369="","",S369+T369)</f>
        <v>705</v>
      </c>
      <c r="Y369" s="48" t="n">
        <f aca="false">IF($A369="","",MAX(0,E369-X369))</f>
        <v>722</v>
      </c>
      <c r="Z369" s="53" t="n">
        <f aca="false">IF($A369="","",Y369*C369)</f>
        <v>1624.5</v>
      </c>
      <c r="AA369" s="56" t="str">
        <f aca="false">IF($A369="","",IF(E369&lt;=R369,"Below Safety Stock",IF(E369&lt;=S369,"Reorder Now",IF(E369&gt;X369,"Excess","Healthy"))))</f>
        <v>Excess</v>
      </c>
      <c r="AB369" s="48" t="n">
        <f aca="false">IF($A369="","",RANK(AF369,$AF$5:$AF$504,0)+COUNTIF($AF$5:AF369,AF369)-1)</f>
        <v>386</v>
      </c>
      <c r="AC369" s="44" t="str">
        <f aca="false">IF($A369="","",Weekly_Demand!B369)</f>
        <v>VINTAGE SNAKES &amp; LADDERS</v>
      </c>
      <c r="AD369" s="59" t="n">
        <f aca="false">IF($A369="","",H369*SQRT(D369))</f>
        <v>56.1023896969944</v>
      </c>
      <c r="AE369" s="53" t="n">
        <f aca="false">IF($A369="","",AD369*C369)</f>
        <v>126.230376818237</v>
      </c>
      <c r="AF369" s="53" t="n">
        <f aca="false">IF($A369="","",ROUND(J369,2))</f>
        <v>3793.5</v>
      </c>
    </row>
    <row r="370" customFormat="false" ht="15" hidden="false" customHeight="false" outlineLevel="0" collapsed="false">
      <c r="A370" s="44" t="str">
        <f aca="false">IF(Weekly_Demand!A370="","",Weekly_Demand!A370)</f>
        <v>22179</v>
      </c>
      <c r="B370" s="44" t="str">
        <f aca="false">IF($A370="","",Weekly_Demand!C370)</f>
        <v>Lighting</v>
      </c>
      <c r="C370" s="45" t="n">
        <f aca="false">IF($A370="","",Weekly_Demand!D370)</f>
        <v>4.05</v>
      </c>
      <c r="D370" s="46" t="n">
        <f aca="false">IF($A370="","",Weekly_Demand!E370+Assumptions!$B$19)</f>
        <v>8</v>
      </c>
      <c r="E370" s="46" t="n">
        <f aca="false">IF($A370="","",Weekly_Demand!F370)</f>
        <v>847</v>
      </c>
      <c r="F370" s="46" t="n">
        <f aca="false">IF($A370="","",SUM(Weekly_Demand!G370:BF370))</f>
        <v>881</v>
      </c>
      <c r="G370" s="51" t="n">
        <f aca="false">IF($A370="","",IFERROR(F370/Assumptions!$B$6,0))</f>
        <v>16.9423076923077</v>
      </c>
      <c r="H370" s="51" t="n">
        <f aca="false">IF($A370="","",STDEV(Weekly_Demand!G370:BF370))</f>
        <v>17.6184100031962</v>
      </c>
      <c r="I370" s="52" t="n">
        <f aca="false">IF($A370="","",IFERROR(H370/G370,0))</f>
        <v>1.03990615228854</v>
      </c>
      <c r="J370" s="53" t="n">
        <f aca="false">IF($A370="","",F370*C370)</f>
        <v>3568.05</v>
      </c>
      <c r="K370" s="54" t="n">
        <f aca="false">IF($A370="","",IFERROR(J370/$J$505,0))</f>
        <v>0.000923241380189282</v>
      </c>
      <c r="L370" s="54" t="n">
        <f aca="false">IF($A370="","",IFERROR(SUMIFS($J$5:$J$504,$AB$5:$AB$504,"&lt;="&amp;AB370)/$J$505,0))</f>
        <v>0.922345595022669</v>
      </c>
      <c r="M370" s="55" t="str">
        <f aca="false">IF($A370="","",IF(L370&lt;=Assumptions!$B$7,"A",IF(L370&lt;=Assumptions!$B$8,"B","C")))</f>
        <v>B</v>
      </c>
      <c r="N370" s="55" t="str">
        <f aca="false">IF($A370="","",IF(I370&lt;=Assumptions!$B$9,"X",IF(I370&lt;=Assumptions!$B$10,"Y","Z")))</f>
        <v>Z</v>
      </c>
      <c r="O370" s="56" t="str">
        <f aca="false">IF($A370="","",M370&amp;N370)</f>
        <v>BZ</v>
      </c>
      <c r="P370" s="57" t="n">
        <f aca="false">IF($A370="","",INDEX(Assumptions!$B$35:$B$37,MATCH(M370,Assumptions!$A$35:$A$37,0)))</f>
        <v>0.95</v>
      </c>
      <c r="Q370" s="58" t="n">
        <f aca="false">IF($A370="","",NORMSINV(P370))</f>
        <v>1.64485362695147</v>
      </c>
      <c r="R370" s="48" t="n">
        <f aca="false">IF($A370="","",ROUNDUP(Q370*H370*SQRT(D370),0))</f>
        <v>82</v>
      </c>
      <c r="S370" s="48" t="n">
        <f aca="false">IF($A370="","",ROUNDUP(G370*D370+R370,0))</f>
        <v>218</v>
      </c>
      <c r="T370" s="46" t="n">
        <f aca="false">IF($A370="","",IFERROR(ROUND(SQRT(2*F370*Assumptions!$B$4/(Assumptions!$B$5*C370)),0),0))</f>
        <v>295</v>
      </c>
      <c r="U370" s="53" t="n">
        <f aca="false">IF($A370="","",R370*C370)</f>
        <v>332.1</v>
      </c>
      <c r="V370" s="53" t="n">
        <f aca="false">IF($A370="","",E370*C370)</f>
        <v>3430.35</v>
      </c>
      <c r="W370" s="59" t="n">
        <f aca="false">IF($A370="","",IFERROR(E370/G370,0))</f>
        <v>49.9931895573212</v>
      </c>
      <c r="X370" s="48" t="n">
        <f aca="false">IF($A370="","",S370+T370)</f>
        <v>513</v>
      </c>
      <c r="Y370" s="48" t="n">
        <f aca="false">IF($A370="","",MAX(0,E370-X370))</f>
        <v>334</v>
      </c>
      <c r="Z370" s="53" t="n">
        <f aca="false">IF($A370="","",Y370*C370)</f>
        <v>1352.7</v>
      </c>
      <c r="AA370" s="56" t="str">
        <f aca="false">IF($A370="","",IF(E370&lt;=R370,"Below Safety Stock",IF(E370&lt;=S370,"Reorder Now",IF(E370&gt;X370,"Excess","Healthy"))))</f>
        <v>Excess</v>
      </c>
      <c r="AB370" s="48" t="n">
        <f aca="false">IF($A370="","",RANK(AF370,$AF$5:$AF$504,0)+COUNTIF($AF$5:AF370,AF370)-1)</f>
        <v>405</v>
      </c>
      <c r="AC370" s="44" t="str">
        <f aca="false">IF($A370="","",Weekly_Demand!B370)</f>
        <v>SET 10 NIGHT OWL LIGHTS</v>
      </c>
      <c r="AD370" s="59" t="n">
        <f aca="false">IF($A370="","",H370*SQRT(D370))</f>
        <v>49.8323887479398</v>
      </c>
      <c r="AE370" s="53" t="n">
        <f aca="false">IF($A370="","",AD370*C370)</f>
        <v>201.821174429156</v>
      </c>
      <c r="AF370" s="53" t="n">
        <f aca="false">IF($A370="","",ROUND(J370,2))</f>
        <v>3568.05</v>
      </c>
    </row>
    <row r="371" customFormat="false" ht="15" hidden="false" customHeight="false" outlineLevel="0" collapsed="false">
      <c r="A371" s="44" t="str">
        <f aca="false">IF(Weekly_Demand!A371="","",Weekly_Demand!A371)</f>
        <v>22580</v>
      </c>
      <c r="B371" s="44" t="str">
        <f aca="false">IF($A371="","",Weekly_Demand!C371)</f>
        <v>Other</v>
      </c>
      <c r="C371" s="45" t="n">
        <f aca="false">IF($A371="","",Weekly_Demand!D371)</f>
        <v>3.57</v>
      </c>
      <c r="D371" s="46" t="n">
        <f aca="false">IF($A371="","",Weekly_Demand!E371+Assumptions!$B$19)</f>
        <v>2</v>
      </c>
      <c r="E371" s="46" t="n">
        <f aca="false">IF($A371="","",Weekly_Demand!F371)</f>
        <v>97</v>
      </c>
      <c r="F371" s="46" t="n">
        <f aca="false">IF($A371="","",SUM(Weekly_Demand!G371:BF371))</f>
        <v>1258</v>
      </c>
      <c r="G371" s="51" t="n">
        <f aca="false">IF($A371="","",IFERROR(F371/Assumptions!$B$6,0))</f>
        <v>24.1923076923077</v>
      </c>
      <c r="H371" s="51" t="n">
        <f aca="false">IF($A371="","",STDEV(Weekly_Demand!G371:BF371))</f>
        <v>43.5367946533479</v>
      </c>
      <c r="I371" s="52" t="n">
        <f aca="false">IF($A371="","",IFERROR(H371/G371,0))</f>
        <v>1.79961313352471</v>
      </c>
      <c r="J371" s="53" t="n">
        <f aca="false">IF($A371="","",F371*C371)</f>
        <v>4491.06</v>
      </c>
      <c r="K371" s="54" t="n">
        <f aca="false">IF($A371="","",IFERROR(J371/$J$505,0))</f>
        <v>0.00116207240170762</v>
      </c>
      <c r="L371" s="54" t="n">
        <f aca="false">IF($A371="","",IFERROR(SUMIFS($J$5:$J$504,$AB$5:$AB$504,"&lt;="&amp;AB371)/$J$505,0))</f>
        <v>0.816413721298703</v>
      </c>
      <c r="M371" s="55" t="str">
        <f aca="false">IF($A371="","",IF(L371&lt;=Assumptions!$B$7,"A",IF(L371&lt;=Assumptions!$B$8,"B","C")))</f>
        <v>B</v>
      </c>
      <c r="N371" s="55" t="str">
        <f aca="false">IF($A371="","",IF(I371&lt;=Assumptions!$B$9,"X",IF(I371&lt;=Assumptions!$B$10,"Y","Z")))</f>
        <v>Z</v>
      </c>
      <c r="O371" s="56" t="str">
        <f aca="false">IF($A371="","",M371&amp;N371)</f>
        <v>BZ</v>
      </c>
      <c r="P371" s="57" t="n">
        <f aca="false">IF($A371="","",INDEX(Assumptions!$B$35:$B$37,MATCH(M371,Assumptions!$A$35:$A$37,0)))</f>
        <v>0.95</v>
      </c>
      <c r="Q371" s="58" t="n">
        <f aca="false">IF($A371="","",NORMSINV(P371))</f>
        <v>1.64485362695147</v>
      </c>
      <c r="R371" s="48" t="n">
        <f aca="false">IF($A371="","",ROUNDUP(Q371*H371*SQRT(D371),0))</f>
        <v>102</v>
      </c>
      <c r="S371" s="48" t="n">
        <f aca="false">IF($A371="","",ROUNDUP(G371*D371+R371,0))</f>
        <v>151</v>
      </c>
      <c r="T371" s="46" t="n">
        <f aca="false">IF($A371="","",IFERROR(ROUND(SQRT(2*F371*Assumptions!$B$4/(Assumptions!$B$5*C371)),0),0))</f>
        <v>375</v>
      </c>
      <c r="U371" s="53" t="n">
        <f aca="false">IF($A371="","",R371*C371)</f>
        <v>364.14</v>
      </c>
      <c r="V371" s="53" t="n">
        <f aca="false">IF($A371="","",E371*C371)</f>
        <v>346.29</v>
      </c>
      <c r="W371" s="59" t="n">
        <f aca="false">IF($A371="","",IFERROR(E371/G371,0))</f>
        <v>4.00953895071542</v>
      </c>
      <c r="X371" s="48" t="n">
        <f aca="false">IF($A371="","",S371+T371)</f>
        <v>526</v>
      </c>
      <c r="Y371" s="48" t="n">
        <f aca="false">IF($A371="","",MAX(0,E371-X371))</f>
        <v>0</v>
      </c>
      <c r="Z371" s="53" t="n">
        <f aca="false">IF($A371="","",Y371*C371)</f>
        <v>0</v>
      </c>
      <c r="AA371" s="56" t="str">
        <f aca="false">IF($A371="","",IF(E371&lt;=R371,"Below Safety Stock",IF(E371&lt;=S371,"Reorder Now",IF(E371&gt;X371,"Excess","Healthy"))))</f>
        <v>Below Safety Stock</v>
      </c>
      <c r="AB371" s="48" t="n">
        <f aca="false">IF($A371="","",RANK(AF371,$AF$5:$AF$504,0)+COUNTIF($AF$5:AF371,AF371)-1)</f>
        <v>304</v>
      </c>
      <c r="AC371" s="44" t="str">
        <f aca="false">IF($A371="","",Weekly_Demand!B371)</f>
        <v>ADVENT CALENDAR GINGHAM SACK</v>
      </c>
      <c r="AD371" s="59" t="n">
        <f aca="false">IF($A371="","",H371*SQRT(D371))</f>
        <v>61.5703254610171</v>
      </c>
      <c r="AE371" s="53" t="n">
        <f aca="false">IF($A371="","",AD371*C371)</f>
        <v>219.806061895831</v>
      </c>
      <c r="AF371" s="53" t="n">
        <f aca="false">IF($A371="","",ROUND(J371,2))</f>
        <v>4491.06</v>
      </c>
    </row>
    <row r="372" customFormat="false" ht="15" hidden="false" customHeight="false" outlineLevel="0" collapsed="false">
      <c r="A372" s="44" t="str">
        <f aca="false">IF(Weekly_Demand!A372="","",Weekly_Demand!A372)</f>
        <v>21888</v>
      </c>
      <c r="B372" s="44" t="str">
        <f aca="false">IF($A372="","",Weekly_Demand!C372)</f>
        <v>Other</v>
      </c>
      <c r="C372" s="45" t="n">
        <f aca="false">IF($A372="","",Weekly_Demand!D372)</f>
        <v>2.25</v>
      </c>
      <c r="D372" s="46" t="n">
        <f aca="false">IF($A372="","",Weekly_Demand!E372+Assumptions!$B$19)</f>
        <v>2</v>
      </c>
      <c r="E372" s="46" t="n">
        <f aca="false">IF($A372="","",Weekly_Demand!F372)</f>
        <v>128</v>
      </c>
      <c r="F372" s="46" t="n">
        <f aca="false">IF($A372="","",SUM(Weekly_Demand!G372:BF372))</f>
        <v>1667</v>
      </c>
      <c r="G372" s="51" t="n">
        <f aca="false">IF($A372="","",IFERROR(F372/Assumptions!$B$6,0))</f>
        <v>32.0576923076923</v>
      </c>
      <c r="H372" s="51" t="n">
        <f aca="false">IF($A372="","",STDEV(Weekly_Demand!G372:BF372))</f>
        <v>36.4015801539904</v>
      </c>
      <c r="I372" s="52" t="n">
        <f aca="false">IF($A372="","",IFERROR(H372/G372,0))</f>
        <v>1.13550220036443</v>
      </c>
      <c r="J372" s="53" t="n">
        <f aca="false">IF($A372="","",F372*C372)</f>
        <v>3750.75</v>
      </c>
      <c r="K372" s="54" t="n">
        <f aca="false">IF($A372="","",IFERROR(J372/$J$505,0))</f>
        <v>0.000970515437492454</v>
      </c>
      <c r="L372" s="54" t="n">
        <f aca="false">IF($A372="","",IFERROR(SUMIFS($J$5:$J$504,$AB$5:$AB$504,"&lt;="&amp;AB372)/$J$505,0))</f>
        <v>0.907080277169677</v>
      </c>
      <c r="M372" s="55" t="str">
        <f aca="false">IF($A372="","",IF(L372&lt;=Assumptions!$B$7,"A",IF(L372&lt;=Assumptions!$B$8,"B","C")))</f>
        <v>B</v>
      </c>
      <c r="N372" s="55" t="str">
        <f aca="false">IF($A372="","",IF(I372&lt;=Assumptions!$B$9,"X",IF(I372&lt;=Assumptions!$B$10,"Y","Z")))</f>
        <v>Z</v>
      </c>
      <c r="O372" s="56" t="str">
        <f aca="false">IF($A372="","",M372&amp;N372)</f>
        <v>BZ</v>
      </c>
      <c r="P372" s="57" t="n">
        <f aca="false">IF($A372="","",INDEX(Assumptions!$B$35:$B$37,MATCH(M372,Assumptions!$A$35:$A$37,0)))</f>
        <v>0.95</v>
      </c>
      <c r="Q372" s="58" t="n">
        <f aca="false">IF($A372="","",NORMSINV(P372))</f>
        <v>1.64485362695147</v>
      </c>
      <c r="R372" s="48" t="n">
        <f aca="false">IF($A372="","",ROUNDUP(Q372*H372*SQRT(D372),0))</f>
        <v>85</v>
      </c>
      <c r="S372" s="48" t="n">
        <f aca="false">IF($A372="","",ROUNDUP(G372*D372+R372,0))</f>
        <v>150</v>
      </c>
      <c r="T372" s="46" t="n">
        <f aca="false">IF($A372="","",IFERROR(ROUND(SQRT(2*F372*Assumptions!$B$4/(Assumptions!$B$5*C372)),0),0))</f>
        <v>544</v>
      </c>
      <c r="U372" s="53" t="n">
        <f aca="false">IF($A372="","",R372*C372)</f>
        <v>191.25</v>
      </c>
      <c r="V372" s="53" t="n">
        <f aca="false">IF($A372="","",E372*C372)</f>
        <v>288</v>
      </c>
      <c r="W372" s="59" t="n">
        <f aca="false">IF($A372="","",IFERROR(E372/G372,0))</f>
        <v>3.99280143971206</v>
      </c>
      <c r="X372" s="48" t="n">
        <f aca="false">IF($A372="","",S372+T372)</f>
        <v>694</v>
      </c>
      <c r="Y372" s="48" t="n">
        <f aca="false">IF($A372="","",MAX(0,E372-X372))</f>
        <v>0</v>
      </c>
      <c r="Z372" s="53" t="n">
        <f aca="false">IF($A372="","",Y372*C372)</f>
        <v>0</v>
      </c>
      <c r="AA372" s="56" t="str">
        <f aca="false">IF($A372="","",IF(E372&lt;=R372,"Below Safety Stock",IF(E372&lt;=S372,"Reorder Now",IF(E372&gt;X372,"Excess","Healthy"))))</f>
        <v>Reorder Now</v>
      </c>
      <c r="AB372" s="48" t="n">
        <f aca="false">IF($A372="","",RANK(AF372,$AF$5:$AF$504,0)+COUNTIF($AF$5:AF372,AF372)-1)</f>
        <v>389</v>
      </c>
      <c r="AC372" s="44" t="str">
        <f aca="false">IF($A372="","",Weekly_Demand!B372)</f>
        <v>BINGO SET</v>
      </c>
      <c r="AD372" s="59" t="n">
        <f aca="false">IF($A372="","",H372*SQRT(D372))</f>
        <v>51.4796083455846</v>
      </c>
      <c r="AE372" s="53" t="n">
        <f aca="false">IF($A372="","",AD372*C372)</f>
        <v>115.829118777565</v>
      </c>
      <c r="AF372" s="53" t="n">
        <f aca="false">IF($A372="","",ROUND(J372,2))</f>
        <v>3750.75</v>
      </c>
    </row>
    <row r="373" customFormat="false" ht="15" hidden="false" customHeight="false" outlineLevel="0" collapsed="false">
      <c r="A373" s="44" t="str">
        <f aca="false">IF(Weekly_Demand!A373="","",Weekly_Demand!A373)</f>
        <v>21094</v>
      </c>
      <c r="B373" s="44" t="str">
        <f aca="false">IF($A373="","",Weekly_Demand!C373)</f>
        <v>Other</v>
      </c>
      <c r="C373" s="45" t="n">
        <f aca="false">IF($A373="","",Weekly_Demand!D373)</f>
        <v>0.51</v>
      </c>
      <c r="D373" s="46" t="n">
        <f aca="false">IF($A373="","",Weekly_Demand!E373+Assumptions!$B$19)</f>
        <v>6</v>
      </c>
      <c r="E373" s="46" t="n">
        <f aca="false">IF($A373="","",Weekly_Demand!F373)</f>
        <v>952</v>
      </c>
      <c r="F373" s="46" t="n">
        <f aca="false">IF($A373="","",SUM(Weekly_Demand!G373:BF373))</f>
        <v>8247</v>
      </c>
      <c r="G373" s="51" t="n">
        <f aca="false">IF($A373="","",IFERROR(F373/Assumptions!$B$6,0))</f>
        <v>158.596153846154</v>
      </c>
      <c r="H373" s="51" t="n">
        <f aca="false">IF($A373="","",STDEV(Weekly_Demand!G373:BF373))</f>
        <v>101.901963577722</v>
      </c>
      <c r="I373" s="52" t="n">
        <f aca="false">IF($A373="","",IFERROR(H373/G373,0))</f>
        <v>0.64252480975404</v>
      </c>
      <c r="J373" s="53" t="n">
        <f aca="false">IF($A373="","",F373*C373)</f>
        <v>4205.97</v>
      </c>
      <c r="K373" s="54" t="n">
        <f aca="false">IF($A373="","",IFERROR(J373/$J$505,0))</f>
        <v>0.00108830468963011</v>
      </c>
      <c r="L373" s="54" t="n">
        <f aca="false">IF($A373="","",IFERROR(SUMIFS($J$5:$J$504,$AB$5:$AB$504,"&lt;="&amp;AB373)/$J$505,0))</f>
        <v>0.855555853621031</v>
      </c>
      <c r="M373" s="55" t="str">
        <f aca="false">IF($A373="","",IF(L373&lt;=Assumptions!$B$7,"A",IF(L373&lt;=Assumptions!$B$8,"B","C")))</f>
        <v>B</v>
      </c>
      <c r="N373" s="55" t="str">
        <f aca="false">IF($A373="","",IF(I373&lt;=Assumptions!$B$9,"X",IF(I373&lt;=Assumptions!$B$10,"Y","Z")))</f>
        <v>Y</v>
      </c>
      <c r="O373" s="56" t="str">
        <f aca="false">IF($A373="","",M373&amp;N373)</f>
        <v>BY</v>
      </c>
      <c r="P373" s="57" t="n">
        <f aca="false">IF($A373="","",INDEX(Assumptions!$B$35:$B$37,MATCH(M373,Assumptions!$A$35:$A$37,0)))</f>
        <v>0.95</v>
      </c>
      <c r="Q373" s="58" t="n">
        <f aca="false">IF($A373="","",NORMSINV(P373))</f>
        <v>1.64485362695147</v>
      </c>
      <c r="R373" s="48" t="n">
        <f aca="false">IF($A373="","",ROUNDUP(Q373*H373*SQRT(D373),0))</f>
        <v>411</v>
      </c>
      <c r="S373" s="48" t="n">
        <f aca="false">IF($A373="","",ROUNDUP(G373*D373+R373,0))</f>
        <v>1363</v>
      </c>
      <c r="T373" s="46" t="n">
        <f aca="false">IF($A373="","",IFERROR(ROUND(SQRT(2*F373*Assumptions!$B$4/(Assumptions!$B$5*C373)),0),0))</f>
        <v>2543</v>
      </c>
      <c r="U373" s="53" t="n">
        <f aca="false">IF($A373="","",R373*C373)</f>
        <v>209.61</v>
      </c>
      <c r="V373" s="53" t="n">
        <f aca="false">IF($A373="","",E373*C373)</f>
        <v>485.52</v>
      </c>
      <c r="W373" s="59" t="n">
        <f aca="false">IF($A373="","",IFERROR(E373/G373,0))</f>
        <v>6.00266763671638</v>
      </c>
      <c r="X373" s="48" t="n">
        <f aca="false">IF($A373="","",S373+T373)</f>
        <v>3906</v>
      </c>
      <c r="Y373" s="48" t="n">
        <f aca="false">IF($A373="","",MAX(0,E373-X373))</f>
        <v>0</v>
      </c>
      <c r="Z373" s="53" t="n">
        <f aca="false">IF($A373="","",Y373*C373)</f>
        <v>0</v>
      </c>
      <c r="AA373" s="56" t="str">
        <f aca="false">IF($A373="","",IF(E373&lt;=R373,"Below Safety Stock",IF(E373&lt;=S373,"Reorder Now",IF(E373&gt;X373,"Excess","Healthy"))))</f>
        <v>Reorder Now</v>
      </c>
      <c r="AB373" s="48" t="n">
        <f aca="false">IF($A373="","",RANK(AF373,$AF$5:$AF$504,0)+COUNTIF($AF$5:AF373,AF373)-1)</f>
        <v>339</v>
      </c>
      <c r="AC373" s="44" t="str">
        <f aca="false">IF($A373="","",Weekly_Demand!B373)</f>
        <v>SET/6 RED SPOTTY PAPER PLATES</v>
      </c>
      <c r="AD373" s="59" t="n">
        <f aca="false">IF($A373="","",H373*SQRT(D373))</f>
        <v>249.607814553096</v>
      </c>
      <c r="AE373" s="53" t="n">
        <f aca="false">IF($A373="","",AD373*C373)</f>
        <v>127.299985422079</v>
      </c>
      <c r="AF373" s="53" t="n">
        <f aca="false">IF($A373="","",ROUND(J373,2))</f>
        <v>4205.97</v>
      </c>
    </row>
    <row r="374" customFormat="false" ht="15" hidden="false" customHeight="false" outlineLevel="0" collapsed="false">
      <c r="A374" s="44" t="str">
        <f aca="false">IF(Weekly_Demand!A374="","",Weekly_Demand!A374)</f>
        <v>84988</v>
      </c>
      <c r="B374" s="44" t="str">
        <f aca="false">IF($A374="","",Weekly_Demand!C374)</f>
        <v>Other</v>
      </c>
      <c r="C374" s="45" t="n">
        <f aca="false">IF($A374="","",Weekly_Demand!D374)</f>
        <v>0.87</v>
      </c>
      <c r="D374" s="46" t="n">
        <f aca="false">IF($A374="","",Weekly_Demand!E374+Assumptions!$B$19)</f>
        <v>2</v>
      </c>
      <c r="E374" s="46" t="n">
        <f aca="false">IF($A374="","",Weekly_Demand!F374)</f>
        <v>327</v>
      </c>
      <c r="F374" s="46" t="n">
        <f aca="false">IF($A374="","",SUM(Weekly_Demand!G374:BF374))</f>
        <v>4248</v>
      </c>
      <c r="G374" s="51" t="n">
        <f aca="false">IF($A374="","",IFERROR(F374/Assumptions!$B$6,0))</f>
        <v>81.6923076923077</v>
      </c>
      <c r="H374" s="51" t="n">
        <f aca="false">IF($A374="","",STDEV(Weekly_Demand!G374:BF374))</f>
        <v>63.8068588302686</v>
      </c>
      <c r="I374" s="52" t="n">
        <f aca="false">IF($A374="","",IFERROR(H374/G374,0))</f>
        <v>0.78106324368502</v>
      </c>
      <c r="J374" s="53" t="n">
        <f aca="false">IF($A374="","",F374*C374)</f>
        <v>3695.76</v>
      </c>
      <c r="K374" s="54" t="n">
        <f aca="false">IF($A374="","",IFERROR(J374/$J$505,0))</f>
        <v>0.000956286644875588</v>
      </c>
      <c r="L374" s="54" t="n">
        <f aca="false">IF($A374="","",IFERROR(SUMIFS($J$5:$J$504,$AB$5:$AB$504,"&lt;="&amp;AB374)/$J$505,0))</f>
        <v>0.915728476774154</v>
      </c>
      <c r="M374" s="55" t="str">
        <f aca="false">IF($A374="","",IF(L374&lt;=Assumptions!$B$7,"A",IF(L374&lt;=Assumptions!$B$8,"B","C")))</f>
        <v>B</v>
      </c>
      <c r="N374" s="55" t="str">
        <f aca="false">IF($A374="","",IF(I374&lt;=Assumptions!$B$9,"X",IF(I374&lt;=Assumptions!$B$10,"Y","Z")))</f>
        <v>Y</v>
      </c>
      <c r="O374" s="56" t="str">
        <f aca="false">IF($A374="","",M374&amp;N374)</f>
        <v>BY</v>
      </c>
      <c r="P374" s="57" t="n">
        <f aca="false">IF($A374="","",INDEX(Assumptions!$B$35:$B$37,MATCH(M374,Assumptions!$A$35:$A$37,0)))</f>
        <v>0.95</v>
      </c>
      <c r="Q374" s="58" t="n">
        <f aca="false">IF($A374="","",NORMSINV(P374))</f>
        <v>1.64485362695147</v>
      </c>
      <c r="R374" s="48" t="n">
        <f aca="false">IF($A374="","",ROUNDUP(Q374*H374*SQRT(D374),0))</f>
        <v>149</v>
      </c>
      <c r="S374" s="48" t="n">
        <f aca="false">IF($A374="","",ROUNDUP(G374*D374+R374,0))</f>
        <v>313</v>
      </c>
      <c r="T374" s="46" t="n">
        <f aca="false">IF($A374="","",IFERROR(ROUND(SQRT(2*F374*Assumptions!$B$4/(Assumptions!$B$5*C374)),0),0))</f>
        <v>1398</v>
      </c>
      <c r="U374" s="53" t="n">
        <f aca="false">IF($A374="","",R374*C374)</f>
        <v>129.63</v>
      </c>
      <c r="V374" s="53" t="n">
        <f aca="false">IF($A374="","",E374*C374)</f>
        <v>284.49</v>
      </c>
      <c r="W374" s="59" t="n">
        <f aca="false">IF($A374="","",IFERROR(E374/G374,0))</f>
        <v>4.00282485875706</v>
      </c>
      <c r="X374" s="48" t="n">
        <f aca="false">IF($A374="","",S374+T374)</f>
        <v>1711</v>
      </c>
      <c r="Y374" s="48" t="n">
        <f aca="false">IF($A374="","",MAX(0,E374-X374))</f>
        <v>0</v>
      </c>
      <c r="Z374" s="53" t="n">
        <f aca="false">IF($A374="","",Y374*C374)</f>
        <v>0</v>
      </c>
      <c r="AA374" s="56" t="str">
        <f aca="false">IF($A374="","",IF(E374&lt;=R374,"Below Safety Stock",IF(E374&lt;=S374,"Reorder Now",IF(E374&gt;X374,"Excess","Healthy"))))</f>
        <v>Healthy</v>
      </c>
      <c r="AB374" s="48" t="n">
        <f aca="false">IF($A374="","",RANK(AF374,$AF$5:$AF$504,0)+COUNTIF($AF$5:AF374,AF374)-1)</f>
        <v>398</v>
      </c>
      <c r="AC374" s="44" t="str">
        <f aca="false">IF($A374="","",Weekly_Demand!B374)</f>
        <v>SET OF 72 PINK HEART PAPER DOILIES</v>
      </c>
      <c r="AD374" s="59" t="n">
        <f aca="false">IF($A374="","",H374*SQRT(D374))</f>
        <v>90.2365251301913</v>
      </c>
      <c r="AE374" s="53" t="n">
        <f aca="false">IF($A374="","",AD374*C374)</f>
        <v>78.5057768632664</v>
      </c>
      <c r="AF374" s="53" t="n">
        <f aca="false">IF($A374="","",ROUND(J374,2))</f>
        <v>3695.76</v>
      </c>
    </row>
    <row r="375" customFormat="false" ht="15" hidden="false" customHeight="false" outlineLevel="0" collapsed="false">
      <c r="A375" s="44" t="str">
        <f aca="false">IF(Weekly_Demand!A375="","",Weekly_Demand!A375)</f>
        <v>84970L</v>
      </c>
      <c r="B375" s="44" t="str">
        <f aca="false">IF($A375="","",Weekly_Demand!C375)</f>
        <v>Lighting</v>
      </c>
      <c r="C375" s="45" t="n">
        <f aca="false">IF($A375="","",Weekly_Demand!D375)</f>
        <v>0.57</v>
      </c>
      <c r="D375" s="46" t="n">
        <f aca="false">IF($A375="","",Weekly_Demand!E375+Assumptions!$B$19)</f>
        <v>6</v>
      </c>
      <c r="E375" s="46" t="n">
        <f aca="false">IF($A375="","",Weekly_Demand!F375)</f>
        <v>815</v>
      </c>
      <c r="F375" s="46" t="n">
        <f aca="false">IF($A375="","",SUM(Weekly_Demand!G375:BF375))</f>
        <v>6054</v>
      </c>
      <c r="G375" s="51" t="n">
        <f aca="false">IF($A375="","",IFERROR(F375/Assumptions!$B$6,0))</f>
        <v>116.423076923077</v>
      </c>
      <c r="H375" s="51" t="n">
        <f aca="false">IF($A375="","",STDEV(Weekly_Demand!G375:BF375))</f>
        <v>81.8011328733687</v>
      </c>
      <c r="I375" s="52" t="n">
        <f aca="false">IF($A375="","",IFERROR(H375/G375,0))</f>
        <v>0.702619575390679</v>
      </c>
      <c r="J375" s="53" t="n">
        <f aca="false">IF($A375="","",F375*C375)</f>
        <v>3450.78</v>
      </c>
      <c r="K375" s="54" t="n">
        <f aca="false">IF($A375="","",IFERROR(J375/$J$505,0))</f>
        <v>0.000892897490206015</v>
      </c>
      <c r="L375" s="54" t="n">
        <f aca="false">IF($A375="","",IFERROR(SUMIFS($J$5:$J$504,$AB$5:$AB$504,"&lt;="&amp;AB375)/$J$505,0))</f>
        <v>0.930488826964411</v>
      </c>
      <c r="M375" s="55" t="str">
        <f aca="false">IF($A375="","",IF(L375&lt;=Assumptions!$B$7,"A",IF(L375&lt;=Assumptions!$B$8,"B","C")))</f>
        <v>B</v>
      </c>
      <c r="N375" s="55" t="str">
        <f aca="false">IF($A375="","",IF(I375&lt;=Assumptions!$B$9,"X",IF(I375&lt;=Assumptions!$B$10,"Y","Z")))</f>
        <v>Y</v>
      </c>
      <c r="O375" s="56" t="str">
        <f aca="false">IF($A375="","",M375&amp;N375)</f>
        <v>BY</v>
      </c>
      <c r="P375" s="57" t="n">
        <f aca="false">IF($A375="","",INDEX(Assumptions!$B$35:$B$37,MATCH(M375,Assumptions!$A$35:$A$37,0)))</f>
        <v>0.95</v>
      </c>
      <c r="Q375" s="58" t="n">
        <f aca="false">IF($A375="","",NORMSINV(P375))</f>
        <v>1.64485362695147</v>
      </c>
      <c r="R375" s="48" t="n">
        <f aca="false">IF($A375="","",ROUNDUP(Q375*H375*SQRT(D375),0))</f>
        <v>330</v>
      </c>
      <c r="S375" s="48" t="n">
        <f aca="false">IF($A375="","",ROUNDUP(G375*D375+R375,0))</f>
        <v>1029</v>
      </c>
      <c r="T375" s="46" t="n">
        <f aca="false">IF($A375="","",IFERROR(ROUND(SQRT(2*F375*Assumptions!$B$4/(Assumptions!$B$5*C375)),0),0))</f>
        <v>2061</v>
      </c>
      <c r="U375" s="53" t="n">
        <f aca="false">IF($A375="","",R375*C375)</f>
        <v>188.1</v>
      </c>
      <c r="V375" s="53" t="n">
        <f aca="false">IF($A375="","",E375*C375)</f>
        <v>464.55</v>
      </c>
      <c r="W375" s="59" t="n">
        <f aca="false">IF($A375="","",IFERROR(E375/G375,0))</f>
        <v>7.0003303600925</v>
      </c>
      <c r="X375" s="48" t="n">
        <f aca="false">IF($A375="","",S375+T375)</f>
        <v>3090</v>
      </c>
      <c r="Y375" s="48" t="n">
        <f aca="false">IF($A375="","",MAX(0,E375-X375))</f>
        <v>0</v>
      </c>
      <c r="Z375" s="53" t="n">
        <f aca="false">IF($A375="","",Y375*C375)</f>
        <v>0</v>
      </c>
      <c r="AA375" s="56" t="str">
        <f aca="false">IF($A375="","",IF(E375&lt;=R375,"Below Safety Stock",IF(E375&lt;=S375,"Reorder Now",IF(E375&gt;X375,"Excess","Healthy"))))</f>
        <v>Reorder Now</v>
      </c>
      <c r="AB375" s="48" t="n">
        <f aca="false">IF($A375="","",RANK(AF375,$AF$5:$AF$504,0)+COUNTIF($AF$5:AF375,AF375)-1)</f>
        <v>414</v>
      </c>
      <c r="AC375" s="44" t="str">
        <f aca="false">IF($A375="","",Weekly_Demand!B375)</f>
        <v>SINGLE HEART ZINC T-LIGHT HOLDER</v>
      </c>
      <c r="AD375" s="59" t="n">
        <f aca="false">IF($A375="","",H375*SQRT(D375))</f>
        <v>200.37103592136</v>
      </c>
      <c r="AE375" s="53" t="n">
        <f aca="false">IF($A375="","",AD375*C375)</f>
        <v>114.211490475175</v>
      </c>
      <c r="AF375" s="53" t="n">
        <f aca="false">IF($A375="","",ROUND(J375,2))</f>
        <v>3450.78</v>
      </c>
    </row>
    <row r="376" customFormat="false" ht="15" hidden="false" customHeight="false" outlineLevel="0" collapsed="false">
      <c r="A376" s="44" t="str">
        <f aca="false">IF(Weekly_Demand!A376="","",Weekly_Demand!A376)</f>
        <v>22620</v>
      </c>
      <c r="B376" s="44" t="str">
        <f aca="false">IF($A376="","",Weekly_Demand!C376)</f>
        <v>Other</v>
      </c>
      <c r="C376" s="45" t="n">
        <f aca="false">IF($A376="","",Weekly_Demand!D376)</f>
        <v>0.87</v>
      </c>
      <c r="D376" s="46" t="n">
        <f aca="false">IF($A376="","",Weekly_Demand!E376+Assumptions!$B$19)</f>
        <v>2</v>
      </c>
      <c r="E376" s="46" t="n">
        <f aca="false">IF($A376="","",Weekly_Demand!F376)</f>
        <v>3631</v>
      </c>
      <c r="F376" s="46" t="n">
        <f aca="false">IF($A376="","",SUM(Weekly_Demand!G376:BF376))</f>
        <v>4720</v>
      </c>
      <c r="G376" s="51" t="n">
        <f aca="false">IF($A376="","",IFERROR(F376/Assumptions!$B$6,0))</f>
        <v>90.7692307692308</v>
      </c>
      <c r="H376" s="51" t="n">
        <f aca="false">IF($A376="","",STDEV(Weekly_Demand!G376:BF376))</f>
        <v>93.1681203123361</v>
      </c>
      <c r="I376" s="52" t="n">
        <f aca="false">IF($A376="","",IFERROR(H376/G376,0))</f>
        <v>1.02642844411896</v>
      </c>
      <c r="J376" s="53" t="n">
        <f aca="false">IF($A376="","",F376*C376)</f>
        <v>4106.4</v>
      </c>
      <c r="K376" s="54" t="n">
        <f aca="false">IF($A376="","",IFERROR(J376/$J$505,0))</f>
        <v>0.00106254071652843</v>
      </c>
      <c r="L376" s="54" t="n">
        <f aca="false">IF($A376="","",IFERROR(SUMIFS($J$5:$J$504,$AB$5:$AB$504,"&lt;="&amp;AB376)/$J$505,0))</f>
        <v>0.870619774674827</v>
      </c>
      <c r="M376" s="55" t="str">
        <f aca="false">IF($A376="","",IF(L376&lt;=Assumptions!$B$7,"A",IF(L376&lt;=Assumptions!$B$8,"B","C")))</f>
        <v>B</v>
      </c>
      <c r="N376" s="55" t="str">
        <f aca="false">IF($A376="","",IF(I376&lt;=Assumptions!$B$9,"X",IF(I376&lt;=Assumptions!$B$10,"Y","Z")))</f>
        <v>Z</v>
      </c>
      <c r="O376" s="56" t="str">
        <f aca="false">IF($A376="","",M376&amp;N376)</f>
        <v>BZ</v>
      </c>
      <c r="P376" s="57" t="n">
        <f aca="false">IF($A376="","",INDEX(Assumptions!$B$35:$B$37,MATCH(M376,Assumptions!$A$35:$A$37,0)))</f>
        <v>0.95</v>
      </c>
      <c r="Q376" s="58" t="n">
        <f aca="false">IF($A376="","",NORMSINV(P376))</f>
        <v>1.64485362695147</v>
      </c>
      <c r="R376" s="48" t="n">
        <f aca="false">IF($A376="","",ROUNDUP(Q376*H376*SQRT(D376),0))</f>
        <v>217</v>
      </c>
      <c r="S376" s="48" t="n">
        <f aca="false">IF($A376="","",ROUNDUP(G376*D376+R376,0))</f>
        <v>399</v>
      </c>
      <c r="T376" s="46" t="n">
        <f aca="false">IF($A376="","",IFERROR(ROUND(SQRT(2*F376*Assumptions!$B$4/(Assumptions!$B$5*C376)),0),0))</f>
        <v>1473</v>
      </c>
      <c r="U376" s="53" t="n">
        <f aca="false">IF($A376="","",R376*C376)</f>
        <v>188.79</v>
      </c>
      <c r="V376" s="53" t="n">
        <f aca="false">IF($A376="","",E376*C376)</f>
        <v>3158.97</v>
      </c>
      <c r="W376" s="59" t="n">
        <f aca="false">IF($A376="","",IFERROR(E376/G376,0))</f>
        <v>40.0025423728814</v>
      </c>
      <c r="X376" s="48" t="n">
        <f aca="false">IF($A376="","",S376+T376)</f>
        <v>1872</v>
      </c>
      <c r="Y376" s="48" t="n">
        <f aca="false">IF($A376="","",MAX(0,E376-X376))</f>
        <v>1759</v>
      </c>
      <c r="Z376" s="53" t="n">
        <f aca="false">IF($A376="","",Y376*C376)</f>
        <v>1530.33</v>
      </c>
      <c r="AA376" s="56" t="str">
        <f aca="false">IF($A376="","",IF(E376&lt;=R376,"Below Safety Stock",IF(E376&lt;=S376,"Reorder Now",IF(E376&gt;X376,"Excess","Healthy"))))</f>
        <v>Excess</v>
      </c>
      <c r="AB376" s="48" t="n">
        <f aca="false">IF($A376="","",RANK(AF376,$AF$5:$AF$504,0)+COUNTIF($AF$5:AF376,AF376)-1)</f>
        <v>353</v>
      </c>
      <c r="AC376" s="44" t="str">
        <f aca="false">IF($A376="","",Weekly_Demand!B376)</f>
        <v>4 TRADITIONAL SPINNING TOPS</v>
      </c>
      <c r="AD376" s="59" t="n">
        <f aca="false">IF($A376="","",H376*SQRT(D376))</f>
        <v>131.759619326514</v>
      </c>
      <c r="AE376" s="53" t="n">
        <f aca="false">IF($A376="","",AD376*C376)</f>
        <v>114.630868814067</v>
      </c>
      <c r="AF376" s="53" t="n">
        <f aca="false">IF($A376="","",ROUND(J376,2))</f>
        <v>4106.4</v>
      </c>
    </row>
    <row r="377" customFormat="false" ht="15" hidden="false" customHeight="false" outlineLevel="0" collapsed="false">
      <c r="A377" s="44" t="str">
        <f aca="false">IF(Weekly_Demand!A377="","",Weekly_Demand!A377)</f>
        <v>23247</v>
      </c>
      <c r="B377" s="44" t="str">
        <f aca="false">IF($A377="","",Weekly_Demand!C377)</f>
        <v>Kitchen</v>
      </c>
      <c r="C377" s="45" t="n">
        <f aca="false">IF($A377="","",Weekly_Demand!D377)</f>
        <v>1.734</v>
      </c>
      <c r="D377" s="46" t="n">
        <f aca="false">IF($A377="","",Weekly_Demand!E377+Assumptions!$B$19)</f>
        <v>8</v>
      </c>
      <c r="E377" s="46" t="n">
        <f aca="false">IF($A377="","",Weekly_Demand!F377)</f>
        <v>1600</v>
      </c>
      <c r="F377" s="46" t="n">
        <f aca="false">IF($A377="","",SUM(Weekly_Demand!G377:BF377))</f>
        <v>2133</v>
      </c>
      <c r="G377" s="51" t="n">
        <f aca="false">IF($A377="","",IFERROR(F377/Assumptions!$B$6,0))</f>
        <v>41.0192307692308</v>
      </c>
      <c r="H377" s="51" t="n">
        <f aca="false">IF($A377="","",STDEV(Weekly_Demand!G377:BF377))</f>
        <v>70.2632278759918</v>
      </c>
      <c r="I377" s="52" t="n">
        <f aca="false">IF($A377="","",IFERROR(H377/G377,0))</f>
        <v>1.71293382538752</v>
      </c>
      <c r="J377" s="53" t="n">
        <f aca="false">IF($A377="","",F377*C377)</f>
        <v>3698.622</v>
      </c>
      <c r="K377" s="54" t="n">
        <f aca="false">IF($A377="","",IFERROR(J377/$J$505,0))</f>
        <v>0.000957027194147628</v>
      </c>
      <c r="L377" s="54" t="n">
        <f aca="false">IF($A377="","",IFERROR(SUMIFS($J$5:$J$504,$AB$5:$AB$504,"&lt;="&amp;AB377)/$J$505,0))</f>
        <v>0.913815841383835</v>
      </c>
      <c r="M377" s="55" t="str">
        <f aca="false">IF($A377="","",IF(L377&lt;=Assumptions!$B$7,"A",IF(L377&lt;=Assumptions!$B$8,"B","C")))</f>
        <v>B</v>
      </c>
      <c r="N377" s="55" t="str">
        <f aca="false">IF($A377="","",IF(I377&lt;=Assumptions!$B$9,"X",IF(I377&lt;=Assumptions!$B$10,"Y","Z")))</f>
        <v>Z</v>
      </c>
      <c r="O377" s="56" t="str">
        <f aca="false">IF($A377="","",M377&amp;N377)</f>
        <v>BZ</v>
      </c>
      <c r="P377" s="57" t="n">
        <f aca="false">IF($A377="","",INDEX(Assumptions!$B$35:$B$37,MATCH(M377,Assumptions!$A$35:$A$37,0)))</f>
        <v>0.95</v>
      </c>
      <c r="Q377" s="58" t="n">
        <f aca="false">IF($A377="","",NORMSINV(P377))</f>
        <v>1.64485362695147</v>
      </c>
      <c r="R377" s="48" t="n">
        <f aca="false">IF($A377="","",ROUNDUP(Q377*H377*SQRT(D377),0))</f>
        <v>327</v>
      </c>
      <c r="S377" s="48" t="n">
        <f aca="false">IF($A377="","",ROUNDUP(G377*D377+R377,0))</f>
        <v>656</v>
      </c>
      <c r="T377" s="46" t="n">
        <f aca="false">IF($A377="","",IFERROR(ROUND(SQRT(2*F377*Assumptions!$B$4/(Assumptions!$B$5*C377)),0),0))</f>
        <v>701</v>
      </c>
      <c r="U377" s="53" t="n">
        <f aca="false">IF($A377="","",R377*C377)</f>
        <v>567.018</v>
      </c>
      <c r="V377" s="53" t="n">
        <f aca="false">IF($A377="","",E377*C377)</f>
        <v>2774.4</v>
      </c>
      <c r="W377" s="59" t="n">
        <f aca="false">IF($A377="","",IFERROR(E377/G377,0))</f>
        <v>39.0060947022972</v>
      </c>
      <c r="X377" s="48" t="n">
        <f aca="false">IF($A377="","",S377+T377)</f>
        <v>1357</v>
      </c>
      <c r="Y377" s="48" t="n">
        <f aca="false">IF($A377="","",MAX(0,E377-X377))</f>
        <v>243</v>
      </c>
      <c r="Z377" s="53" t="n">
        <f aca="false">IF($A377="","",Y377*C377)</f>
        <v>421.362</v>
      </c>
      <c r="AA377" s="56" t="str">
        <f aca="false">IF($A377="","",IF(E377&lt;=R377,"Below Safety Stock",IF(E377&lt;=S377,"Reorder Now",IF(E377&gt;X377,"Excess","Healthy"))))</f>
        <v>Excess</v>
      </c>
      <c r="AB377" s="48" t="n">
        <f aca="false">IF($A377="","",RANK(AF377,$AF$5:$AF$504,0)+COUNTIF($AF$5:AF377,AF377)-1)</f>
        <v>396</v>
      </c>
      <c r="AC377" s="44" t="str">
        <f aca="false">IF($A377="","",Weekly_Demand!B377)</f>
        <v>BISCUIT TIN 50'S CHRISTMAS</v>
      </c>
      <c r="AD377" s="59" t="n">
        <f aca="false">IF($A377="","",H377*SQRT(D377))</f>
        <v>198.734419596678</v>
      </c>
      <c r="AE377" s="53" t="n">
        <f aca="false">IF($A377="","",AD377*C377)</f>
        <v>344.605483580639</v>
      </c>
      <c r="AF377" s="53" t="n">
        <f aca="false">IF($A377="","",ROUND(J377,2))</f>
        <v>3698.62</v>
      </c>
    </row>
    <row r="378" customFormat="false" ht="15" hidden="false" customHeight="false" outlineLevel="0" collapsed="false">
      <c r="A378" s="44" t="str">
        <f aca="false">IF(Weekly_Demand!A378="","",Weekly_Demand!A378)</f>
        <v>21326</v>
      </c>
      <c r="B378" s="44" t="str">
        <f aca="false">IF($A378="","",Weekly_Demand!C378)</f>
        <v>Lighting</v>
      </c>
      <c r="C378" s="45" t="n">
        <f aca="false">IF($A378="","",Weekly_Demand!D378)</f>
        <v>0.39</v>
      </c>
      <c r="D378" s="46" t="n">
        <f aca="false">IF($A378="","",Weekly_Demand!E378+Assumptions!$B$19)</f>
        <v>6</v>
      </c>
      <c r="E378" s="46" t="n">
        <f aca="false">IF($A378="","",Weekly_Demand!F378)</f>
        <v>381</v>
      </c>
      <c r="F378" s="46" t="n">
        <f aca="false">IF($A378="","",SUM(Weekly_Demand!G378:BF378))</f>
        <v>9893</v>
      </c>
      <c r="G378" s="51" t="n">
        <f aca="false">IF($A378="","",IFERROR(F378/Assumptions!$B$6,0))</f>
        <v>190.25</v>
      </c>
      <c r="H378" s="51" t="n">
        <f aca="false">IF($A378="","",STDEV(Weekly_Demand!G378:BF378))</f>
        <v>138.831379596921</v>
      </c>
      <c r="I378" s="52" t="n">
        <f aca="false">IF($A378="","",IFERROR(H378/G378,0))</f>
        <v>0.729731298801161</v>
      </c>
      <c r="J378" s="53" t="n">
        <f aca="false">IF($A378="","",F378*C378)</f>
        <v>3858.27</v>
      </c>
      <c r="K378" s="54" t="n">
        <f aca="false">IF($A378="","",IFERROR(J378/$J$505,0))</f>
        <v>0.000998336491905355</v>
      </c>
      <c r="L378" s="54" t="n">
        <f aca="false">IF($A378="","",IFERROR(SUMIFS($J$5:$J$504,$AB$5:$AB$504,"&lt;="&amp;AB378)/$J$505,0))</f>
        <v>0.896268150674416</v>
      </c>
      <c r="M378" s="55" t="str">
        <f aca="false">IF($A378="","",IF(L378&lt;=Assumptions!$B$7,"A",IF(L378&lt;=Assumptions!$B$8,"B","C")))</f>
        <v>B</v>
      </c>
      <c r="N378" s="55" t="str">
        <f aca="false">IF($A378="","",IF(I378&lt;=Assumptions!$B$9,"X",IF(I378&lt;=Assumptions!$B$10,"Y","Z")))</f>
        <v>Y</v>
      </c>
      <c r="O378" s="56" t="str">
        <f aca="false">IF($A378="","",M378&amp;N378)</f>
        <v>BY</v>
      </c>
      <c r="P378" s="57" t="n">
        <f aca="false">IF($A378="","",INDEX(Assumptions!$B$35:$B$37,MATCH(M378,Assumptions!$A$35:$A$37,0)))</f>
        <v>0.95</v>
      </c>
      <c r="Q378" s="58" t="n">
        <f aca="false">IF($A378="","",NORMSINV(P378))</f>
        <v>1.64485362695147</v>
      </c>
      <c r="R378" s="48" t="n">
        <f aca="false">IF($A378="","",ROUNDUP(Q378*H378*SQRT(D378),0))</f>
        <v>560</v>
      </c>
      <c r="S378" s="48" t="n">
        <f aca="false">IF($A378="","",ROUNDUP(G378*D378+R378,0))</f>
        <v>1702</v>
      </c>
      <c r="T378" s="46" t="n">
        <f aca="false">IF($A378="","",IFERROR(ROUND(SQRT(2*F378*Assumptions!$B$4/(Assumptions!$B$5*C378)),0),0))</f>
        <v>3185</v>
      </c>
      <c r="U378" s="53" t="n">
        <f aca="false">IF($A378="","",R378*C378)</f>
        <v>218.4</v>
      </c>
      <c r="V378" s="53" t="n">
        <f aca="false">IF($A378="","",E378*C378)</f>
        <v>148.59</v>
      </c>
      <c r="W378" s="59" t="n">
        <f aca="false">IF($A378="","",IFERROR(E378/G378,0))</f>
        <v>2.00262812089356</v>
      </c>
      <c r="X378" s="48" t="n">
        <f aca="false">IF($A378="","",S378+T378)</f>
        <v>4887</v>
      </c>
      <c r="Y378" s="48" t="n">
        <f aca="false">IF($A378="","",MAX(0,E378-X378))</f>
        <v>0</v>
      </c>
      <c r="Z378" s="53" t="n">
        <f aca="false">IF($A378="","",Y378*C378)</f>
        <v>0</v>
      </c>
      <c r="AA378" s="56" t="str">
        <f aca="false">IF($A378="","",IF(E378&lt;=R378,"Below Safety Stock",IF(E378&lt;=S378,"Reorder Now",IF(E378&gt;X378,"Excess","Healthy"))))</f>
        <v>Below Safety Stock</v>
      </c>
      <c r="AB378" s="48" t="n">
        <f aca="false">IF($A378="","",RANK(AF378,$AF$5:$AF$504,0)+COUNTIF($AF$5:AF378,AF378)-1)</f>
        <v>378</v>
      </c>
      <c r="AC378" s="44" t="str">
        <f aca="false">IF($A378="","",Weekly_Demand!B378)</f>
        <v>AGED GLASS SILVER T-LIGHT HOLDER</v>
      </c>
      <c r="AD378" s="59" t="n">
        <f aca="false">IF($A378="","",H378*SQRT(D378))</f>
        <v>340.066040299095</v>
      </c>
      <c r="AE378" s="53" t="n">
        <f aca="false">IF($A378="","",AD378*C378)</f>
        <v>132.625755716647</v>
      </c>
      <c r="AF378" s="53" t="n">
        <f aca="false">IF($A378="","",ROUND(J378,2))</f>
        <v>3858.27</v>
      </c>
    </row>
    <row r="379" customFormat="false" ht="15" hidden="false" customHeight="false" outlineLevel="0" collapsed="false">
      <c r="A379" s="44" t="str">
        <f aca="false">IF(Weekly_Demand!A379="","",Weekly_Demand!A379)</f>
        <v>21533</v>
      </c>
      <c r="B379" s="44" t="str">
        <f aca="false">IF($A379="","",Weekly_Demand!C379)</f>
        <v>Other</v>
      </c>
      <c r="C379" s="45" t="n">
        <f aca="false">IF($A379="","",Weekly_Demand!D379)</f>
        <v>2.97</v>
      </c>
      <c r="D379" s="46" t="n">
        <f aca="false">IF($A379="","",Weekly_Demand!E379+Assumptions!$B$19)</f>
        <v>4</v>
      </c>
      <c r="E379" s="46" t="n">
        <f aca="false">IF($A379="","",Weekly_Demand!F379)</f>
        <v>1212</v>
      </c>
      <c r="F379" s="46" t="n">
        <f aca="false">IF($A379="","",SUM(Weekly_Demand!G379:BF379))</f>
        <v>1313</v>
      </c>
      <c r="G379" s="51" t="n">
        <f aca="false">IF($A379="","",IFERROR(F379/Assumptions!$B$6,0))</f>
        <v>25.25</v>
      </c>
      <c r="H379" s="51" t="n">
        <f aca="false">IF($A379="","",STDEV(Weekly_Demand!G379:BF379))</f>
        <v>27.6397518504226</v>
      </c>
      <c r="I379" s="52" t="n">
        <f aca="false">IF($A379="","",IFERROR(H379/G379,0))</f>
        <v>1.0946436376405</v>
      </c>
      <c r="J379" s="53" t="n">
        <f aca="false">IF($A379="","",F379*C379)</f>
        <v>3899.61</v>
      </c>
      <c r="K379" s="54" t="n">
        <f aca="false">IF($A379="","",IFERROR(J379/$J$505,0))</f>
        <v>0.00100903331472371</v>
      </c>
      <c r="L379" s="54" t="n">
        <f aca="false">IF($A379="","",IFERROR(SUMIFS($J$5:$J$504,$AB$5:$AB$504,"&lt;="&amp;AB379)/$J$505,0))</f>
        <v>0.890258177258007</v>
      </c>
      <c r="M379" s="55" t="str">
        <f aca="false">IF($A379="","",IF(L379&lt;=Assumptions!$B$7,"A",IF(L379&lt;=Assumptions!$B$8,"B","C")))</f>
        <v>B</v>
      </c>
      <c r="N379" s="55" t="str">
        <f aca="false">IF($A379="","",IF(I379&lt;=Assumptions!$B$9,"X",IF(I379&lt;=Assumptions!$B$10,"Y","Z")))</f>
        <v>Z</v>
      </c>
      <c r="O379" s="56" t="str">
        <f aca="false">IF($A379="","",M379&amp;N379)</f>
        <v>BZ</v>
      </c>
      <c r="P379" s="57" t="n">
        <f aca="false">IF($A379="","",INDEX(Assumptions!$B$35:$B$37,MATCH(M379,Assumptions!$A$35:$A$37,0)))</f>
        <v>0.95</v>
      </c>
      <c r="Q379" s="58" t="n">
        <f aca="false">IF($A379="","",NORMSINV(P379))</f>
        <v>1.64485362695147</v>
      </c>
      <c r="R379" s="48" t="n">
        <f aca="false">IF($A379="","",ROUNDUP(Q379*H379*SQRT(D379),0))</f>
        <v>91</v>
      </c>
      <c r="S379" s="48" t="n">
        <f aca="false">IF($A379="","",ROUNDUP(G379*D379+R379,0))</f>
        <v>192</v>
      </c>
      <c r="T379" s="46" t="n">
        <f aca="false">IF($A379="","",IFERROR(ROUND(SQRT(2*F379*Assumptions!$B$4/(Assumptions!$B$5*C379)),0),0))</f>
        <v>421</v>
      </c>
      <c r="U379" s="53" t="n">
        <f aca="false">IF($A379="","",R379*C379)</f>
        <v>270.27</v>
      </c>
      <c r="V379" s="53" t="n">
        <f aca="false">IF($A379="","",E379*C379)</f>
        <v>3599.64</v>
      </c>
      <c r="W379" s="59" t="n">
        <f aca="false">IF($A379="","",IFERROR(E379/G379,0))</f>
        <v>48</v>
      </c>
      <c r="X379" s="48" t="n">
        <f aca="false">IF($A379="","",S379+T379)</f>
        <v>613</v>
      </c>
      <c r="Y379" s="48" t="n">
        <f aca="false">IF($A379="","",MAX(0,E379-X379))</f>
        <v>599</v>
      </c>
      <c r="Z379" s="53" t="n">
        <f aca="false">IF($A379="","",Y379*C379)</f>
        <v>1779.03</v>
      </c>
      <c r="AA379" s="56" t="str">
        <f aca="false">IF($A379="","",IF(E379&lt;=R379,"Below Safety Stock",IF(E379&lt;=S379,"Reorder Now",IF(E379&gt;X379,"Excess","Healthy"))))</f>
        <v>Excess</v>
      </c>
      <c r="AB379" s="48" t="n">
        <f aca="false">IF($A379="","",RANK(AF379,$AF$5:$AF$504,0)+COUNTIF($AF$5:AF379,AF379)-1)</f>
        <v>372</v>
      </c>
      <c r="AC379" s="44" t="str">
        <f aca="false">IF($A379="","",Weekly_Demand!B379)</f>
        <v>RETROSPOT LARGE MILK JUG</v>
      </c>
      <c r="AD379" s="59" t="n">
        <f aca="false">IF($A379="","",H379*SQRT(D379))</f>
        <v>55.2795037008453</v>
      </c>
      <c r="AE379" s="53" t="n">
        <f aca="false">IF($A379="","",AD379*C379)</f>
        <v>164.18012599151</v>
      </c>
      <c r="AF379" s="53" t="n">
        <f aca="false">IF($A379="","",ROUND(J379,2))</f>
        <v>3899.61</v>
      </c>
    </row>
    <row r="380" customFormat="false" ht="15" hidden="false" customHeight="false" outlineLevel="0" collapsed="false">
      <c r="A380" s="44" t="str">
        <f aca="false">IF(Weekly_Demand!A380="","",Weekly_Demand!A380)</f>
        <v>82001S</v>
      </c>
      <c r="B380" s="44" t="str">
        <f aca="false">IF($A380="","",Weekly_Demand!C380)</f>
        <v>Other</v>
      </c>
      <c r="C380" s="45" t="n">
        <f aca="false">IF($A380="","",Weekly_Demand!D380)</f>
        <v>2.25</v>
      </c>
      <c r="D380" s="46" t="n">
        <f aca="false">IF($A380="","",Weekly_Demand!E380+Assumptions!$B$19)</f>
        <v>4</v>
      </c>
      <c r="E380" s="46" t="n">
        <f aca="false">IF($A380="","",Weekly_Demand!F380)</f>
        <v>129</v>
      </c>
      <c r="F380" s="46" t="n">
        <f aca="false">IF($A380="","",SUM(Weekly_Demand!G380:BF380))</f>
        <v>1672</v>
      </c>
      <c r="G380" s="51" t="n">
        <f aca="false">IF($A380="","",IFERROR(F380/Assumptions!$B$6,0))</f>
        <v>32.1538461538462</v>
      </c>
      <c r="H380" s="51" t="n">
        <f aca="false">IF($A380="","",STDEV(Weekly_Demand!G380:BF380))</f>
        <v>41.7346353624734</v>
      </c>
      <c r="I380" s="52" t="n">
        <f aca="false">IF($A380="","",IFERROR(H380/G380,0))</f>
        <v>1.29796712849798</v>
      </c>
      <c r="J380" s="53" t="n">
        <f aca="false">IF($A380="","",F380*C380)</f>
        <v>3762</v>
      </c>
      <c r="K380" s="54" t="n">
        <f aca="false">IF($A380="","",IFERROR(J380/$J$505,0))</f>
        <v>0.000973426401612107</v>
      </c>
      <c r="L380" s="54" t="n">
        <f aca="false">IF($A380="","",IFERROR(SUMIFS($J$5:$J$504,$AB$5:$AB$504,"&lt;="&amp;AB380)/$J$505,0))</f>
        <v>0.905137849031914</v>
      </c>
      <c r="M380" s="55" t="str">
        <f aca="false">IF($A380="","",IF(L380&lt;=Assumptions!$B$7,"A",IF(L380&lt;=Assumptions!$B$8,"B","C")))</f>
        <v>B</v>
      </c>
      <c r="N380" s="55" t="str">
        <f aca="false">IF($A380="","",IF(I380&lt;=Assumptions!$B$9,"X",IF(I380&lt;=Assumptions!$B$10,"Y","Z")))</f>
        <v>Z</v>
      </c>
      <c r="O380" s="56" t="str">
        <f aca="false">IF($A380="","",M380&amp;N380)</f>
        <v>BZ</v>
      </c>
      <c r="P380" s="57" t="n">
        <f aca="false">IF($A380="","",INDEX(Assumptions!$B$35:$B$37,MATCH(M380,Assumptions!$A$35:$A$37,0)))</f>
        <v>0.95</v>
      </c>
      <c r="Q380" s="58" t="n">
        <f aca="false">IF($A380="","",NORMSINV(P380))</f>
        <v>1.64485362695147</v>
      </c>
      <c r="R380" s="48" t="n">
        <f aca="false">IF($A380="","",ROUNDUP(Q380*H380*SQRT(D380),0))</f>
        <v>138</v>
      </c>
      <c r="S380" s="48" t="n">
        <f aca="false">IF($A380="","",ROUNDUP(G380*D380+R380,0))</f>
        <v>267</v>
      </c>
      <c r="T380" s="46" t="n">
        <f aca="false">IF($A380="","",IFERROR(ROUND(SQRT(2*F380*Assumptions!$B$4/(Assumptions!$B$5*C380)),0),0))</f>
        <v>545</v>
      </c>
      <c r="U380" s="53" t="n">
        <f aca="false">IF($A380="","",R380*C380)</f>
        <v>310.5</v>
      </c>
      <c r="V380" s="53" t="n">
        <f aca="false">IF($A380="","",E380*C380)</f>
        <v>290.25</v>
      </c>
      <c r="W380" s="59" t="n">
        <f aca="false">IF($A380="","",IFERROR(E380/G380,0))</f>
        <v>4.01196172248804</v>
      </c>
      <c r="X380" s="48" t="n">
        <f aca="false">IF($A380="","",S380+T380)</f>
        <v>812</v>
      </c>
      <c r="Y380" s="48" t="n">
        <f aca="false">IF($A380="","",MAX(0,E380-X380))</f>
        <v>0</v>
      </c>
      <c r="Z380" s="53" t="n">
        <f aca="false">IF($A380="","",Y380*C380)</f>
        <v>0</v>
      </c>
      <c r="AA380" s="56" t="str">
        <f aca="false">IF($A380="","",IF(E380&lt;=R380,"Below Safety Stock",IF(E380&lt;=S380,"Reorder Now",IF(E380&gt;X380,"Excess","Healthy"))))</f>
        <v>Below Safety Stock</v>
      </c>
      <c r="AB380" s="48" t="n">
        <f aca="false">IF($A380="","",RANK(AF380,$AF$5:$AF$504,0)+COUNTIF($AF$5:AF380,AF380)-1)</f>
        <v>387</v>
      </c>
      <c r="AC380" s="44" t="str">
        <f aca="false">IF($A380="","",Weekly_Demand!B380)</f>
        <v>VINYL RECORD FRAME SILVER</v>
      </c>
      <c r="AD380" s="59" t="n">
        <f aca="false">IF($A380="","",H380*SQRT(D380))</f>
        <v>83.4692707249467</v>
      </c>
      <c r="AE380" s="53" t="n">
        <f aca="false">IF($A380="","",AD380*C380)</f>
        <v>187.80585913113</v>
      </c>
      <c r="AF380" s="53" t="n">
        <f aca="false">IF($A380="","",ROUND(J380,2))</f>
        <v>3762</v>
      </c>
    </row>
    <row r="381" customFormat="false" ht="15" hidden="false" customHeight="false" outlineLevel="0" collapsed="false">
      <c r="A381" s="44" t="str">
        <f aca="false">IF(Weekly_Demand!A381="","",Weekly_Demand!A381)</f>
        <v>23134</v>
      </c>
      <c r="B381" s="44" t="str">
        <f aca="false">IF($A381="","",Weekly_Demand!C381)</f>
        <v>Other</v>
      </c>
      <c r="C381" s="45" t="n">
        <f aca="false">IF($A381="","",Weekly_Demand!D381)</f>
        <v>4.95</v>
      </c>
      <c r="D381" s="46" t="n">
        <f aca="false">IF($A381="","",Weekly_Demand!E381+Assumptions!$B$19)</f>
        <v>6</v>
      </c>
      <c r="E381" s="46" t="n">
        <f aca="false">IF($A381="","",Weekly_Demand!F381)</f>
        <v>41</v>
      </c>
      <c r="F381" s="46" t="n">
        <f aca="false">IF($A381="","",SUM(Weekly_Demand!G381:BF381))</f>
        <v>1065</v>
      </c>
      <c r="G381" s="51" t="n">
        <f aca="false">IF($A381="","",IFERROR(F381/Assumptions!$B$6,0))</f>
        <v>20.4807692307692</v>
      </c>
      <c r="H381" s="51" t="n">
        <f aca="false">IF($A381="","",STDEV(Weekly_Demand!G381:BF381))</f>
        <v>73.3828238664361</v>
      </c>
      <c r="I381" s="52" t="n">
        <f aca="false">IF($A381="","",IFERROR(H381/G381,0))</f>
        <v>3.5830111183612</v>
      </c>
      <c r="J381" s="53" t="n">
        <f aca="false">IF($A381="","",F381*C381)</f>
        <v>5271.75</v>
      </c>
      <c r="K381" s="54" t="n">
        <f aca="false">IF($A381="","",IFERROR(J381/$J$505,0))</f>
        <v>0.0013640777864696</v>
      </c>
      <c r="L381" s="54" t="n">
        <f aca="false">IF($A381="","",IFERROR(SUMIFS($J$5:$J$504,$AB$5:$AB$504,"&lt;="&amp;AB381)/$J$505,0))</f>
        <v>0.751499774125486</v>
      </c>
      <c r="M381" s="55" t="str">
        <f aca="false">IF($A381="","",IF(L381&lt;=Assumptions!$B$7,"A",IF(L381&lt;=Assumptions!$B$8,"B","C")))</f>
        <v>A</v>
      </c>
      <c r="N381" s="55" t="str">
        <f aca="false">IF($A381="","",IF(I381&lt;=Assumptions!$B$9,"X",IF(I381&lt;=Assumptions!$B$10,"Y","Z")))</f>
        <v>Z</v>
      </c>
      <c r="O381" s="56" t="str">
        <f aca="false">IF($A381="","",M381&amp;N381)</f>
        <v>AZ</v>
      </c>
      <c r="P381" s="57" t="n">
        <f aca="false">IF($A381="","",INDEX(Assumptions!$B$35:$B$37,MATCH(M381,Assumptions!$A$35:$A$37,0)))</f>
        <v>0.98</v>
      </c>
      <c r="Q381" s="58" t="n">
        <f aca="false">IF($A381="","",NORMSINV(P381))</f>
        <v>2.05374891063182</v>
      </c>
      <c r="R381" s="48" t="n">
        <f aca="false">IF($A381="","",ROUNDUP(Q381*H381*SQRT(D381),0))</f>
        <v>370</v>
      </c>
      <c r="S381" s="48" t="n">
        <f aca="false">IF($A381="","",ROUNDUP(G381*D381+R381,0))</f>
        <v>493</v>
      </c>
      <c r="T381" s="46" t="n">
        <f aca="false">IF($A381="","",IFERROR(ROUND(SQRT(2*F381*Assumptions!$B$4/(Assumptions!$B$5*C381)),0),0))</f>
        <v>293</v>
      </c>
      <c r="U381" s="53" t="n">
        <f aca="false">IF($A381="","",R381*C381)</f>
        <v>1831.5</v>
      </c>
      <c r="V381" s="53" t="n">
        <f aca="false">IF($A381="","",E381*C381)</f>
        <v>202.95</v>
      </c>
      <c r="W381" s="59" t="n">
        <f aca="false">IF($A381="","",IFERROR(E381/G381,0))</f>
        <v>2.0018779342723</v>
      </c>
      <c r="X381" s="48" t="n">
        <f aca="false">IF($A381="","",S381+T381)</f>
        <v>786</v>
      </c>
      <c r="Y381" s="48" t="n">
        <f aca="false">IF($A381="","",MAX(0,E381-X381))</f>
        <v>0</v>
      </c>
      <c r="Z381" s="53" t="n">
        <f aca="false">IF($A381="","",Y381*C381)</f>
        <v>0</v>
      </c>
      <c r="AA381" s="56" t="str">
        <f aca="false">IF($A381="","",IF(E381&lt;=R381,"Below Safety Stock",IF(E381&lt;=S381,"Reorder Now",IF(E381&gt;X381,"Excess","Healthy"))))</f>
        <v>Below Safety Stock</v>
      </c>
      <c r="AB381" s="48" t="n">
        <f aca="false">IF($A381="","",RANK(AF381,$AF$5:$AF$504,0)+COUNTIF($AF$5:AF381,AF381)-1)</f>
        <v>252</v>
      </c>
      <c r="AC381" s="44" t="str">
        <f aca="false">IF($A381="","",Weekly_Demand!B381)</f>
        <v>LARGE ZINC HEART WALL ORGANISER</v>
      </c>
      <c r="AD381" s="59" t="n">
        <f aca="false">IF($A381="","",H381*SQRT(D381))</f>
        <v>179.7504743573</v>
      </c>
      <c r="AE381" s="53" t="n">
        <f aca="false">IF($A381="","",AD381*C381)</f>
        <v>889.764848068634</v>
      </c>
      <c r="AF381" s="53" t="n">
        <f aca="false">IF($A381="","",ROUND(J381,2))</f>
        <v>5271.75</v>
      </c>
    </row>
    <row r="382" customFormat="false" ht="15" hidden="false" customHeight="false" outlineLevel="0" collapsed="false">
      <c r="A382" s="44" t="str">
        <f aca="false">IF(Weekly_Demand!A382="","",Weekly_Demand!A382)</f>
        <v>22508</v>
      </c>
      <c r="B382" s="44" t="str">
        <f aca="false">IF($A382="","",Weekly_Demand!C382)</f>
        <v>Other</v>
      </c>
      <c r="C382" s="45" t="n">
        <f aca="false">IF($A382="","",Weekly_Demand!D382)</f>
        <v>2.25</v>
      </c>
      <c r="D382" s="46" t="n">
        <f aca="false">IF($A382="","",Weekly_Demand!E382+Assumptions!$B$19)</f>
        <v>2</v>
      </c>
      <c r="E382" s="46" t="n">
        <f aca="false">IF($A382="","",Weekly_Demand!F382)</f>
        <v>393</v>
      </c>
      <c r="F382" s="46" t="n">
        <f aca="false">IF($A382="","",SUM(Weekly_Demand!G382:BF382))</f>
        <v>1572</v>
      </c>
      <c r="G382" s="51" t="n">
        <f aca="false">IF($A382="","",IFERROR(F382/Assumptions!$B$6,0))</f>
        <v>30.2307692307692</v>
      </c>
      <c r="H382" s="51" t="n">
        <f aca="false">IF($A382="","",STDEV(Weekly_Demand!G382:BF382))</f>
        <v>104.495354129697</v>
      </c>
      <c r="I382" s="52" t="n">
        <f aca="false">IF($A382="","",IFERROR(H382/G382,0))</f>
        <v>3.45658932235639</v>
      </c>
      <c r="J382" s="53" t="n">
        <f aca="false">IF($A382="","",F382*C382)</f>
        <v>3537</v>
      </c>
      <c r="K382" s="54" t="n">
        <f aca="false">IF($A382="","",IFERROR(J382/$J$505,0))</f>
        <v>0.000915207119219039</v>
      </c>
      <c r="L382" s="54" t="n">
        <f aca="false">IF($A382="","",IFERROR(SUMIFS($J$5:$J$504,$AB$5:$AB$504,"&lt;="&amp;AB382)/$J$505,0))</f>
        <v>0.924181171370813</v>
      </c>
      <c r="M382" s="55" t="str">
        <f aca="false">IF($A382="","",IF(L382&lt;=Assumptions!$B$7,"A",IF(L382&lt;=Assumptions!$B$8,"B","C")))</f>
        <v>B</v>
      </c>
      <c r="N382" s="55" t="str">
        <f aca="false">IF($A382="","",IF(I382&lt;=Assumptions!$B$9,"X",IF(I382&lt;=Assumptions!$B$10,"Y","Z")))</f>
        <v>Z</v>
      </c>
      <c r="O382" s="56" t="str">
        <f aca="false">IF($A382="","",M382&amp;N382)</f>
        <v>BZ</v>
      </c>
      <c r="P382" s="57" t="n">
        <f aca="false">IF($A382="","",INDEX(Assumptions!$B$35:$B$37,MATCH(M382,Assumptions!$A$35:$A$37,0)))</f>
        <v>0.95</v>
      </c>
      <c r="Q382" s="58" t="n">
        <f aca="false">IF($A382="","",NORMSINV(P382))</f>
        <v>1.64485362695147</v>
      </c>
      <c r="R382" s="48" t="n">
        <f aca="false">IF($A382="","",ROUNDUP(Q382*H382*SQRT(D382),0))</f>
        <v>244</v>
      </c>
      <c r="S382" s="48" t="n">
        <f aca="false">IF($A382="","",ROUNDUP(G382*D382+R382,0))</f>
        <v>305</v>
      </c>
      <c r="T382" s="46" t="n">
        <f aca="false">IF($A382="","",IFERROR(ROUND(SQRT(2*F382*Assumptions!$B$4/(Assumptions!$B$5*C382)),0),0))</f>
        <v>529</v>
      </c>
      <c r="U382" s="53" t="n">
        <f aca="false">IF($A382="","",R382*C382)</f>
        <v>549</v>
      </c>
      <c r="V382" s="53" t="n">
        <f aca="false">IF($A382="","",E382*C382)</f>
        <v>884.25</v>
      </c>
      <c r="W382" s="59" t="n">
        <f aca="false">IF($A382="","",IFERROR(E382/G382,0))</f>
        <v>13</v>
      </c>
      <c r="X382" s="48" t="n">
        <f aca="false">IF($A382="","",S382+T382)</f>
        <v>834</v>
      </c>
      <c r="Y382" s="48" t="n">
        <f aca="false">IF($A382="","",MAX(0,E382-X382))</f>
        <v>0</v>
      </c>
      <c r="Z382" s="53" t="n">
        <f aca="false">IF($A382="","",Y382*C382)</f>
        <v>0</v>
      </c>
      <c r="AA382" s="56" t="str">
        <f aca="false">IF($A382="","",IF(E382&lt;=R382,"Below Safety Stock",IF(E382&lt;=S382,"Reorder Now",IF(E382&gt;X382,"Excess","Healthy"))))</f>
        <v>Healthy</v>
      </c>
      <c r="AB382" s="48" t="n">
        <f aca="false">IF($A382="","",RANK(AF382,$AF$5:$AF$504,0)+COUNTIF($AF$5:AF382,AF382)-1)</f>
        <v>407</v>
      </c>
      <c r="AC382" s="44" t="str">
        <f aca="false">IF($A382="","",Weekly_Demand!B382)</f>
        <v>DOORSTOP RETROSPOT HEART</v>
      </c>
      <c r="AD382" s="59" t="n">
        <f aca="false">IF($A382="","",H382*SQRT(D382))</f>
        <v>147.778747015197</v>
      </c>
      <c r="AE382" s="53" t="n">
        <f aca="false">IF($A382="","",AD382*C382)</f>
        <v>332.502180784193</v>
      </c>
      <c r="AF382" s="53" t="n">
        <f aca="false">IF($A382="","",ROUND(J382,2))</f>
        <v>3537</v>
      </c>
    </row>
    <row r="383" customFormat="false" ht="15" hidden="false" customHeight="false" outlineLevel="0" collapsed="false">
      <c r="A383" s="44" t="str">
        <f aca="false">IF(Weekly_Demand!A383="","",Weekly_Demand!A383)</f>
        <v>23109</v>
      </c>
      <c r="B383" s="44" t="str">
        <f aca="false">IF($A383="","",Weekly_Demand!C383)</f>
        <v>Lighting</v>
      </c>
      <c r="C383" s="45" t="n">
        <f aca="false">IF($A383="","",Weekly_Demand!D383)</f>
        <v>1.734</v>
      </c>
      <c r="D383" s="46" t="n">
        <f aca="false">IF($A383="","",Weekly_Demand!E383+Assumptions!$B$19)</f>
        <v>4</v>
      </c>
      <c r="E383" s="46" t="n">
        <f aca="false">IF($A383="","",Weekly_Demand!F383)</f>
        <v>1413</v>
      </c>
      <c r="F383" s="46" t="n">
        <f aca="false">IF($A383="","",SUM(Weekly_Demand!G383:BF383))</f>
        <v>2227</v>
      </c>
      <c r="G383" s="51" t="n">
        <f aca="false">IF($A383="","",IFERROR(F383/Assumptions!$B$6,0))</f>
        <v>42.8269230769231</v>
      </c>
      <c r="H383" s="51" t="n">
        <f aca="false">IF($A383="","",STDEV(Weekly_Demand!G383:BF383))</f>
        <v>56.40634130456</v>
      </c>
      <c r="I383" s="52" t="n">
        <f aca="false">IF($A383="","",IFERROR(H383/G383,0))</f>
        <v>1.31707667168259</v>
      </c>
      <c r="J383" s="53" t="n">
        <f aca="false">IF($A383="","",F383*C383)</f>
        <v>3861.618</v>
      </c>
      <c r="K383" s="54" t="n">
        <f aca="false">IF($A383="","",IFERROR(J383/$J$505,0))</f>
        <v>0.000999202794827364</v>
      </c>
      <c r="L383" s="54" t="n">
        <f aca="false">IF($A383="","",IFERROR(SUMIFS($J$5:$J$504,$AB$5:$AB$504,"&lt;="&amp;AB383)/$J$505,0))</f>
        <v>0.894270934310636</v>
      </c>
      <c r="M383" s="55" t="str">
        <f aca="false">IF($A383="","",IF(L383&lt;=Assumptions!$B$7,"A",IF(L383&lt;=Assumptions!$B$8,"B","C")))</f>
        <v>B</v>
      </c>
      <c r="N383" s="55" t="str">
        <f aca="false">IF($A383="","",IF(I383&lt;=Assumptions!$B$9,"X",IF(I383&lt;=Assumptions!$B$10,"Y","Z")))</f>
        <v>Z</v>
      </c>
      <c r="O383" s="56" t="str">
        <f aca="false">IF($A383="","",M383&amp;N383)</f>
        <v>BZ</v>
      </c>
      <c r="P383" s="57" t="n">
        <f aca="false">IF($A383="","",INDEX(Assumptions!$B$35:$B$37,MATCH(M383,Assumptions!$A$35:$A$37,0)))</f>
        <v>0.95</v>
      </c>
      <c r="Q383" s="58" t="n">
        <f aca="false">IF($A383="","",NORMSINV(P383))</f>
        <v>1.64485362695147</v>
      </c>
      <c r="R383" s="48" t="n">
        <f aca="false">IF($A383="","",ROUNDUP(Q383*H383*SQRT(D383),0))</f>
        <v>186</v>
      </c>
      <c r="S383" s="48" t="n">
        <f aca="false">IF($A383="","",ROUNDUP(G383*D383+R383,0))</f>
        <v>358</v>
      </c>
      <c r="T383" s="46" t="n">
        <f aca="false">IF($A383="","",IFERROR(ROUND(SQRT(2*F383*Assumptions!$B$4/(Assumptions!$B$5*C383)),0),0))</f>
        <v>717</v>
      </c>
      <c r="U383" s="53" t="n">
        <f aca="false">IF($A383="","",R383*C383)</f>
        <v>322.524</v>
      </c>
      <c r="V383" s="53" t="n">
        <f aca="false">IF($A383="","",E383*C383)</f>
        <v>2450.142</v>
      </c>
      <c r="W383" s="59" t="n">
        <f aca="false">IF($A383="","",IFERROR(E383/G383,0))</f>
        <v>32.9932644813651</v>
      </c>
      <c r="X383" s="48" t="n">
        <f aca="false">IF($A383="","",S383+T383)</f>
        <v>1075</v>
      </c>
      <c r="Y383" s="48" t="n">
        <f aca="false">IF($A383="","",MAX(0,E383-X383))</f>
        <v>338</v>
      </c>
      <c r="Z383" s="53" t="n">
        <f aca="false">IF($A383="","",Y383*C383)</f>
        <v>586.092</v>
      </c>
      <c r="AA383" s="56" t="str">
        <f aca="false">IF($A383="","",IF(E383&lt;=R383,"Below Safety Stock",IF(E383&lt;=S383,"Reorder Now",IF(E383&gt;X383,"Excess","Healthy"))))</f>
        <v>Excess</v>
      </c>
      <c r="AB383" s="48" t="n">
        <f aca="false">IF($A383="","",RANK(AF383,$AF$5:$AF$504,0)+COUNTIF($AF$5:AF383,AF383)-1)</f>
        <v>376</v>
      </c>
      <c r="AC383" s="44" t="str">
        <f aca="false">IF($A383="","",Weekly_Demand!B383)</f>
        <v>PACK OF SIX LED TEA LIGHTS</v>
      </c>
      <c r="AD383" s="59" t="n">
        <f aca="false">IF($A383="","",H383*SQRT(D383))</f>
        <v>112.81268260912</v>
      </c>
      <c r="AE383" s="53" t="n">
        <f aca="false">IF($A383="","",AD383*C383)</f>
        <v>195.617191644214</v>
      </c>
      <c r="AF383" s="53" t="n">
        <f aca="false">IF($A383="","",ROUND(J383,2))</f>
        <v>3861.62</v>
      </c>
    </row>
    <row r="384" customFormat="false" ht="15" hidden="false" customHeight="false" outlineLevel="0" collapsed="false">
      <c r="A384" s="44" t="str">
        <f aca="false">IF(Weekly_Demand!A384="","",Weekly_Demand!A384)</f>
        <v>21871</v>
      </c>
      <c r="B384" s="44" t="str">
        <f aca="false">IF($A384="","",Weekly_Demand!C384)</f>
        <v>Kitchen</v>
      </c>
      <c r="C384" s="45" t="n">
        <f aca="false">IF($A384="","",Weekly_Demand!D384)</f>
        <v>0.75</v>
      </c>
      <c r="D384" s="46" t="n">
        <f aca="false">IF($A384="","",Weekly_Demand!E384+Assumptions!$B$19)</f>
        <v>8</v>
      </c>
      <c r="E384" s="46" t="n">
        <f aca="false">IF($A384="","",Weekly_Demand!F384)</f>
        <v>2731</v>
      </c>
      <c r="F384" s="46" t="n">
        <f aca="false">IF($A384="","",SUM(Weekly_Demand!G384:BF384))</f>
        <v>5260</v>
      </c>
      <c r="G384" s="51" t="n">
        <f aca="false">IF($A384="","",IFERROR(F384/Assumptions!$B$6,0))</f>
        <v>101.153846153846</v>
      </c>
      <c r="H384" s="51" t="n">
        <f aca="false">IF($A384="","",STDEV(Weekly_Demand!G384:BF384))</f>
        <v>166.146213025046</v>
      </c>
      <c r="I384" s="52" t="n">
        <f aca="false">IF($A384="","",IFERROR(H384/G384,0))</f>
        <v>1.6425100907419</v>
      </c>
      <c r="J384" s="53" t="n">
        <f aca="false">IF($A384="","",F384*C384)</f>
        <v>3945</v>
      </c>
      <c r="K384" s="54" t="n">
        <f aca="false">IF($A384="","",IFERROR(J384/$J$505,0))</f>
        <v>0.00102077808462514</v>
      </c>
      <c r="L384" s="54" t="n">
        <f aca="false">IF($A384="","",IFERROR(SUMIFS($J$5:$J$504,$AB$5:$AB$504,"&lt;="&amp;AB384)/$J$505,0))</f>
        <v>0.885188900138907</v>
      </c>
      <c r="M384" s="55" t="str">
        <f aca="false">IF($A384="","",IF(L384&lt;=Assumptions!$B$7,"A",IF(L384&lt;=Assumptions!$B$8,"B","C")))</f>
        <v>B</v>
      </c>
      <c r="N384" s="55" t="str">
        <f aca="false">IF($A384="","",IF(I384&lt;=Assumptions!$B$9,"X",IF(I384&lt;=Assumptions!$B$10,"Y","Z")))</f>
        <v>Z</v>
      </c>
      <c r="O384" s="56" t="str">
        <f aca="false">IF($A384="","",M384&amp;N384)</f>
        <v>BZ</v>
      </c>
      <c r="P384" s="57" t="n">
        <f aca="false">IF($A384="","",INDEX(Assumptions!$B$35:$B$37,MATCH(M384,Assumptions!$A$35:$A$37,0)))</f>
        <v>0.95</v>
      </c>
      <c r="Q384" s="58" t="n">
        <f aca="false">IF($A384="","",NORMSINV(P384))</f>
        <v>1.64485362695147</v>
      </c>
      <c r="R384" s="48" t="n">
        <f aca="false">IF($A384="","",ROUNDUP(Q384*H384*SQRT(D384),0))</f>
        <v>773</v>
      </c>
      <c r="S384" s="48" t="n">
        <f aca="false">IF($A384="","",ROUNDUP(G384*D384+R384,0))</f>
        <v>1583</v>
      </c>
      <c r="T384" s="46" t="n">
        <f aca="false">IF($A384="","",IFERROR(ROUND(SQRT(2*F384*Assumptions!$B$4/(Assumptions!$B$5*C384)),0),0))</f>
        <v>1675</v>
      </c>
      <c r="U384" s="53" t="n">
        <f aca="false">IF($A384="","",R384*C384)</f>
        <v>579.75</v>
      </c>
      <c r="V384" s="53" t="n">
        <f aca="false">IF($A384="","",E384*C384)</f>
        <v>2048.25</v>
      </c>
      <c r="W384" s="59" t="n">
        <f aca="false">IF($A384="","",IFERROR(E384/G384,0))</f>
        <v>26.9984790874525</v>
      </c>
      <c r="X384" s="48" t="n">
        <f aca="false">IF($A384="","",S384+T384)</f>
        <v>3258</v>
      </c>
      <c r="Y384" s="48" t="n">
        <f aca="false">IF($A384="","",MAX(0,E384-X384))</f>
        <v>0</v>
      </c>
      <c r="Z384" s="53" t="n">
        <f aca="false">IF($A384="","",Y384*C384)</f>
        <v>0</v>
      </c>
      <c r="AA384" s="56" t="str">
        <f aca="false">IF($A384="","",IF(E384&lt;=R384,"Below Safety Stock",IF(E384&lt;=S384,"Reorder Now",IF(E384&gt;X384,"Excess","Healthy"))))</f>
        <v>Healthy</v>
      </c>
      <c r="AB384" s="48" t="n">
        <f aca="false">IF($A384="","",RANK(AF384,$AF$5:$AF$504,0)+COUNTIF($AF$5:AF384,AF384)-1)</f>
        <v>367</v>
      </c>
      <c r="AC384" s="44" t="str">
        <f aca="false">IF($A384="","",Weekly_Demand!B384)</f>
        <v>SAVE THE PLANET MUG</v>
      </c>
      <c r="AD384" s="59" t="n">
        <f aca="false">IF($A384="","",H384*SQRT(D384))</f>
        <v>469.9324555939</v>
      </c>
      <c r="AE384" s="53" t="n">
        <f aca="false">IF($A384="","",AD384*C384)</f>
        <v>352.449341695425</v>
      </c>
      <c r="AF384" s="53" t="n">
        <f aca="false">IF($A384="","",ROUND(J384,2))</f>
        <v>3945</v>
      </c>
    </row>
    <row r="385" customFormat="false" ht="15" hidden="false" customHeight="false" outlineLevel="0" collapsed="false">
      <c r="A385" s="44" t="str">
        <f aca="false">IF(Weekly_Demand!A385="","",Weekly_Demand!A385)</f>
        <v>47591D</v>
      </c>
      <c r="B385" s="44" t="str">
        <f aca="false">IF($A385="","",Weekly_Demand!C385)</f>
        <v>Kitchen</v>
      </c>
      <c r="C385" s="45" t="n">
        <f aca="false">IF($A385="","",Weekly_Demand!D385)</f>
        <v>1.17</v>
      </c>
      <c r="D385" s="46" t="n">
        <f aca="false">IF($A385="","",Weekly_Demand!E385+Assumptions!$B$19)</f>
        <v>8</v>
      </c>
      <c r="E385" s="46" t="n">
        <f aca="false">IF($A385="","",Weekly_Demand!F385)</f>
        <v>367</v>
      </c>
      <c r="F385" s="46" t="n">
        <f aca="false">IF($A385="","",SUM(Weekly_Demand!G385:BF385))</f>
        <v>3181</v>
      </c>
      <c r="G385" s="51" t="n">
        <f aca="false">IF($A385="","",IFERROR(F385/Assumptions!$B$6,0))</f>
        <v>61.1730769230769</v>
      </c>
      <c r="H385" s="51" t="n">
        <f aca="false">IF($A385="","",STDEV(Weekly_Demand!G385:BF385))</f>
        <v>54.5526265624004</v>
      </c>
      <c r="I385" s="52" t="n">
        <f aca="false">IF($A385="","",IFERROR(H385/G385,0))</f>
        <v>0.891775096273128</v>
      </c>
      <c r="J385" s="53" t="n">
        <f aca="false">IF($A385="","",F385*C385)</f>
        <v>3721.77</v>
      </c>
      <c r="K385" s="54" t="n">
        <f aca="false">IF($A385="","",IFERROR(J385/$J$505,0))</f>
        <v>0.000963016793920227</v>
      </c>
      <c r="L385" s="54" t="n">
        <f aca="false">IF($A385="","",IFERROR(SUMIFS($J$5:$J$504,$AB$5:$AB$504,"&lt;="&amp;AB385)/$J$505,0))</f>
        <v>0.909977883457178</v>
      </c>
      <c r="M385" s="55" t="str">
        <f aca="false">IF($A385="","",IF(L385&lt;=Assumptions!$B$7,"A",IF(L385&lt;=Assumptions!$B$8,"B","C")))</f>
        <v>B</v>
      </c>
      <c r="N385" s="55" t="str">
        <f aca="false">IF($A385="","",IF(I385&lt;=Assumptions!$B$9,"X",IF(I385&lt;=Assumptions!$B$10,"Y","Z")))</f>
        <v>Y</v>
      </c>
      <c r="O385" s="56" t="str">
        <f aca="false">IF($A385="","",M385&amp;N385)</f>
        <v>BY</v>
      </c>
      <c r="P385" s="57" t="n">
        <f aca="false">IF($A385="","",INDEX(Assumptions!$B$35:$B$37,MATCH(M385,Assumptions!$A$35:$A$37,0)))</f>
        <v>0.95</v>
      </c>
      <c r="Q385" s="58" t="n">
        <f aca="false">IF($A385="","",NORMSINV(P385))</f>
        <v>1.64485362695147</v>
      </c>
      <c r="R385" s="48" t="n">
        <f aca="false">IF($A385="","",ROUNDUP(Q385*H385*SQRT(D385),0))</f>
        <v>254</v>
      </c>
      <c r="S385" s="48" t="n">
        <f aca="false">IF($A385="","",ROUNDUP(G385*D385+R385,0))</f>
        <v>744</v>
      </c>
      <c r="T385" s="46" t="n">
        <f aca="false">IF($A385="","",IFERROR(ROUND(SQRT(2*F385*Assumptions!$B$4/(Assumptions!$B$5*C385)),0),0))</f>
        <v>1043</v>
      </c>
      <c r="U385" s="53" t="n">
        <f aca="false">IF($A385="","",R385*C385)</f>
        <v>297.18</v>
      </c>
      <c r="V385" s="53" t="n">
        <f aca="false">IF($A385="","",E385*C385)</f>
        <v>429.39</v>
      </c>
      <c r="W385" s="59" t="n">
        <f aca="false">IF($A385="","",IFERROR(E385/G385,0))</f>
        <v>5.9993712668972</v>
      </c>
      <c r="X385" s="48" t="n">
        <f aca="false">IF($A385="","",S385+T385)</f>
        <v>1787</v>
      </c>
      <c r="Y385" s="48" t="n">
        <f aca="false">IF($A385="","",MAX(0,E385-X385))</f>
        <v>0</v>
      </c>
      <c r="Z385" s="53" t="n">
        <f aca="false">IF($A385="","",Y385*C385)</f>
        <v>0</v>
      </c>
      <c r="AA385" s="56" t="str">
        <f aca="false">IF($A385="","",IF(E385&lt;=R385,"Below Safety Stock",IF(E385&lt;=S385,"Reorder Now",IF(E385&gt;X385,"Excess","Healthy"))))</f>
        <v>Reorder Now</v>
      </c>
      <c r="AB385" s="48" t="n">
        <f aca="false">IF($A385="","",RANK(AF385,$AF$5:$AF$504,0)+COUNTIF($AF$5:AF385,AF385)-1)</f>
        <v>392</v>
      </c>
      <c r="AC385" s="44" t="str">
        <f aca="false">IF($A385="","",Weekly_Demand!B385)</f>
        <v>PINK FAIRY CAKE CHILDRENS APRON</v>
      </c>
      <c r="AD385" s="59" t="n">
        <f aca="false">IF($A385="","",H385*SQRT(D385))</f>
        <v>154.298128695243</v>
      </c>
      <c r="AE385" s="53" t="n">
        <f aca="false">IF($A385="","",AD385*C385)</f>
        <v>180.528810573434</v>
      </c>
      <c r="AF385" s="53" t="n">
        <f aca="false">IF($A385="","",ROUND(J385,2))</f>
        <v>3721.77</v>
      </c>
    </row>
    <row r="386" customFormat="false" ht="15" hidden="false" customHeight="false" outlineLevel="0" collapsed="false">
      <c r="A386" s="44" t="str">
        <f aca="false">IF(Weekly_Demand!A386="","",Weekly_Demand!A386)</f>
        <v>84992</v>
      </c>
      <c r="B386" s="44" t="str">
        <f aca="false">IF($A386="","",Weekly_Demand!C386)</f>
        <v>Kitchen</v>
      </c>
      <c r="C386" s="45" t="n">
        <f aca="false">IF($A386="","",Weekly_Demand!D386)</f>
        <v>0.33</v>
      </c>
      <c r="D386" s="46" t="n">
        <f aca="false">IF($A386="","",Weekly_Demand!E386+Assumptions!$B$19)</f>
        <v>2</v>
      </c>
      <c r="E386" s="46" t="n">
        <f aca="false">IF($A386="","",Weekly_Demand!F386)</f>
        <v>2503</v>
      </c>
      <c r="F386" s="46" t="n">
        <f aca="false">IF($A386="","",SUM(Weekly_Demand!G386:BF386))</f>
        <v>13017</v>
      </c>
      <c r="G386" s="51" t="n">
        <f aca="false">IF($A386="","",IFERROR(F386/Assumptions!$B$6,0))</f>
        <v>250.326923076923</v>
      </c>
      <c r="H386" s="51" t="n">
        <f aca="false">IF($A386="","",STDEV(Weekly_Demand!G386:BF386))</f>
        <v>246.479504072046</v>
      </c>
      <c r="I386" s="52" t="n">
        <f aca="false">IF($A386="","",IFERROR(H386/G386,0))</f>
        <v>0.984630422658554</v>
      </c>
      <c r="J386" s="53" t="n">
        <f aca="false">IF($A386="","",F386*C386)</f>
        <v>4295.61</v>
      </c>
      <c r="K386" s="54" t="n">
        <f aca="false">IF($A386="","",IFERROR(J386/$J$505,0))</f>
        <v>0.00111149925173551</v>
      </c>
      <c r="L386" s="54" t="n">
        <f aca="false">IF($A386="","",IFERROR(SUMIFS($J$5:$J$504,$AB$5:$AB$504,"&lt;="&amp;AB386)/$J$505,0))</f>
        <v>0.840163141110563</v>
      </c>
      <c r="M386" s="55" t="str">
        <f aca="false">IF($A386="","",IF(L386&lt;=Assumptions!$B$7,"A",IF(L386&lt;=Assumptions!$B$8,"B","C")))</f>
        <v>B</v>
      </c>
      <c r="N386" s="55" t="str">
        <f aca="false">IF($A386="","",IF(I386&lt;=Assumptions!$B$9,"X",IF(I386&lt;=Assumptions!$B$10,"Y","Z")))</f>
        <v>Y</v>
      </c>
      <c r="O386" s="56" t="str">
        <f aca="false">IF($A386="","",M386&amp;N386)</f>
        <v>BY</v>
      </c>
      <c r="P386" s="57" t="n">
        <f aca="false">IF($A386="","",INDEX(Assumptions!$B$35:$B$37,MATCH(M386,Assumptions!$A$35:$A$37,0)))</f>
        <v>0.95</v>
      </c>
      <c r="Q386" s="58" t="n">
        <f aca="false">IF($A386="","",NORMSINV(P386))</f>
        <v>1.64485362695147</v>
      </c>
      <c r="R386" s="48" t="n">
        <f aca="false">IF($A386="","",ROUNDUP(Q386*H386*SQRT(D386),0))</f>
        <v>574</v>
      </c>
      <c r="S386" s="48" t="n">
        <f aca="false">IF($A386="","",ROUNDUP(G386*D386+R386,0))</f>
        <v>1075</v>
      </c>
      <c r="T386" s="46" t="n">
        <f aca="false">IF($A386="","",IFERROR(ROUND(SQRT(2*F386*Assumptions!$B$4/(Assumptions!$B$5*C386)),0),0))</f>
        <v>3972</v>
      </c>
      <c r="U386" s="53" t="n">
        <f aca="false">IF($A386="","",R386*C386)</f>
        <v>189.42</v>
      </c>
      <c r="V386" s="53" t="n">
        <f aca="false">IF($A386="","",E386*C386)</f>
        <v>825.99</v>
      </c>
      <c r="W386" s="59" t="n">
        <f aca="false">IF($A386="","",IFERROR(E386/G386,0))</f>
        <v>9.99892448336791</v>
      </c>
      <c r="X386" s="48" t="n">
        <f aca="false">IF($A386="","",S386+T386)</f>
        <v>5047</v>
      </c>
      <c r="Y386" s="48" t="n">
        <f aca="false">IF($A386="","",MAX(0,E386-X386))</f>
        <v>0</v>
      </c>
      <c r="Z386" s="53" t="n">
        <f aca="false">IF($A386="","",Y386*C386)</f>
        <v>0</v>
      </c>
      <c r="AA386" s="56" t="str">
        <f aca="false">IF($A386="","",IF(E386&lt;=R386,"Below Safety Stock",IF(E386&lt;=S386,"Reorder Now",IF(E386&gt;X386,"Excess","Healthy"))))</f>
        <v>Healthy</v>
      </c>
      <c r="AB386" s="48" t="n">
        <f aca="false">IF($A386="","",RANK(AF386,$AF$5:$AF$504,0)+COUNTIF($AF$5:AF386,AF386)-1)</f>
        <v>325</v>
      </c>
      <c r="AC386" s="44" t="str">
        <f aca="false">IF($A386="","",Weekly_Demand!B386)</f>
        <v>72 SWEETHEART FAIRY CAKE CASES</v>
      </c>
      <c r="AD386" s="59" t="n">
        <f aca="false">IF($A386="","",H386*SQRT(D386))</f>
        <v>348.574657505682</v>
      </c>
      <c r="AE386" s="53" t="n">
        <f aca="false">IF($A386="","",AD386*C386)</f>
        <v>115.029636976875</v>
      </c>
      <c r="AF386" s="53" t="n">
        <f aca="false">IF($A386="","",ROUND(J386,2))</f>
        <v>4295.61</v>
      </c>
    </row>
    <row r="387" customFormat="false" ht="15" hidden="false" customHeight="false" outlineLevel="0" collapsed="false">
      <c r="A387" s="44" t="str">
        <f aca="false">IF(Weekly_Demand!A387="","",Weekly_Demand!A387)</f>
        <v>22979</v>
      </c>
      <c r="B387" s="44" t="str">
        <f aca="false">IF($A387="","",Weekly_Demand!C387)</f>
        <v>Other</v>
      </c>
      <c r="C387" s="45" t="n">
        <f aca="false">IF($A387="","",Weekly_Demand!D387)</f>
        <v>0.87</v>
      </c>
      <c r="D387" s="46" t="n">
        <f aca="false">IF($A387="","",Weekly_Demand!E387+Assumptions!$B$19)</f>
        <v>8</v>
      </c>
      <c r="E387" s="46" t="n">
        <f aca="false">IF($A387="","",Weekly_Demand!F387)</f>
        <v>3890</v>
      </c>
      <c r="F387" s="46" t="n">
        <f aca="false">IF($A387="","",SUM(Weekly_Demand!G387:BF387))</f>
        <v>4046</v>
      </c>
      <c r="G387" s="51" t="n">
        <f aca="false">IF($A387="","",IFERROR(F387/Assumptions!$B$6,0))</f>
        <v>77.8076923076923</v>
      </c>
      <c r="H387" s="51" t="n">
        <f aca="false">IF($A387="","",STDEV(Weekly_Demand!G387:BF387))</f>
        <v>115.702125738694</v>
      </c>
      <c r="I387" s="52" t="n">
        <f aca="false">IF($A387="","",IFERROR(H387/G387,0))</f>
        <v>1.48702682610284</v>
      </c>
      <c r="J387" s="53" t="n">
        <f aca="false">IF($A387="","",F387*C387)</f>
        <v>3520.02</v>
      </c>
      <c r="K387" s="54" t="n">
        <f aca="false">IF($A387="","",IFERROR(J387/$J$505,0))</f>
        <v>0.000910813504041108</v>
      </c>
      <c r="L387" s="54" t="n">
        <f aca="false">IF($A387="","",IFERROR(SUMIFS($J$5:$J$504,$AB$5:$AB$504,"&lt;="&amp;AB387)/$J$505,0))</f>
        <v>0.925091984874854</v>
      </c>
      <c r="M387" s="55" t="str">
        <f aca="false">IF($A387="","",IF(L387&lt;=Assumptions!$B$7,"A",IF(L387&lt;=Assumptions!$B$8,"B","C")))</f>
        <v>B</v>
      </c>
      <c r="N387" s="55" t="str">
        <f aca="false">IF($A387="","",IF(I387&lt;=Assumptions!$B$9,"X",IF(I387&lt;=Assumptions!$B$10,"Y","Z")))</f>
        <v>Z</v>
      </c>
      <c r="O387" s="56" t="str">
        <f aca="false">IF($A387="","",M387&amp;N387)</f>
        <v>BZ</v>
      </c>
      <c r="P387" s="57" t="n">
        <f aca="false">IF($A387="","",INDEX(Assumptions!$B$35:$B$37,MATCH(M387,Assumptions!$A$35:$A$37,0)))</f>
        <v>0.95</v>
      </c>
      <c r="Q387" s="58" t="n">
        <f aca="false">IF($A387="","",NORMSINV(P387))</f>
        <v>1.64485362695147</v>
      </c>
      <c r="R387" s="48" t="n">
        <f aca="false">IF($A387="","",ROUNDUP(Q387*H387*SQRT(D387),0))</f>
        <v>539</v>
      </c>
      <c r="S387" s="48" t="n">
        <f aca="false">IF($A387="","",ROUNDUP(G387*D387+R387,0))</f>
        <v>1162</v>
      </c>
      <c r="T387" s="46" t="n">
        <f aca="false">IF($A387="","",IFERROR(ROUND(SQRT(2*F387*Assumptions!$B$4/(Assumptions!$B$5*C387)),0),0))</f>
        <v>1364</v>
      </c>
      <c r="U387" s="53" t="n">
        <f aca="false">IF($A387="","",R387*C387)</f>
        <v>468.93</v>
      </c>
      <c r="V387" s="53" t="n">
        <f aca="false">IF($A387="","",E387*C387)</f>
        <v>3384.3</v>
      </c>
      <c r="W387" s="59" t="n">
        <f aca="false">IF($A387="","",IFERROR(E387/G387,0))</f>
        <v>49.9950568462679</v>
      </c>
      <c r="X387" s="48" t="n">
        <f aca="false">IF($A387="","",S387+T387)</f>
        <v>2526</v>
      </c>
      <c r="Y387" s="48" t="n">
        <f aca="false">IF($A387="","",MAX(0,E387-X387))</f>
        <v>1364</v>
      </c>
      <c r="Z387" s="53" t="n">
        <f aca="false">IF($A387="","",Y387*C387)</f>
        <v>1186.68</v>
      </c>
      <c r="AA387" s="56" t="str">
        <f aca="false">IF($A387="","",IF(E387&lt;=R387,"Below Safety Stock",IF(E387&lt;=S387,"Reorder Now",IF(E387&gt;X387,"Excess","Healthy"))))</f>
        <v>Excess</v>
      </c>
      <c r="AB387" s="48" t="n">
        <f aca="false">IF($A387="","",RANK(AF387,$AF$5:$AF$504,0)+COUNTIF($AF$5:AF387,AF387)-1)</f>
        <v>408</v>
      </c>
      <c r="AC387" s="44" t="str">
        <f aca="false">IF($A387="","",Weekly_Demand!B387)</f>
        <v>PANTRY WASHING UP BRUSH</v>
      </c>
      <c r="AD387" s="59" t="n">
        <f aca="false">IF($A387="","",H387*SQRT(D387))</f>
        <v>327.255030830116</v>
      </c>
      <c r="AE387" s="53" t="n">
        <f aca="false">IF($A387="","",AD387*C387)</f>
        <v>284.711876822201</v>
      </c>
      <c r="AF387" s="53" t="n">
        <f aca="false">IF($A387="","",ROUND(J387,2))</f>
        <v>3520.02</v>
      </c>
    </row>
    <row r="388" customFormat="false" ht="15" hidden="false" customHeight="false" outlineLevel="0" collapsed="false">
      <c r="A388" s="44" t="str">
        <f aca="false">IF(Weekly_Demand!A388="","",Weekly_Demand!A388)</f>
        <v>21380</v>
      </c>
      <c r="B388" s="44" t="str">
        <f aca="false">IF($A388="","",Weekly_Demand!C388)</f>
        <v>Other</v>
      </c>
      <c r="C388" s="45" t="n">
        <f aca="false">IF($A388="","",Weekly_Demand!D388)</f>
        <v>1.77</v>
      </c>
      <c r="D388" s="46" t="n">
        <f aca="false">IF($A388="","",Weekly_Demand!E388+Assumptions!$B$19)</f>
        <v>2</v>
      </c>
      <c r="E388" s="46" t="n">
        <f aca="false">IF($A388="","",Weekly_Demand!F388)</f>
        <v>166</v>
      </c>
      <c r="F388" s="46" t="n">
        <f aca="false">IF($A388="","",SUM(Weekly_Demand!G388:BF388))</f>
        <v>2160</v>
      </c>
      <c r="G388" s="51" t="n">
        <f aca="false">IF($A388="","",IFERROR(F388/Assumptions!$B$6,0))</f>
        <v>41.5384615384615</v>
      </c>
      <c r="H388" s="51" t="n">
        <f aca="false">IF($A388="","",STDEV(Weekly_Demand!G388:BF388))</f>
        <v>48.0928275352139</v>
      </c>
      <c r="I388" s="52" t="n">
        <f aca="false">IF($A388="","",IFERROR(H388/G388,0))</f>
        <v>1.15779029251441</v>
      </c>
      <c r="J388" s="53" t="n">
        <f aca="false">IF($A388="","",F388*C388)</f>
        <v>3823.2</v>
      </c>
      <c r="K388" s="54" t="n">
        <f aca="false">IF($A388="","",IFERROR(J388/$J$505,0))</f>
        <v>0.000989262046423022</v>
      </c>
      <c r="L388" s="54" t="n">
        <f aca="false">IF($A388="","",IFERROR(SUMIFS($J$5:$J$504,$AB$5:$AB$504,"&lt;="&amp;AB388)/$J$505,0))</f>
        <v>0.899244427513829</v>
      </c>
      <c r="M388" s="55" t="str">
        <f aca="false">IF($A388="","",IF(L388&lt;=Assumptions!$B$7,"A",IF(L388&lt;=Assumptions!$B$8,"B","C")))</f>
        <v>B</v>
      </c>
      <c r="N388" s="55" t="str">
        <f aca="false">IF($A388="","",IF(I388&lt;=Assumptions!$B$9,"X",IF(I388&lt;=Assumptions!$B$10,"Y","Z")))</f>
        <v>Z</v>
      </c>
      <c r="O388" s="56" t="str">
        <f aca="false">IF($A388="","",M388&amp;N388)</f>
        <v>BZ</v>
      </c>
      <c r="P388" s="57" t="n">
        <f aca="false">IF($A388="","",INDEX(Assumptions!$B$35:$B$37,MATCH(M388,Assumptions!$A$35:$A$37,0)))</f>
        <v>0.95</v>
      </c>
      <c r="Q388" s="58" t="n">
        <f aca="false">IF($A388="","",NORMSINV(P388))</f>
        <v>1.64485362695147</v>
      </c>
      <c r="R388" s="48" t="n">
        <f aca="false">IF($A388="","",ROUNDUP(Q388*H388*SQRT(D388),0))</f>
        <v>112</v>
      </c>
      <c r="S388" s="48" t="n">
        <f aca="false">IF($A388="","",ROUNDUP(G388*D388+R388,0))</f>
        <v>196</v>
      </c>
      <c r="T388" s="46" t="n">
        <f aca="false">IF($A388="","",IFERROR(ROUND(SQRT(2*F388*Assumptions!$B$4/(Assumptions!$B$5*C388)),0),0))</f>
        <v>699</v>
      </c>
      <c r="U388" s="53" t="n">
        <f aca="false">IF($A388="","",R388*C388)</f>
        <v>198.24</v>
      </c>
      <c r="V388" s="53" t="n">
        <f aca="false">IF($A388="","",E388*C388)</f>
        <v>293.82</v>
      </c>
      <c r="W388" s="59" t="n">
        <f aca="false">IF($A388="","",IFERROR(E388/G388,0))</f>
        <v>3.9962962962963</v>
      </c>
      <c r="X388" s="48" t="n">
        <f aca="false">IF($A388="","",S388+T388)</f>
        <v>895</v>
      </c>
      <c r="Y388" s="48" t="n">
        <f aca="false">IF($A388="","",MAX(0,E388-X388))</f>
        <v>0</v>
      </c>
      <c r="Z388" s="53" t="n">
        <f aca="false">IF($A388="","",Y388*C388)</f>
        <v>0</v>
      </c>
      <c r="AA388" s="56" t="str">
        <f aca="false">IF($A388="","",IF(E388&lt;=R388,"Below Safety Stock",IF(E388&lt;=S388,"Reorder Now",IF(E388&gt;X388,"Excess","Healthy"))))</f>
        <v>Reorder Now</v>
      </c>
      <c r="AB388" s="48" t="n">
        <f aca="false">IF($A388="","",RANK(AF388,$AF$5:$AF$504,0)+COUNTIF($AF$5:AF388,AF388)-1)</f>
        <v>381</v>
      </c>
      <c r="AC388" s="44" t="str">
        <f aca="false">IF($A388="","",Weekly_Demand!B388)</f>
        <v>WOODEN HAPPY BIRTHDAY GARLAND</v>
      </c>
      <c r="AD388" s="59" t="n">
        <f aca="false">IF($A388="","",H388*SQRT(D388))</f>
        <v>68.0135289531697</v>
      </c>
      <c r="AE388" s="53" t="n">
        <f aca="false">IF($A388="","",AD388*C388)</f>
        <v>120.38394624711</v>
      </c>
      <c r="AF388" s="53" t="n">
        <f aca="false">IF($A388="","",ROUND(J388,2))</f>
        <v>3823.2</v>
      </c>
    </row>
    <row r="389" customFormat="false" ht="15" hidden="false" customHeight="false" outlineLevel="0" collapsed="false">
      <c r="A389" s="44" t="str">
        <f aca="false">IF(Weekly_Demand!A389="","",Weekly_Demand!A389)</f>
        <v>21257</v>
      </c>
      <c r="B389" s="44" t="str">
        <f aca="false">IF($A389="","",Weekly_Demand!C389)</f>
        <v>Other</v>
      </c>
      <c r="C389" s="45" t="n">
        <f aca="false">IF($A389="","",Weekly_Demand!D389)</f>
        <v>4.77</v>
      </c>
      <c r="D389" s="46" t="n">
        <f aca="false">IF($A389="","",Weekly_Demand!E389+Assumptions!$B$19)</f>
        <v>4</v>
      </c>
      <c r="E389" s="46" t="n">
        <f aca="false">IF($A389="","",Weekly_Demand!F389)</f>
        <v>185</v>
      </c>
      <c r="F389" s="46" t="n">
        <f aca="false">IF($A389="","",SUM(Weekly_Demand!G389:BF389))</f>
        <v>640</v>
      </c>
      <c r="G389" s="51" t="n">
        <f aca="false">IF($A389="","",IFERROR(F389/Assumptions!$B$6,0))</f>
        <v>12.3076923076923</v>
      </c>
      <c r="H389" s="51" t="n">
        <f aca="false">IF($A389="","",STDEV(Weekly_Demand!G389:BF389))</f>
        <v>15.8306459575369</v>
      </c>
      <c r="I389" s="52" t="n">
        <f aca="false">IF($A389="","",IFERROR(H389/G389,0))</f>
        <v>1.28623998404988</v>
      </c>
      <c r="J389" s="53" t="n">
        <f aca="false">IF($A389="","",F389*C389)</f>
        <v>3052.8</v>
      </c>
      <c r="K389" s="54" t="n">
        <f aca="false">IF($A389="","",IFERROR(J389/$J$505,0))</f>
        <v>0.000789919223509155</v>
      </c>
      <c r="L389" s="54" t="n">
        <f aca="false">IF($A389="","",IFERROR(SUMIFS($J$5:$J$504,$AB$5:$AB$504,"&lt;="&amp;AB389)/$J$505,0))</f>
        <v>0.97600277097702</v>
      </c>
      <c r="M389" s="55" t="str">
        <f aca="false">IF($A389="","",IF(L389&lt;=Assumptions!$B$7,"A",IF(L389&lt;=Assumptions!$B$8,"B","C")))</f>
        <v>C</v>
      </c>
      <c r="N389" s="55" t="str">
        <f aca="false">IF($A389="","",IF(I389&lt;=Assumptions!$B$9,"X",IF(I389&lt;=Assumptions!$B$10,"Y","Z")))</f>
        <v>Z</v>
      </c>
      <c r="O389" s="56" t="str">
        <f aca="false">IF($A389="","",M389&amp;N389)</f>
        <v>CZ</v>
      </c>
      <c r="P389" s="57" t="n">
        <f aca="false">IF($A389="","",INDEX(Assumptions!$B$35:$B$37,MATCH(M389,Assumptions!$A$35:$A$37,0)))</f>
        <v>0.9</v>
      </c>
      <c r="Q389" s="58" t="n">
        <f aca="false">IF($A389="","",NORMSINV(P389))</f>
        <v>1.2815515655446</v>
      </c>
      <c r="R389" s="48" t="n">
        <f aca="false">IF($A389="","",ROUNDUP(Q389*H389*SQRT(D389),0))</f>
        <v>41</v>
      </c>
      <c r="S389" s="48" t="n">
        <f aca="false">IF($A389="","",ROUNDUP(G389*D389+R389,0))</f>
        <v>91</v>
      </c>
      <c r="T389" s="46" t="n">
        <f aca="false">IF($A389="","",IFERROR(ROUND(SQRT(2*F389*Assumptions!$B$4/(Assumptions!$B$5*C389)),0),0))</f>
        <v>232</v>
      </c>
      <c r="U389" s="53" t="n">
        <f aca="false">IF($A389="","",R389*C389)</f>
        <v>195.57</v>
      </c>
      <c r="V389" s="53" t="n">
        <f aca="false">IF($A389="","",E389*C389)</f>
        <v>882.45</v>
      </c>
      <c r="W389" s="59" t="n">
        <f aca="false">IF($A389="","",IFERROR(E389/G389,0))</f>
        <v>15.03125</v>
      </c>
      <c r="X389" s="48" t="n">
        <f aca="false">IF($A389="","",S389+T389)</f>
        <v>323</v>
      </c>
      <c r="Y389" s="48" t="n">
        <f aca="false">IF($A389="","",MAX(0,E389-X389))</f>
        <v>0</v>
      </c>
      <c r="Z389" s="53" t="n">
        <f aca="false">IF($A389="","",Y389*C389)</f>
        <v>0</v>
      </c>
      <c r="AA389" s="56" t="str">
        <f aca="false">IF($A389="","",IF(E389&lt;=R389,"Below Safety Stock",IF(E389&lt;=S389,"Reorder Now",IF(E389&gt;X389,"Excess","Healthy"))))</f>
        <v>Healthy</v>
      </c>
      <c r="AB389" s="48" t="n">
        <f aca="false">IF($A389="","",RANK(AF389,$AF$5:$AF$504,0)+COUNTIF($AF$5:AF389,AF389)-1)</f>
        <v>468</v>
      </c>
      <c r="AC389" s="44" t="str">
        <f aca="false">IF($A389="","",Weekly_Demand!B389)</f>
        <v>VICTORIAN SEWING BOX MEDIUM</v>
      </c>
      <c r="AD389" s="59" t="n">
        <f aca="false">IF($A389="","",H389*SQRT(D389))</f>
        <v>31.6612919150739</v>
      </c>
      <c r="AE389" s="53" t="n">
        <f aca="false">IF($A389="","",AD389*C389)</f>
        <v>151.024362434902</v>
      </c>
      <c r="AF389" s="53" t="n">
        <f aca="false">IF($A389="","",ROUND(J389,2))</f>
        <v>3052.8</v>
      </c>
    </row>
    <row r="390" customFormat="false" ht="15" hidden="false" customHeight="false" outlineLevel="0" collapsed="false">
      <c r="A390" s="44" t="str">
        <f aca="false">IF(Weekly_Demand!A390="","",Weekly_Demand!A390)</f>
        <v>22109</v>
      </c>
      <c r="B390" s="44" t="str">
        <f aca="false">IF($A390="","",Weekly_Demand!C390)</f>
        <v>Other</v>
      </c>
      <c r="C390" s="45" t="n">
        <f aca="false">IF($A390="","",Weekly_Demand!D390)</f>
        <v>2.25</v>
      </c>
      <c r="D390" s="46" t="n">
        <f aca="false">IF($A390="","",Weekly_Demand!E390+Assumptions!$B$19)</f>
        <v>4</v>
      </c>
      <c r="E390" s="46" t="n">
        <f aca="false">IF($A390="","",Weekly_Demand!F390)</f>
        <v>949</v>
      </c>
      <c r="F390" s="46" t="n">
        <f aca="false">IF($A390="","",SUM(Weekly_Demand!G390:BF390))</f>
        <v>1496</v>
      </c>
      <c r="G390" s="51" t="n">
        <f aca="false">IF($A390="","",IFERROR(F390/Assumptions!$B$6,0))</f>
        <v>28.7692307692308</v>
      </c>
      <c r="H390" s="51" t="n">
        <f aca="false">IF($A390="","",STDEV(Weekly_Demand!G390:BF390))</f>
        <v>35.9087161763812</v>
      </c>
      <c r="I390" s="52" t="n">
        <f aca="false">IF($A390="","",IFERROR(H390/G390,0))</f>
        <v>1.24816393126459</v>
      </c>
      <c r="J390" s="53" t="n">
        <f aca="false">IF($A390="","",F390*C390)</f>
        <v>3366</v>
      </c>
      <c r="K390" s="54" t="n">
        <f aca="false">IF($A390="","",IFERROR(J390/$J$505,0))</f>
        <v>0.000870960464600307</v>
      </c>
      <c r="L390" s="54" t="n">
        <f aca="false">IF($A390="","",IFERROR(SUMIFS($J$5:$J$504,$AB$5:$AB$504,"&lt;="&amp;AB390)/$J$505,0))</f>
        <v>0.939313500857678</v>
      </c>
      <c r="M390" s="55" t="str">
        <f aca="false">IF($A390="","",IF(L390&lt;=Assumptions!$B$7,"A",IF(L390&lt;=Assumptions!$B$8,"B","C")))</f>
        <v>B</v>
      </c>
      <c r="N390" s="55" t="str">
        <f aca="false">IF($A390="","",IF(I390&lt;=Assumptions!$B$9,"X",IF(I390&lt;=Assumptions!$B$10,"Y","Z")))</f>
        <v>Z</v>
      </c>
      <c r="O390" s="56" t="str">
        <f aca="false">IF($A390="","",M390&amp;N390)</f>
        <v>BZ</v>
      </c>
      <c r="P390" s="57" t="n">
        <f aca="false">IF($A390="","",INDEX(Assumptions!$B$35:$B$37,MATCH(M390,Assumptions!$A$35:$A$37,0)))</f>
        <v>0.95</v>
      </c>
      <c r="Q390" s="58" t="n">
        <f aca="false">IF($A390="","",NORMSINV(P390))</f>
        <v>1.64485362695147</v>
      </c>
      <c r="R390" s="48" t="n">
        <f aca="false">IF($A390="","",ROUNDUP(Q390*H390*SQRT(D390),0))</f>
        <v>119</v>
      </c>
      <c r="S390" s="48" t="n">
        <f aca="false">IF($A390="","",ROUNDUP(G390*D390+R390,0))</f>
        <v>235</v>
      </c>
      <c r="T390" s="46" t="n">
        <f aca="false">IF($A390="","",IFERROR(ROUND(SQRT(2*F390*Assumptions!$B$4/(Assumptions!$B$5*C390)),0),0))</f>
        <v>516</v>
      </c>
      <c r="U390" s="53" t="n">
        <f aca="false">IF($A390="","",R390*C390)</f>
        <v>267.75</v>
      </c>
      <c r="V390" s="53" t="n">
        <f aca="false">IF($A390="","",E390*C390)</f>
        <v>2135.25</v>
      </c>
      <c r="W390" s="59" t="n">
        <f aca="false">IF($A390="","",IFERROR(E390/G390,0))</f>
        <v>32.9866310160428</v>
      </c>
      <c r="X390" s="48" t="n">
        <f aca="false">IF($A390="","",S390+T390)</f>
        <v>751</v>
      </c>
      <c r="Y390" s="48" t="n">
        <f aca="false">IF($A390="","",MAX(0,E390-X390))</f>
        <v>198</v>
      </c>
      <c r="Z390" s="53" t="n">
        <f aca="false">IF($A390="","",Y390*C390)</f>
        <v>445.5</v>
      </c>
      <c r="AA390" s="56" t="str">
        <f aca="false">IF($A390="","",IF(E390&lt;=R390,"Below Safety Stock",IF(E390&lt;=S390,"Reorder Now",IF(E390&gt;X390,"Excess","Healthy"))))</f>
        <v>Excess</v>
      </c>
      <c r="AB390" s="48" t="n">
        <f aca="false">IF($A390="","",RANK(AF390,$AF$5:$AF$504,0)+COUNTIF($AF$5:AF390,AF390)-1)</f>
        <v>424</v>
      </c>
      <c r="AC390" s="44" t="str">
        <f aca="false">IF($A390="","",Weekly_Demand!B390)</f>
        <v>FULL ENGLISH BREAKFAST PLATE</v>
      </c>
      <c r="AD390" s="59" t="n">
        <f aca="false">IF($A390="","",H390*SQRT(D390))</f>
        <v>71.8174323527623</v>
      </c>
      <c r="AE390" s="53" t="n">
        <f aca="false">IF($A390="","",AD390*C390)</f>
        <v>161.589222793715</v>
      </c>
      <c r="AF390" s="53" t="n">
        <f aca="false">IF($A390="","",ROUND(J390,2))</f>
        <v>3366</v>
      </c>
    </row>
    <row r="391" customFormat="false" ht="15" hidden="false" customHeight="false" outlineLevel="0" collapsed="false">
      <c r="A391" s="44" t="str">
        <f aca="false">IF(Weekly_Demand!A391="","",Weekly_Demand!A391)</f>
        <v>20676</v>
      </c>
      <c r="B391" s="44" t="str">
        <f aca="false">IF($A391="","",Weekly_Demand!C391)</f>
        <v>Other</v>
      </c>
      <c r="C391" s="45" t="n">
        <f aca="false">IF($A391="","",Weekly_Demand!D391)</f>
        <v>0.75</v>
      </c>
      <c r="D391" s="46" t="n">
        <f aca="false">IF($A391="","",Weekly_Demand!E391+Assumptions!$B$19)</f>
        <v>2</v>
      </c>
      <c r="E391" s="46" t="n">
        <f aca="false">IF($A391="","",Weekly_Demand!F391)</f>
        <v>664</v>
      </c>
      <c r="F391" s="46" t="n">
        <f aca="false">IF($A391="","",SUM(Weekly_Demand!G391:BF391))</f>
        <v>4932</v>
      </c>
      <c r="G391" s="51" t="n">
        <f aca="false">IF($A391="","",IFERROR(F391/Assumptions!$B$6,0))</f>
        <v>94.8461538461538</v>
      </c>
      <c r="H391" s="51" t="n">
        <f aca="false">IF($A391="","",STDEV(Weekly_Demand!G391:BF391))</f>
        <v>67.674939496814</v>
      </c>
      <c r="I391" s="52" t="n">
        <f aca="false">IF($A391="","",IFERROR(H391/G391,0))</f>
        <v>0.713523287476547</v>
      </c>
      <c r="J391" s="53" t="n">
        <f aca="false">IF($A391="","",F391*C391)</f>
        <v>3699</v>
      </c>
      <c r="K391" s="54" t="n">
        <f aca="false">IF($A391="","",IFERROR(J391/$J$505,0))</f>
        <v>0.000957125002542048</v>
      </c>
      <c r="L391" s="54" t="n">
        <f aca="false">IF($A391="","",IFERROR(SUMIFS($J$5:$J$504,$AB$5:$AB$504,"&lt;="&amp;AB391)/$J$505,0))</f>
        <v>0.912858814189687</v>
      </c>
      <c r="M391" s="55" t="str">
        <f aca="false">IF($A391="","",IF(L391&lt;=Assumptions!$B$7,"A",IF(L391&lt;=Assumptions!$B$8,"B","C")))</f>
        <v>B</v>
      </c>
      <c r="N391" s="55" t="str">
        <f aca="false">IF($A391="","",IF(I391&lt;=Assumptions!$B$9,"X",IF(I391&lt;=Assumptions!$B$10,"Y","Z")))</f>
        <v>Y</v>
      </c>
      <c r="O391" s="56" t="str">
        <f aca="false">IF($A391="","",M391&amp;N391)</f>
        <v>BY</v>
      </c>
      <c r="P391" s="57" t="n">
        <f aca="false">IF($A391="","",INDEX(Assumptions!$B$35:$B$37,MATCH(M391,Assumptions!$A$35:$A$37,0)))</f>
        <v>0.95</v>
      </c>
      <c r="Q391" s="58" t="n">
        <f aca="false">IF($A391="","",NORMSINV(P391))</f>
        <v>1.64485362695147</v>
      </c>
      <c r="R391" s="48" t="n">
        <f aca="false">IF($A391="","",ROUNDUP(Q391*H391*SQRT(D391),0))</f>
        <v>158</v>
      </c>
      <c r="S391" s="48" t="n">
        <f aca="false">IF($A391="","",ROUNDUP(G391*D391+R391,0))</f>
        <v>348</v>
      </c>
      <c r="T391" s="46" t="n">
        <f aca="false">IF($A391="","",IFERROR(ROUND(SQRT(2*F391*Assumptions!$B$4/(Assumptions!$B$5*C391)),0),0))</f>
        <v>1622</v>
      </c>
      <c r="U391" s="53" t="n">
        <f aca="false">IF($A391="","",R391*C391)</f>
        <v>118.5</v>
      </c>
      <c r="V391" s="53" t="n">
        <f aca="false">IF($A391="","",E391*C391)</f>
        <v>498</v>
      </c>
      <c r="W391" s="59" t="n">
        <f aca="false">IF($A391="","",IFERROR(E391/G391,0))</f>
        <v>7.00081103000811</v>
      </c>
      <c r="X391" s="48" t="n">
        <f aca="false">IF($A391="","",S391+T391)</f>
        <v>1970</v>
      </c>
      <c r="Y391" s="48" t="n">
        <f aca="false">IF($A391="","",MAX(0,E391-X391))</f>
        <v>0</v>
      </c>
      <c r="Z391" s="53" t="n">
        <f aca="false">IF($A391="","",Y391*C391)</f>
        <v>0</v>
      </c>
      <c r="AA391" s="56" t="str">
        <f aca="false">IF($A391="","",IF(E391&lt;=R391,"Below Safety Stock",IF(E391&lt;=S391,"Reorder Now",IF(E391&gt;X391,"Excess","Healthy"))))</f>
        <v>Healthy</v>
      </c>
      <c r="AB391" s="48" t="n">
        <f aca="false">IF($A391="","",RANK(AF391,$AF$5:$AF$504,0)+COUNTIF($AF$5:AF391,AF391)-1)</f>
        <v>395</v>
      </c>
      <c r="AC391" s="44" t="str">
        <f aca="false">IF($A391="","",Weekly_Demand!B391)</f>
        <v>RED RETROSPOT BOWL</v>
      </c>
      <c r="AD391" s="59" t="n">
        <f aca="false">IF($A391="","",H391*SQRT(D391))</f>
        <v>95.706817269173</v>
      </c>
      <c r="AE391" s="53" t="n">
        <f aca="false">IF($A391="","",AD391*C391)</f>
        <v>71.7801129518798</v>
      </c>
      <c r="AF391" s="53" t="n">
        <f aca="false">IF($A391="","",ROUND(J391,2))</f>
        <v>3699</v>
      </c>
    </row>
    <row r="392" customFormat="false" ht="15" hidden="false" customHeight="false" outlineLevel="0" collapsed="false">
      <c r="A392" s="44" t="str">
        <f aca="false">IF(Weekly_Demand!A392="","",Weekly_Demand!A392)</f>
        <v>23571</v>
      </c>
      <c r="B392" s="44" t="str">
        <f aca="false">IF($A392="","",Weekly_Demand!C392)</f>
        <v>Other</v>
      </c>
      <c r="C392" s="45" t="n">
        <f aca="false">IF($A392="","",Weekly_Demand!D392)</f>
        <v>0.99</v>
      </c>
      <c r="D392" s="46" t="n">
        <f aca="false">IF($A392="","",Weekly_Demand!E392+Assumptions!$B$19)</f>
        <v>8</v>
      </c>
      <c r="E392" s="46" t="n">
        <f aca="false">IF($A392="","",Weekly_Demand!F392)</f>
        <v>1438</v>
      </c>
      <c r="F392" s="46" t="n">
        <f aca="false">IF($A392="","",SUM(Weekly_Demand!G392:BF392))</f>
        <v>2770</v>
      </c>
      <c r="G392" s="51" t="n">
        <f aca="false">IF($A392="","",IFERROR(F392/Assumptions!$B$6,0))</f>
        <v>53.2692307692308</v>
      </c>
      <c r="H392" s="51" t="n">
        <f aca="false">IF($A392="","",STDEV(Weekly_Demand!G392:BF392))</f>
        <v>169.056217054821</v>
      </c>
      <c r="I392" s="52" t="n">
        <f aca="false">IF($A392="","",IFERROR(H392/G392,0))</f>
        <v>3.17361851510856</v>
      </c>
      <c r="J392" s="53" t="n">
        <f aca="false">IF($A392="","",F392*C392)</f>
        <v>2742.3</v>
      </c>
      <c r="K392" s="54" t="n">
        <f aca="false">IF($A392="","",IFERROR(J392/$J$505,0))</f>
        <v>0.00070957661380672</v>
      </c>
      <c r="L392" s="54" t="n">
        <f aca="false">IF($A392="","",IFERROR(SUMIFS($J$5:$J$504,$AB$5:$AB$504,"&lt;="&amp;AB392)/$J$505,0))</f>
        <v>0.997250606032844</v>
      </c>
      <c r="M392" s="55" t="str">
        <f aca="false">IF($A392="","",IF(L392&lt;=Assumptions!$B$7,"A",IF(L392&lt;=Assumptions!$B$8,"B","C")))</f>
        <v>C</v>
      </c>
      <c r="N392" s="55" t="str">
        <f aca="false">IF($A392="","",IF(I392&lt;=Assumptions!$B$9,"X",IF(I392&lt;=Assumptions!$B$10,"Y","Z")))</f>
        <v>Z</v>
      </c>
      <c r="O392" s="56" t="str">
        <f aca="false">IF($A392="","",M392&amp;N392)</f>
        <v>CZ</v>
      </c>
      <c r="P392" s="57" t="n">
        <f aca="false">IF($A392="","",INDEX(Assumptions!$B$35:$B$37,MATCH(M392,Assumptions!$A$35:$A$37,0)))</f>
        <v>0.9</v>
      </c>
      <c r="Q392" s="58" t="n">
        <f aca="false">IF($A392="","",NORMSINV(P392))</f>
        <v>1.2815515655446</v>
      </c>
      <c r="R392" s="48" t="n">
        <f aca="false">IF($A392="","",ROUNDUP(Q392*H392*SQRT(D392),0))</f>
        <v>613</v>
      </c>
      <c r="S392" s="48" t="n">
        <f aca="false">IF($A392="","",ROUNDUP(G392*D392+R392,0))</f>
        <v>1040</v>
      </c>
      <c r="T392" s="46" t="n">
        <f aca="false">IF($A392="","",IFERROR(ROUND(SQRT(2*F392*Assumptions!$B$4/(Assumptions!$B$5*C392)),0),0))</f>
        <v>1058</v>
      </c>
      <c r="U392" s="53" t="n">
        <f aca="false">IF($A392="","",R392*C392)</f>
        <v>606.87</v>
      </c>
      <c r="V392" s="53" t="n">
        <f aca="false">IF($A392="","",E392*C392)</f>
        <v>1423.62</v>
      </c>
      <c r="W392" s="59" t="n">
        <f aca="false">IF($A392="","",IFERROR(E392/G392,0))</f>
        <v>26.9949458483755</v>
      </c>
      <c r="X392" s="48" t="n">
        <f aca="false">IF($A392="","",S392+T392)</f>
        <v>2098</v>
      </c>
      <c r="Y392" s="48" t="n">
        <f aca="false">IF($A392="","",MAX(0,E392-X392))</f>
        <v>0</v>
      </c>
      <c r="Z392" s="53" t="n">
        <f aca="false">IF($A392="","",Y392*C392)</f>
        <v>0</v>
      </c>
      <c r="AA392" s="56" t="str">
        <f aca="false">IF($A392="","",IF(E392&lt;=R392,"Below Safety Stock",IF(E392&lt;=S392,"Reorder Now",IF(E392&gt;X392,"Excess","Healthy"))))</f>
        <v>Healthy</v>
      </c>
      <c r="AB392" s="48" t="n">
        <f aca="false">IF($A392="","",RANK(AF392,$AF$5:$AF$504,0)+COUNTIF($AF$5:AF392,AF392)-1)</f>
        <v>496</v>
      </c>
      <c r="AC392" s="44" t="str">
        <f aca="false">IF($A392="","",Weekly_Demand!B392)</f>
        <v>TRADITIONAL NAUGHTS &amp; CROSSES</v>
      </c>
      <c r="AD392" s="59" t="n">
        <f aca="false">IF($A392="","",H392*SQRT(D392))</f>
        <v>478.163189924836</v>
      </c>
      <c r="AE392" s="53" t="n">
        <f aca="false">IF($A392="","",AD392*C392)</f>
        <v>473.381558025588</v>
      </c>
      <c r="AF392" s="53" t="n">
        <f aca="false">IF($A392="","",ROUND(J392,2))</f>
        <v>2742.3</v>
      </c>
    </row>
    <row r="393" customFormat="false" ht="15" hidden="false" customHeight="false" outlineLevel="0" collapsed="false">
      <c r="A393" s="44" t="str">
        <f aca="false">IF(Weekly_Demand!A393="","",Weekly_Demand!A393)</f>
        <v>23229</v>
      </c>
      <c r="B393" s="44" t="str">
        <f aca="false">IF($A393="","",Weekly_Demand!C393)</f>
        <v>Other</v>
      </c>
      <c r="C393" s="45" t="n">
        <f aca="false">IF($A393="","",Weekly_Demand!D393)</f>
        <v>2.25</v>
      </c>
      <c r="D393" s="46" t="n">
        <f aca="false">IF($A393="","",Weekly_Demand!E393+Assumptions!$B$19)</f>
        <v>4</v>
      </c>
      <c r="E393" s="46" t="n">
        <f aca="false">IF($A393="","",Weekly_Demand!F393)</f>
        <v>398</v>
      </c>
      <c r="F393" s="46" t="n">
        <f aca="false">IF($A393="","",SUM(Weekly_Demand!G393:BF393))</f>
        <v>1726</v>
      </c>
      <c r="G393" s="51" t="n">
        <f aca="false">IF($A393="","",IFERROR(F393/Assumptions!$B$6,0))</f>
        <v>33.1923076923077</v>
      </c>
      <c r="H393" s="51" t="n">
        <f aca="false">IF($A393="","",STDEV(Weekly_Demand!G393:BF393))</f>
        <v>51.8656025124735</v>
      </c>
      <c r="I393" s="52" t="n">
        <f aca="false">IF($A393="","",IFERROR(H393/G393,0))</f>
        <v>1.56257898647081</v>
      </c>
      <c r="J393" s="53" t="n">
        <f aca="false">IF($A393="","",F393*C393)</f>
        <v>3883.5</v>
      </c>
      <c r="K393" s="54" t="n">
        <f aca="false">IF($A393="","",IFERROR(J393/$J$505,0))</f>
        <v>0.00100486481410436</v>
      </c>
      <c r="L393" s="54" t="n">
        <f aca="false">IF($A393="","",IFERROR(SUMIFS($J$5:$J$504,$AB$5:$AB$504,"&lt;="&amp;AB393)/$J$505,0))</f>
        <v>0.892270359858648</v>
      </c>
      <c r="M393" s="55" t="str">
        <f aca="false">IF($A393="","",IF(L393&lt;=Assumptions!$B$7,"A",IF(L393&lt;=Assumptions!$B$8,"B","C")))</f>
        <v>B</v>
      </c>
      <c r="N393" s="55" t="str">
        <f aca="false">IF($A393="","",IF(I393&lt;=Assumptions!$B$9,"X",IF(I393&lt;=Assumptions!$B$10,"Y","Z")))</f>
        <v>Z</v>
      </c>
      <c r="O393" s="56" t="str">
        <f aca="false">IF($A393="","",M393&amp;N393)</f>
        <v>BZ</v>
      </c>
      <c r="P393" s="57" t="n">
        <f aca="false">IF($A393="","",INDEX(Assumptions!$B$35:$B$37,MATCH(M393,Assumptions!$A$35:$A$37,0)))</f>
        <v>0.95</v>
      </c>
      <c r="Q393" s="58" t="n">
        <f aca="false">IF($A393="","",NORMSINV(P393))</f>
        <v>1.64485362695147</v>
      </c>
      <c r="R393" s="48" t="n">
        <f aca="false">IF($A393="","",ROUNDUP(Q393*H393*SQRT(D393),0))</f>
        <v>171</v>
      </c>
      <c r="S393" s="48" t="n">
        <f aca="false">IF($A393="","",ROUNDUP(G393*D393+R393,0))</f>
        <v>304</v>
      </c>
      <c r="T393" s="46" t="n">
        <f aca="false">IF($A393="","",IFERROR(ROUND(SQRT(2*F393*Assumptions!$B$4/(Assumptions!$B$5*C393)),0),0))</f>
        <v>554</v>
      </c>
      <c r="U393" s="53" t="n">
        <f aca="false">IF($A393="","",R393*C393)</f>
        <v>384.75</v>
      </c>
      <c r="V393" s="53" t="n">
        <f aca="false">IF($A393="","",E393*C393)</f>
        <v>895.5</v>
      </c>
      <c r="W393" s="59" t="n">
        <f aca="false">IF($A393="","",IFERROR(E393/G393,0))</f>
        <v>11.9907300115875</v>
      </c>
      <c r="X393" s="48" t="n">
        <f aca="false">IF($A393="","",S393+T393)</f>
        <v>858</v>
      </c>
      <c r="Y393" s="48" t="n">
        <f aca="false">IF($A393="","",MAX(0,E393-X393))</f>
        <v>0</v>
      </c>
      <c r="Z393" s="53" t="n">
        <f aca="false">IF($A393="","",Y393*C393)</f>
        <v>0</v>
      </c>
      <c r="AA393" s="56" t="str">
        <f aca="false">IF($A393="","",IF(E393&lt;=R393,"Below Safety Stock",IF(E393&lt;=S393,"Reorder Now",IF(E393&gt;X393,"Excess","Healthy"))))</f>
        <v>Healthy</v>
      </c>
      <c r="AB393" s="48" t="n">
        <f aca="false">IF($A393="","",RANK(AF393,$AF$5:$AF$504,0)+COUNTIF($AF$5:AF393,AF393)-1)</f>
        <v>374</v>
      </c>
      <c r="AC393" s="44" t="str">
        <f aca="false">IF($A393="","",Weekly_Demand!B393)</f>
        <v>VINTAGE DONKEY TAIL GAME</v>
      </c>
      <c r="AD393" s="59" t="n">
        <f aca="false">IF($A393="","",H393*SQRT(D393))</f>
        <v>103.731205024947</v>
      </c>
      <c r="AE393" s="53" t="n">
        <f aca="false">IF($A393="","",AD393*C393)</f>
        <v>233.395211306131</v>
      </c>
      <c r="AF393" s="53" t="n">
        <f aca="false">IF($A393="","",ROUND(J393,2))</f>
        <v>3883.5</v>
      </c>
    </row>
    <row r="394" customFormat="false" ht="15" hidden="false" customHeight="false" outlineLevel="0" collapsed="false">
      <c r="A394" s="44" t="str">
        <f aca="false">IF(Weekly_Demand!A394="","",Weekly_Demand!A394)</f>
        <v>22826</v>
      </c>
      <c r="B394" s="44" t="str">
        <f aca="false">IF($A394="","",Weekly_Demand!C394)</f>
        <v>Other</v>
      </c>
      <c r="C394" s="45" t="n">
        <f aca="false">IF($A394="","",Weekly_Demand!D394)</f>
        <v>51</v>
      </c>
      <c r="D394" s="46" t="n">
        <f aca="false">IF($A394="","",Weekly_Demand!E394+Assumptions!$B$19)</f>
        <v>6</v>
      </c>
      <c r="E394" s="46" t="n">
        <f aca="false">IF($A394="","",Weekly_Demand!F394)</f>
        <v>2</v>
      </c>
      <c r="F394" s="46" t="n">
        <f aca="false">IF($A394="","",SUM(Weekly_Demand!G394:BF394))</f>
        <v>58</v>
      </c>
      <c r="G394" s="51" t="n">
        <f aca="false">IF($A394="","",IFERROR(F394/Assumptions!$B$6,0))</f>
        <v>1.11538461538462</v>
      </c>
      <c r="H394" s="51" t="n">
        <f aca="false">IF($A394="","",STDEV(Weekly_Demand!G394:BF394))</f>
        <v>1.66455371341892</v>
      </c>
      <c r="I394" s="52" t="n">
        <f aca="false">IF($A394="","",IFERROR(H394/G394,0))</f>
        <v>1.49235850168593</v>
      </c>
      <c r="J394" s="53" t="n">
        <f aca="false">IF($A394="","",F394*C394)</f>
        <v>2958</v>
      </c>
      <c r="K394" s="54" t="n">
        <f aca="false">IF($A394="","",IFERROR(J394/$J$505,0))</f>
        <v>0.000765389499194209</v>
      </c>
      <c r="L394" s="54" t="n">
        <f aca="false">IF($A394="","",IFERROR(SUMIFS($J$5:$J$504,$AB$5:$AB$504,"&lt;="&amp;AB394)/$J$505,0))</f>
        <v>0.986873941139713</v>
      </c>
      <c r="M394" s="55" t="str">
        <f aca="false">IF($A394="","",IF(L394&lt;=Assumptions!$B$7,"A",IF(L394&lt;=Assumptions!$B$8,"B","C")))</f>
        <v>C</v>
      </c>
      <c r="N394" s="55" t="str">
        <f aca="false">IF($A394="","",IF(I394&lt;=Assumptions!$B$9,"X",IF(I394&lt;=Assumptions!$B$10,"Y","Z")))</f>
        <v>Z</v>
      </c>
      <c r="O394" s="56" t="str">
        <f aca="false">IF($A394="","",M394&amp;N394)</f>
        <v>CZ</v>
      </c>
      <c r="P394" s="57" t="n">
        <f aca="false">IF($A394="","",INDEX(Assumptions!$B$35:$B$37,MATCH(M394,Assumptions!$A$35:$A$37,0)))</f>
        <v>0.9</v>
      </c>
      <c r="Q394" s="58" t="n">
        <f aca="false">IF($A394="","",NORMSINV(P394))</f>
        <v>1.2815515655446</v>
      </c>
      <c r="R394" s="48" t="n">
        <f aca="false">IF($A394="","",ROUNDUP(Q394*H394*SQRT(D394),0))</f>
        <v>6</v>
      </c>
      <c r="S394" s="48" t="n">
        <f aca="false">IF($A394="","",ROUNDUP(G394*D394+R394,0))</f>
        <v>13</v>
      </c>
      <c r="T394" s="46" t="n">
        <f aca="false">IF($A394="","",IFERROR(ROUND(SQRT(2*F394*Assumptions!$B$4/(Assumptions!$B$5*C394)),0),0))</f>
        <v>21</v>
      </c>
      <c r="U394" s="53" t="n">
        <f aca="false">IF($A394="","",R394*C394)</f>
        <v>306</v>
      </c>
      <c r="V394" s="53" t="n">
        <f aca="false">IF($A394="","",E394*C394)</f>
        <v>102</v>
      </c>
      <c r="W394" s="59" t="n">
        <f aca="false">IF($A394="","",IFERROR(E394/G394,0))</f>
        <v>1.79310344827586</v>
      </c>
      <c r="X394" s="48" t="n">
        <f aca="false">IF($A394="","",S394+T394)</f>
        <v>34</v>
      </c>
      <c r="Y394" s="48" t="n">
        <f aca="false">IF($A394="","",MAX(0,E394-X394))</f>
        <v>0</v>
      </c>
      <c r="Z394" s="53" t="n">
        <f aca="false">IF($A394="","",Y394*C394)</f>
        <v>0</v>
      </c>
      <c r="AA394" s="56" t="str">
        <f aca="false">IF($A394="","",IF(E394&lt;=R394,"Below Safety Stock",IF(E394&lt;=S394,"Reorder Now",IF(E394&gt;X394,"Excess","Healthy"))))</f>
        <v>Below Safety Stock</v>
      </c>
      <c r="AB394" s="48" t="n">
        <f aca="false">IF($A394="","",RANK(AF394,$AF$5:$AF$504,0)+COUNTIF($AF$5:AF394,AF394)-1)</f>
        <v>482</v>
      </c>
      <c r="AC394" s="44" t="str">
        <f aca="false">IF($A394="","",Weekly_Demand!B394)</f>
        <v>LOVE SEAT ANTIQUE WHITE METAL</v>
      </c>
      <c r="AD394" s="59" t="n">
        <f aca="false">IF($A394="","",H394*SQRT(D394))</f>
        <v>4.07730724733129</v>
      </c>
      <c r="AE394" s="53" t="n">
        <f aca="false">IF($A394="","",AD394*C394)</f>
        <v>207.942669613896</v>
      </c>
      <c r="AF394" s="53" t="n">
        <f aca="false">IF($A394="","",ROUND(J394,2))</f>
        <v>2958</v>
      </c>
    </row>
    <row r="395" customFormat="false" ht="15" hidden="false" customHeight="false" outlineLevel="0" collapsed="false">
      <c r="A395" s="44" t="str">
        <f aca="false">IF(Weekly_Demand!A395="","",Weekly_Demand!A395)</f>
        <v>22151</v>
      </c>
      <c r="B395" s="44" t="str">
        <f aca="false">IF($A395="","",Weekly_Demand!C395)</f>
        <v>Other</v>
      </c>
      <c r="C395" s="45" t="n">
        <f aca="false">IF($A395="","",Weekly_Demand!D395)</f>
        <v>0.252</v>
      </c>
      <c r="D395" s="46" t="n">
        <f aca="false">IF($A395="","",Weekly_Demand!E395+Assumptions!$B$19)</f>
        <v>8</v>
      </c>
      <c r="E395" s="46" t="n">
        <f aca="false">IF($A395="","",Weekly_Demand!F395)</f>
        <v>4283</v>
      </c>
      <c r="F395" s="46" t="n">
        <f aca="false">IF($A395="","",SUM(Weekly_Demand!G395:BF395))</f>
        <v>14848</v>
      </c>
      <c r="G395" s="51" t="n">
        <f aca="false">IF($A395="","",IFERROR(F395/Assumptions!$B$6,0))</f>
        <v>285.538461538462</v>
      </c>
      <c r="H395" s="51" t="n">
        <f aca="false">IF($A395="","",STDEV(Weekly_Demand!G395:BF395))</f>
        <v>249.368493500137</v>
      </c>
      <c r="I395" s="52" t="n">
        <f aca="false">IF($A395="","",IFERROR(H395/G395,0))</f>
        <v>0.87332715934854</v>
      </c>
      <c r="J395" s="53" t="n">
        <f aca="false">IF($A395="","",F395*C395)</f>
        <v>3741.696</v>
      </c>
      <c r="K395" s="54" t="n">
        <f aca="false">IF($A395="","",IFERROR(J395/$J$505,0))</f>
        <v>0.000968172693568957</v>
      </c>
      <c r="L395" s="54" t="n">
        <f aca="false">IF($A395="","",IFERROR(SUMIFS($J$5:$J$504,$AB$5:$AB$504,"&lt;="&amp;AB395)/$J$505,0))</f>
        <v>0.908048449863246</v>
      </c>
      <c r="M395" s="55" t="str">
        <f aca="false">IF($A395="","",IF(L395&lt;=Assumptions!$B$7,"A",IF(L395&lt;=Assumptions!$B$8,"B","C")))</f>
        <v>B</v>
      </c>
      <c r="N395" s="55" t="str">
        <f aca="false">IF($A395="","",IF(I395&lt;=Assumptions!$B$9,"X",IF(I395&lt;=Assumptions!$B$10,"Y","Z")))</f>
        <v>Y</v>
      </c>
      <c r="O395" s="56" t="str">
        <f aca="false">IF($A395="","",M395&amp;N395)</f>
        <v>BY</v>
      </c>
      <c r="P395" s="57" t="n">
        <f aca="false">IF($A395="","",INDEX(Assumptions!$B$35:$B$37,MATCH(M395,Assumptions!$A$35:$A$37,0)))</f>
        <v>0.95</v>
      </c>
      <c r="Q395" s="58" t="n">
        <f aca="false">IF($A395="","",NORMSINV(P395))</f>
        <v>1.64485362695147</v>
      </c>
      <c r="R395" s="48" t="n">
        <f aca="false">IF($A395="","",ROUNDUP(Q395*H395*SQRT(D395),0))</f>
        <v>1161</v>
      </c>
      <c r="S395" s="48" t="n">
        <f aca="false">IF($A395="","",ROUNDUP(G395*D395+R395,0))</f>
        <v>3446</v>
      </c>
      <c r="T395" s="46" t="n">
        <f aca="false">IF($A395="","",IFERROR(ROUND(SQRT(2*F395*Assumptions!$B$4/(Assumptions!$B$5*C395)),0),0))</f>
        <v>4855</v>
      </c>
      <c r="U395" s="53" t="n">
        <f aca="false">IF($A395="","",R395*C395)</f>
        <v>292.572</v>
      </c>
      <c r="V395" s="53" t="n">
        <f aca="false">IF($A395="","",E395*C395)</f>
        <v>1079.316</v>
      </c>
      <c r="W395" s="59" t="n">
        <f aca="false">IF($A395="","",IFERROR(E395/G395,0))</f>
        <v>14.9997306034483</v>
      </c>
      <c r="X395" s="48" t="n">
        <f aca="false">IF($A395="","",S395+T395)</f>
        <v>8301</v>
      </c>
      <c r="Y395" s="48" t="n">
        <f aca="false">IF($A395="","",MAX(0,E395-X395))</f>
        <v>0</v>
      </c>
      <c r="Z395" s="53" t="n">
        <f aca="false">IF($A395="","",Y395*C395)</f>
        <v>0</v>
      </c>
      <c r="AA395" s="56" t="str">
        <f aca="false">IF($A395="","",IF(E395&lt;=R395,"Below Safety Stock",IF(E395&lt;=S395,"Reorder Now",IF(E395&gt;X395,"Excess","Healthy"))))</f>
        <v>Healthy</v>
      </c>
      <c r="AB395" s="48" t="n">
        <f aca="false">IF($A395="","",RANK(AF395,$AF$5:$AF$504,0)+COUNTIF($AF$5:AF395,AF395)-1)</f>
        <v>390</v>
      </c>
      <c r="AC395" s="44" t="str">
        <f aca="false">IF($A395="","",Weekly_Demand!B395)</f>
        <v>PLACE SETTING WHITE HEART</v>
      </c>
      <c r="AD395" s="59" t="n">
        <f aca="false">IF($A395="","",H395*SQRT(D395))</f>
        <v>705.320611072882</v>
      </c>
      <c r="AE395" s="53" t="n">
        <f aca="false">IF($A395="","",AD395*C395)</f>
        <v>177.740793990366</v>
      </c>
      <c r="AF395" s="53" t="n">
        <f aca="false">IF($A395="","",ROUND(J395,2))</f>
        <v>3741.7</v>
      </c>
    </row>
    <row r="396" customFormat="false" ht="15" hidden="false" customHeight="false" outlineLevel="0" collapsed="false">
      <c r="A396" s="44" t="str">
        <f aca="false">IF(Weekly_Demand!A396="","",Weekly_Demand!A396)</f>
        <v>22784</v>
      </c>
      <c r="B396" s="44" t="str">
        <f aca="false">IF($A396="","",Weekly_Demand!C396)</f>
        <v>Other</v>
      </c>
      <c r="C396" s="45" t="n">
        <f aca="false">IF($A396="","",Weekly_Demand!D396)</f>
        <v>2.97</v>
      </c>
      <c r="D396" s="46" t="n">
        <f aca="false">IF($A396="","",Weekly_Demand!E396+Assumptions!$B$19)</f>
        <v>2</v>
      </c>
      <c r="E396" s="46" t="n">
        <f aca="false">IF($A396="","",Weekly_Demand!F396)</f>
        <v>334</v>
      </c>
      <c r="F396" s="46" t="n">
        <f aca="false">IF($A396="","",SUM(Weekly_Demand!G396:BF396))</f>
        <v>1242</v>
      </c>
      <c r="G396" s="51" t="n">
        <f aca="false">IF($A396="","",IFERROR(F396/Assumptions!$B$6,0))</f>
        <v>23.8846153846154</v>
      </c>
      <c r="H396" s="51" t="n">
        <f aca="false">IF($A396="","",STDEV(Weekly_Demand!G396:BF396))</f>
        <v>19.7282059907604</v>
      </c>
      <c r="I396" s="52" t="n">
        <f aca="false">IF($A396="","",IFERROR(H396/G396,0))</f>
        <v>0.825979638904624</v>
      </c>
      <c r="J396" s="53" t="n">
        <f aca="false">IF($A396="","",F396*C396)</f>
        <v>3688.74</v>
      </c>
      <c r="K396" s="54" t="n">
        <f aca="false">IF($A396="","",IFERROR(J396/$J$505,0))</f>
        <v>0.000954470203264924</v>
      </c>
      <c r="L396" s="54" t="n">
        <f aca="false">IF($A396="","",IFERROR(SUMIFS($J$5:$J$504,$AB$5:$AB$504,"&lt;="&amp;AB396)/$J$505,0))</f>
        <v>0.917639101658588</v>
      </c>
      <c r="M396" s="55" t="str">
        <f aca="false">IF($A396="","",IF(L396&lt;=Assumptions!$B$7,"A",IF(L396&lt;=Assumptions!$B$8,"B","C")))</f>
        <v>B</v>
      </c>
      <c r="N396" s="55" t="str">
        <f aca="false">IF($A396="","",IF(I396&lt;=Assumptions!$B$9,"X",IF(I396&lt;=Assumptions!$B$10,"Y","Z")))</f>
        <v>Y</v>
      </c>
      <c r="O396" s="56" t="str">
        <f aca="false">IF($A396="","",M396&amp;N396)</f>
        <v>BY</v>
      </c>
      <c r="P396" s="57" t="n">
        <f aca="false">IF($A396="","",INDEX(Assumptions!$B$35:$B$37,MATCH(M396,Assumptions!$A$35:$A$37,0)))</f>
        <v>0.95</v>
      </c>
      <c r="Q396" s="58" t="n">
        <f aca="false">IF($A396="","",NORMSINV(P396))</f>
        <v>1.64485362695147</v>
      </c>
      <c r="R396" s="48" t="n">
        <f aca="false">IF($A396="","",ROUNDUP(Q396*H396*SQRT(D396),0))</f>
        <v>46</v>
      </c>
      <c r="S396" s="48" t="n">
        <f aca="false">IF($A396="","",ROUNDUP(G396*D396+R396,0))</f>
        <v>94</v>
      </c>
      <c r="T396" s="46" t="n">
        <f aca="false">IF($A396="","",IFERROR(ROUND(SQRT(2*F396*Assumptions!$B$4/(Assumptions!$B$5*C396)),0),0))</f>
        <v>409</v>
      </c>
      <c r="U396" s="53" t="n">
        <f aca="false">IF($A396="","",R396*C396)</f>
        <v>136.62</v>
      </c>
      <c r="V396" s="53" t="n">
        <f aca="false">IF($A396="","",E396*C396)</f>
        <v>991.98</v>
      </c>
      <c r="W396" s="59" t="n">
        <f aca="false">IF($A396="","",IFERROR(E396/G396,0))</f>
        <v>13.9838969404187</v>
      </c>
      <c r="X396" s="48" t="n">
        <f aca="false">IF($A396="","",S396+T396)</f>
        <v>503</v>
      </c>
      <c r="Y396" s="48" t="n">
        <f aca="false">IF($A396="","",MAX(0,E396-X396))</f>
        <v>0</v>
      </c>
      <c r="Z396" s="53" t="n">
        <f aca="false">IF($A396="","",Y396*C396)</f>
        <v>0</v>
      </c>
      <c r="AA396" s="56" t="str">
        <f aca="false">IF($A396="","",IF(E396&lt;=R396,"Below Safety Stock",IF(E396&lt;=S396,"Reorder Now",IF(E396&gt;X396,"Excess","Healthy"))))</f>
        <v>Healthy</v>
      </c>
      <c r="AB396" s="48" t="n">
        <f aca="false">IF($A396="","",RANK(AF396,$AF$5:$AF$504,0)+COUNTIF($AF$5:AF396,AF396)-1)</f>
        <v>400</v>
      </c>
      <c r="AC396" s="44" t="str">
        <f aca="false">IF($A396="","",Weekly_Demand!B396)</f>
        <v>LANTERN CREAM GAZEBO</v>
      </c>
      <c r="AD396" s="59" t="n">
        <f aca="false">IF($A396="","",H396*SQRT(D396))</f>
        <v>27.8998964734236</v>
      </c>
      <c r="AE396" s="53" t="n">
        <f aca="false">IF($A396="","",AD396*C396)</f>
        <v>82.862692526068</v>
      </c>
      <c r="AF396" s="53" t="n">
        <f aca="false">IF($A396="","",ROUND(J396,2))</f>
        <v>3688.74</v>
      </c>
    </row>
    <row r="397" customFormat="false" ht="15" hidden="false" customHeight="false" outlineLevel="0" collapsed="false">
      <c r="A397" s="44" t="str">
        <f aca="false">IF(Weekly_Demand!A397="","",Weekly_Demand!A397)</f>
        <v>20718</v>
      </c>
      <c r="B397" s="44" t="str">
        <f aca="false">IF($A397="","",Weekly_Demand!C397)</f>
        <v>Bags</v>
      </c>
      <c r="C397" s="45" t="n">
        <f aca="false">IF($A397="","",Weekly_Demand!D397)</f>
        <v>0.75</v>
      </c>
      <c r="D397" s="46" t="n">
        <f aca="false">IF($A397="","",Weekly_Demand!E397+Assumptions!$B$19)</f>
        <v>6</v>
      </c>
      <c r="E397" s="46" t="n">
        <f aca="false">IF($A397="","",Weekly_Demand!F397)</f>
        <v>1375</v>
      </c>
      <c r="F397" s="46" t="n">
        <f aca="false">IF($A397="","",SUM(Weekly_Demand!G397:BF397))</f>
        <v>4470</v>
      </c>
      <c r="G397" s="51" t="n">
        <f aca="false">IF($A397="","",IFERROR(F397/Assumptions!$B$6,0))</f>
        <v>85.9615384615385</v>
      </c>
      <c r="H397" s="51" t="n">
        <f aca="false">IF($A397="","",STDEV(Weekly_Demand!G397:BF397))</f>
        <v>54.4548604353891</v>
      </c>
      <c r="I397" s="52" t="n">
        <f aca="false">IF($A397="","",IFERROR(H397/G397,0))</f>
        <v>0.633479360769627</v>
      </c>
      <c r="J397" s="53" t="n">
        <f aca="false">IF($A397="","",F397*C397)</f>
        <v>3352.5</v>
      </c>
      <c r="K397" s="54" t="n">
        <f aca="false">IF($A397="","",IFERROR(J397/$J$505,0))</f>
        <v>0.000867467307656722</v>
      </c>
      <c r="L397" s="54" t="n">
        <f aca="false">IF($A397="","",IFERROR(SUMIFS($J$5:$J$504,$AB$5:$AB$504,"&lt;="&amp;AB397)/$J$505,0))</f>
        <v>0.941920909638934</v>
      </c>
      <c r="M397" s="55" t="str">
        <f aca="false">IF($A397="","",IF(L397&lt;=Assumptions!$B$7,"A",IF(L397&lt;=Assumptions!$B$8,"B","C")))</f>
        <v>B</v>
      </c>
      <c r="N397" s="55" t="str">
        <f aca="false">IF($A397="","",IF(I397&lt;=Assumptions!$B$9,"X",IF(I397&lt;=Assumptions!$B$10,"Y","Z")))</f>
        <v>Y</v>
      </c>
      <c r="O397" s="56" t="str">
        <f aca="false">IF($A397="","",M397&amp;N397)</f>
        <v>BY</v>
      </c>
      <c r="P397" s="57" t="n">
        <f aca="false">IF($A397="","",INDEX(Assumptions!$B$35:$B$37,MATCH(M397,Assumptions!$A$35:$A$37,0)))</f>
        <v>0.95</v>
      </c>
      <c r="Q397" s="58" t="n">
        <f aca="false">IF($A397="","",NORMSINV(P397))</f>
        <v>1.64485362695147</v>
      </c>
      <c r="R397" s="48" t="n">
        <f aca="false">IF($A397="","",ROUNDUP(Q397*H397*SQRT(D397),0))</f>
        <v>220</v>
      </c>
      <c r="S397" s="48" t="n">
        <f aca="false">IF($A397="","",ROUNDUP(G397*D397+R397,0))</f>
        <v>736</v>
      </c>
      <c r="T397" s="46" t="n">
        <f aca="false">IF($A397="","",IFERROR(ROUND(SQRT(2*F397*Assumptions!$B$4/(Assumptions!$B$5*C397)),0),0))</f>
        <v>1544</v>
      </c>
      <c r="U397" s="53" t="n">
        <f aca="false">IF($A397="","",R397*C397)</f>
        <v>165</v>
      </c>
      <c r="V397" s="53" t="n">
        <f aca="false">IF($A397="","",E397*C397)</f>
        <v>1031.25</v>
      </c>
      <c r="W397" s="59" t="n">
        <f aca="false">IF($A397="","",IFERROR(E397/G397,0))</f>
        <v>15.9955257270694</v>
      </c>
      <c r="X397" s="48" t="n">
        <f aca="false">IF($A397="","",S397+T397)</f>
        <v>2280</v>
      </c>
      <c r="Y397" s="48" t="n">
        <f aca="false">IF($A397="","",MAX(0,E397-X397))</f>
        <v>0</v>
      </c>
      <c r="Z397" s="53" t="n">
        <f aca="false">IF($A397="","",Y397*C397)</f>
        <v>0</v>
      </c>
      <c r="AA397" s="56" t="str">
        <f aca="false">IF($A397="","",IF(E397&lt;=R397,"Below Safety Stock",IF(E397&lt;=S397,"Reorder Now",IF(E397&gt;X397,"Excess","Healthy"))))</f>
        <v>Healthy</v>
      </c>
      <c r="AB397" s="48" t="n">
        <f aca="false">IF($A397="","",RANK(AF397,$AF$5:$AF$504,0)+COUNTIF($AF$5:AF397,AF397)-1)</f>
        <v>427</v>
      </c>
      <c r="AC397" s="44" t="str">
        <f aca="false">IF($A397="","",Weekly_Demand!B397)</f>
        <v>RED RETROSPOT SHOPPER BAG</v>
      </c>
      <c r="AD397" s="59" t="n">
        <f aca="false">IF($A397="","",H397*SQRT(D397))</f>
        <v>133.386622081175</v>
      </c>
      <c r="AE397" s="53" t="n">
        <f aca="false">IF($A397="","",AD397*C397)</f>
        <v>100.039966560881</v>
      </c>
      <c r="AF397" s="53" t="n">
        <f aca="false">IF($A397="","",ROUND(J397,2))</f>
        <v>3352.5</v>
      </c>
    </row>
    <row r="398" customFormat="false" ht="15" hidden="false" customHeight="false" outlineLevel="0" collapsed="false">
      <c r="A398" s="44" t="str">
        <f aca="false">IF(Weekly_Demand!A398="","",Weekly_Demand!A398)</f>
        <v>22303</v>
      </c>
      <c r="B398" s="44" t="str">
        <f aca="false">IF($A398="","",Weekly_Demand!C398)</f>
        <v>Kitchen</v>
      </c>
      <c r="C398" s="45" t="n">
        <f aca="false">IF($A398="","",Weekly_Demand!D398)</f>
        <v>1.53</v>
      </c>
      <c r="D398" s="46" t="n">
        <f aca="false">IF($A398="","",Weekly_Demand!E398+Assumptions!$B$19)</f>
        <v>8</v>
      </c>
      <c r="E398" s="46" t="n">
        <f aca="false">IF($A398="","",Weekly_Demand!F398)</f>
        <v>319</v>
      </c>
      <c r="F398" s="46" t="n">
        <f aca="false">IF($A398="","",SUM(Weekly_Demand!G398:BF398))</f>
        <v>2762</v>
      </c>
      <c r="G398" s="51" t="n">
        <f aca="false">IF($A398="","",IFERROR(F398/Assumptions!$B$6,0))</f>
        <v>53.1153846153846</v>
      </c>
      <c r="H398" s="51" t="n">
        <f aca="false">IF($A398="","",STDEV(Weekly_Demand!G398:BF398))</f>
        <v>64.0219490077515</v>
      </c>
      <c r="I398" s="52" t="n">
        <f aca="false">IF($A398="","",IFERROR(H398/G398,0))</f>
        <v>1.20533720072523</v>
      </c>
      <c r="J398" s="53" t="n">
        <f aca="false">IF($A398="","",F398*C398)</f>
        <v>4225.86</v>
      </c>
      <c r="K398" s="54" t="n">
        <f aca="false">IF($A398="","",IFERROR(J398/$J$505,0))</f>
        <v>0.00109345127419366</v>
      </c>
      <c r="L398" s="54" t="n">
        <f aca="false">IF($A398="","",IFERROR(SUMIFS($J$5:$J$504,$AB$5:$AB$504,"&lt;="&amp;AB398)/$J$505,0))</f>
        <v>0.853376077112809</v>
      </c>
      <c r="M398" s="55" t="str">
        <f aca="false">IF($A398="","",IF(L398&lt;=Assumptions!$B$7,"A",IF(L398&lt;=Assumptions!$B$8,"B","C")))</f>
        <v>B</v>
      </c>
      <c r="N398" s="55" t="str">
        <f aca="false">IF($A398="","",IF(I398&lt;=Assumptions!$B$9,"X",IF(I398&lt;=Assumptions!$B$10,"Y","Z")))</f>
        <v>Z</v>
      </c>
      <c r="O398" s="56" t="str">
        <f aca="false">IF($A398="","",M398&amp;N398)</f>
        <v>BZ</v>
      </c>
      <c r="P398" s="57" t="n">
        <f aca="false">IF($A398="","",INDEX(Assumptions!$B$35:$B$37,MATCH(M398,Assumptions!$A$35:$A$37,0)))</f>
        <v>0.95</v>
      </c>
      <c r="Q398" s="58" t="n">
        <f aca="false">IF($A398="","",NORMSINV(P398))</f>
        <v>1.64485362695147</v>
      </c>
      <c r="R398" s="48" t="n">
        <f aca="false">IF($A398="","",ROUNDUP(Q398*H398*SQRT(D398),0))</f>
        <v>298</v>
      </c>
      <c r="S398" s="48" t="n">
        <f aca="false">IF($A398="","",ROUNDUP(G398*D398+R398,0))</f>
        <v>723</v>
      </c>
      <c r="T398" s="46" t="n">
        <f aca="false">IF($A398="","",IFERROR(ROUND(SQRT(2*F398*Assumptions!$B$4/(Assumptions!$B$5*C398)),0),0))</f>
        <v>850</v>
      </c>
      <c r="U398" s="53" t="n">
        <f aca="false">IF($A398="","",R398*C398)</f>
        <v>455.94</v>
      </c>
      <c r="V398" s="53" t="n">
        <f aca="false">IF($A398="","",E398*C398)</f>
        <v>488.07</v>
      </c>
      <c r="W398" s="59" t="n">
        <f aca="false">IF($A398="","",IFERROR(E398/G398,0))</f>
        <v>6.00579290369298</v>
      </c>
      <c r="X398" s="48" t="n">
        <f aca="false">IF($A398="","",S398+T398)</f>
        <v>1573</v>
      </c>
      <c r="Y398" s="48" t="n">
        <f aca="false">IF($A398="","",MAX(0,E398-X398))</f>
        <v>0</v>
      </c>
      <c r="Z398" s="53" t="n">
        <f aca="false">IF($A398="","",Y398*C398)</f>
        <v>0</v>
      </c>
      <c r="AA398" s="56" t="str">
        <f aca="false">IF($A398="","",IF(E398&lt;=R398,"Below Safety Stock",IF(E398&lt;=S398,"Reorder Now",IF(E398&gt;X398,"Excess","Healthy"))))</f>
        <v>Reorder Now</v>
      </c>
      <c r="AB398" s="48" t="n">
        <f aca="false">IF($A398="","",RANK(AF398,$AF$5:$AF$504,0)+COUNTIF($AF$5:AF398,AF398)-1)</f>
        <v>337</v>
      </c>
      <c r="AC398" s="44" t="str">
        <f aca="false">IF($A398="","",Weekly_Demand!B398)</f>
        <v>COFFEE MUG APPLES DESIGN</v>
      </c>
      <c r="AD398" s="59" t="n">
        <f aca="false">IF($A398="","",H398*SQRT(D398))</f>
        <v>181.081417152642</v>
      </c>
      <c r="AE398" s="53" t="n">
        <f aca="false">IF($A398="","",AD398*C398)</f>
        <v>277.054568243542</v>
      </c>
      <c r="AF398" s="53" t="n">
        <f aca="false">IF($A398="","",ROUND(J398,2))</f>
        <v>4225.86</v>
      </c>
    </row>
    <row r="399" customFormat="false" ht="15" hidden="false" customHeight="false" outlineLevel="0" collapsed="false">
      <c r="A399" s="44" t="str">
        <f aca="false">IF(Weekly_Demand!A399="","",Weekly_Demand!A399)</f>
        <v>22895</v>
      </c>
      <c r="B399" s="44" t="str">
        <f aca="false">IF($A399="","",Weekly_Demand!C399)</f>
        <v>Other</v>
      </c>
      <c r="C399" s="45" t="n">
        <f aca="false">IF($A399="","",Weekly_Demand!D399)</f>
        <v>1.95</v>
      </c>
      <c r="D399" s="46" t="n">
        <f aca="false">IF($A399="","",Weekly_Demand!E399+Assumptions!$B$19)</f>
        <v>8</v>
      </c>
      <c r="E399" s="46" t="n">
        <f aca="false">IF($A399="","",Weekly_Demand!F399)</f>
        <v>388</v>
      </c>
      <c r="F399" s="46" t="n">
        <f aca="false">IF($A399="","",SUM(Weekly_Demand!G399:BF399))</f>
        <v>2020</v>
      </c>
      <c r="G399" s="51" t="n">
        <f aca="false">IF($A399="","",IFERROR(F399/Assumptions!$B$6,0))</f>
        <v>38.8461538461539</v>
      </c>
      <c r="H399" s="51" t="n">
        <f aca="false">IF($A399="","",STDEV(Weekly_Demand!G399:BF399))</f>
        <v>43.6440075689865</v>
      </c>
      <c r="I399" s="52" t="n">
        <f aca="false">IF($A399="","",IFERROR(H399/G399,0))</f>
        <v>1.12350910573629</v>
      </c>
      <c r="J399" s="53" t="n">
        <f aca="false">IF($A399="","",F399*C399)</f>
        <v>3939</v>
      </c>
      <c r="K399" s="54" t="n">
        <f aca="false">IF($A399="","",IFERROR(J399/$J$505,0))</f>
        <v>0.00101922557042799</v>
      </c>
      <c r="L399" s="54" t="n">
        <f aca="false">IF($A399="","",IFERROR(SUMIFS($J$5:$J$504,$AB$5:$AB$504,"&lt;="&amp;AB399)/$J$505,0))</f>
        <v>0.886208125709335</v>
      </c>
      <c r="M399" s="55" t="str">
        <f aca="false">IF($A399="","",IF(L399&lt;=Assumptions!$B$7,"A",IF(L399&lt;=Assumptions!$B$8,"B","C")))</f>
        <v>B</v>
      </c>
      <c r="N399" s="55" t="str">
        <f aca="false">IF($A399="","",IF(I399&lt;=Assumptions!$B$9,"X",IF(I399&lt;=Assumptions!$B$10,"Y","Z")))</f>
        <v>Z</v>
      </c>
      <c r="O399" s="56" t="str">
        <f aca="false">IF($A399="","",M399&amp;N399)</f>
        <v>BZ</v>
      </c>
      <c r="P399" s="57" t="n">
        <f aca="false">IF($A399="","",INDEX(Assumptions!$B$35:$B$37,MATCH(M399,Assumptions!$A$35:$A$37,0)))</f>
        <v>0.95</v>
      </c>
      <c r="Q399" s="58" t="n">
        <f aca="false">IF($A399="","",NORMSINV(P399))</f>
        <v>1.64485362695147</v>
      </c>
      <c r="R399" s="48" t="n">
        <f aca="false">IF($A399="","",ROUNDUP(Q399*H399*SQRT(D399),0))</f>
        <v>204</v>
      </c>
      <c r="S399" s="48" t="n">
        <f aca="false">IF($A399="","",ROUNDUP(G399*D399+R399,0))</f>
        <v>515</v>
      </c>
      <c r="T399" s="46" t="n">
        <f aca="false">IF($A399="","",IFERROR(ROUND(SQRT(2*F399*Assumptions!$B$4/(Assumptions!$B$5*C399)),0),0))</f>
        <v>644</v>
      </c>
      <c r="U399" s="53" t="n">
        <f aca="false">IF($A399="","",R399*C399)</f>
        <v>397.8</v>
      </c>
      <c r="V399" s="53" t="n">
        <f aca="false">IF($A399="","",E399*C399)</f>
        <v>756.6</v>
      </c>
      <c r="W399" s="59" t="n">
        <f aca="false">IF($A399="","",IFERROR(E399/G399,0))</f>
        <v>9.98811881188119</v>
      </c>
      <c r="X399" s="48" t="n">
        <f aca="false">IF($A399="","",S399+T399)</f>
        <v>1159</v>
      </c>
      <c r="Y399" s="48" t="n">
        <f aca="false">IF($A399="","",MAX(0,E399-X399))</f>
        <v>0</v>
      </c>
      <c r="Z399" s="53" t="n">
        <f aca="false">IF($A399="","",Y399*C399)</f>
        <v>0</v>
      </c>
      <c r="AA399" s="56" t="str">
        <f aca="false">IF($A399="","",IF(E399&lt;=R399,"Below Safety Stock",IF(E399&lt;=S399,"Reorder Now",IF(E399&gt;X399,"Excess","Healthy"))))</f>
        <v>Reorder Now</v>
      </c>
      <c r="AB399" s="48" t="n">
        <f aca="false">IF($A399="","",RANK(AF399,$AF$5:$AF$504,0)+COUNTIF($AF$5:AF399,AF399)-1)</f>
        <v>368</v>
      </c>
      <c r="AC399" s="44" t="str">
        <f aca="false">IF($A399="","",Weekly_Demand!B399)</f>
        <v>SET OF 2 TEA TOWELS APPLE AND PEARS</v>
      </c>
      <c r="AD399" s="59" t="n">
        <f aca="false">IF($A399="","",H399*SQRT(D399))</f>
        <v>123.443894840749</v>
      </c>
      <c r="AE399" s="53" t="n">
        <f aca="false">IF($A399="","",AD399*C399)</f>
        <v>240.715594939461</v>
      </c>
      <c r="AF399" s="53" t="n">
        <f aca="false">IF($A399="","",ROUND(J399,2))</f>
        <v>3939</v>
      </c>
    </row>
    <row r="400" customFormat="false" ht="15" hidden="false" customHeight="false" outlineLevel="0" collapsed="false">
      <c r="A400" s="44" t="str">
        <f aca="false">IF(Weekly_Demand!A400="","",Weekly_Demand!A400)</f>
        <v>22635</v>
      </c>
      <c r="B400" s="44" t="str">
        <f aca="false">IF($A400="","",Weekly_Demand!C400)</f>
        <v>Other</v>
      </c>
      <c r="C400" s="45" t="n">
        <f aca="false">IF($A400="","",Weekly_Demand!D400)</f>
        <v>5.97</v>
      </c>
      <c r="D400" s="46" t="n">
        <f aca="false">IF($A400="","",Weekly_Demand!E400+Assumptions!$B$19)</f>
        <v>8</v>
      </c>
      <c r="E400" s="46" t="n">
        <f aca="false">IF($A400="","",Weekly_Demand!F400)</f>
        <v>151</v>
      </c>
      <c r="F400" s="46" t="n">
        <f aca="false">IF($A400="","",SUM(Weekly_Demand!G400:BF400))</f>
        <v>654</v>
      </c>
      <c r="G400" s="51" t="n">
        <f aca="false">IF($A400="","",IFERROR(F400/Assumptions!$B$6,0))</f>
        <v>12.5769230769231</v>
      </c>
      <c r="H400" s="51" t="n">
        <f aca="false">IF($A400="","",STDEV(Weekly_Demand!G400:BF400))</f>
        <v>13.4810631945968</v>
      </c>
      <c r="I400" s="52" t="n">
        <f aca="false">IF($A400="","",IFERROR(H400/G400,0))</f>
        <v>1.07188881669577</v>
      </c>
      <c r="J400" s="53" t="n">
        <f aca="false">IF($A400="","",F400*C400)</f>
        <v>3904.38</v>
      </c>
      <c r="K400" s="54" t="n">
        <f aca="false">IF($A400="","",IFERROR(J400/$J$505,0))</f>
        <v>0.00101026756351044</v>
      </c>
      <c r="L400" s="54" t="n">
        <f aca="false">IF($A400="","",IFERROR(SUMIFS($J$5:$J$504,$AB$5:$AB$504,"&lt;="&amp;AB400)/$J$505,0))</f>
        <v>0.889249143943284</v>
      </c>
      <c r="M400" s="55" t="str">
        <f aca="false">IF($A400="","",IF(L400&lt;=Assumptions!$B$7,"A",IF(L400&lt;=Assumptions!$B$8,"B","C")))</f>
        <v>B</v>
      </c>
      <c r="N400" s="55" t="str">
        <f aca="false">IF($A400="","",IF(I400&lt;=Assumptions!$B$9,"X",IF(I400&lt;=Assumptions!$B$10,"Y","Z")))</f>
        <v>Z</v>
      </c>
      <c r="O400" s="56" t="str">
        <f aca="false">IF($A400="","",M400&amp;N400)</f>
        <v>BZ</v>
      </c>
      <c r="P400" s="57" t="n">
        <f aca="false">IF($A400="","",INDEX(Assumptions!$B$35:$B$37,MATCH(M400,Assumptions!$A$35:$A$37,0)))</f>
        <v>0.95</v>
      </c>
      <c r="Q400" s="58" t="n">
        <f aca="false">IF($A400="","",NORMSINV(P400))</f>
        <v>1.64485362695147</v>
      </c>
      <c r="R400" s="48" t="n">
        <f aca="false">IF($A400="","",ROUNDUP(Q400*H400*SQRT(D400),0))</f>
        <v>63</v>
      </c>
      <c r="S400" s="48" t="n">
        <f aca="false">IF($A400="","",ROUNDUP(G400*D400+R400,0))</f>
        <v>164</v>
      </c>
      <c r="T400" s="46" t="n">
        <f aca="false">IF($A400="","",IFERROR(ROUND(SQRT(2*F400*Assumptions!$B$4/(Assumptions!$B$5*C400)),0),0))</f>
        <v>209</v>
      </c>
      <c r="U400" s="53" t="n">
        <f aca="false">IF($A400="","",R400*C400)</f>
        <v>376.11</v>
      </c>
      <c r="V400" s="53" t="n">
        <f aca="false">IF($A400="","",E400*C400)</f>
        <v>901.47</v>
      </c>
      <c r="W400" s="59" t="n">
        <f aca="false">IF($A400="","",IFERROR(E400/G400,0))</f>
        <v>12.0061162079511</v>
      </c>
      <c r="X400" s="48" t="n">
        <f aca="false">IF($A400="","",S400+T400)</f>
        <v>373</v>
      </c>
      <c r="Y400" s="48" t="n">
        <f aca="false">IF($A400="","",MAX(0,E400-X400))</f>
        <v>0</v>
      </c>
      <c r="Z400" s="53" t="n">
        <f aca="false">IF($A400="","",Y400*C400)</f>
        <v>0</v>
      </c>
      <c r="AA400" s="56" t="str">
        <f aca="false">IF($A400="","",IF(E400&lt;=R400,"Below Safety Stock",IF(E400&lt;=S400,"Reorder Now",IF(E400&gt;X400,"Excess","Healthy"))))</f>
        <v>Reorder Now</v>
      </c>
      <c r="AB400" s="48" t="n">
        <f aca="false">IF($A400="","",RANK(AF400,$AF$5:$AF$504,0)+COUNTIF($AF$5:AF400,AF400)-1)</f>
        <v>371</v>
      </c>
      <c r="AC400" s="44" t="str">
        <f aca="false">IF($A400="","",Weekly_Demand!B400)</f>
        <v>CHILDS BREAKFAST SET DOLLY GIRL</v>
      </c>
      <c r="AD400" s="59" t="n">
        <f aca="false">IF($A400="","",H400*SQRT(D400))</f>
        <v>38.1302048100151</v>
      </c>
      <c r="AE400" s="53" t="n">
        <f aca="false">IF($A400="","",AD400*C400)</f>
        <v>227.63732271579</v>
      </c>
      <c r="AF400" s="53" t="n">
        <f aca="false">IF($A400="","",ROUND(J400,2))</f>
        <v>3904.38</v>
      </c>
    </row>
    <row r="401" customFormat="false" ht="15" hidden="false" customHeight="false" outlineLevel="0" collapsed="false">
      <c r="A401" s="44" t="str">
        <f aca="false">IF(Weekly_Demand!A401="","",Weekly_Demand!A401)</f>
        <v>23172</v>
      </c>
      <c r="B401" s="44" t="str">
        <f aca="false">IF($A401="","",Weekly_Demand!C401)</f>
        <v>Other</v>
      </c>
      <c r="C401" s="45" t="n">
        <f aca="false">IF($A401="","",Weekly_Demand!D401)</f>
        <v>0.99</v>
      </c>
      <c r="D401" s="46" t="n">
        <f aca="false">IF($A401="","",Weekly_Demand!E401+Assumptions!$B$19)</f>
        <v>2</v>
      </c>
      <c r="E401" s="46" t="n">
        <f aca="false">IF($A401="","",Weekly_Demand!F401)</f>
        <v>289</v>
      </c>
      <c r="F401" s="46" t="n">
        <f aca="false">IF($A401="","",SUM(Weekly_Demand!G401:BF401))</f>
        <v>3757</v>
      </c>
      <c r="G401" s="51" t="n">
        <f aca="false">IF($A401="","",IFERROR(F401/Assumptions!$B$6,0))</f>
        <v>72.25</v>
      </c>
      <c r="H401" s="51" t="n">
        <f aca="false">IF($A401="","",STDEV(Weekly_Demand!G401:BF401))</f>
        <v>113.456716286821</v>
      </c>
      <c r="I401" s="52" t="n">
        <f aca="false">IF($A401="","",IFERROR(H401/G401,0))</f>
        <v>1.57033517352002</v>
      </c>
      <c r="J401" s="53" t="n">
        <f aca="false">IF($A401="","",F401*C401)</f>
        <v>3719.43</v>
      </c>
      <c r="K401" s="54" t="n">
        <f aca="false">IF($A401="","",IFERROR(J401/$J$505,0))</f>
        <v>0.000962411313383339</v>
      </c>
      <c r="L401" s="54" t="n">
        <f aca="false">IF($A401="","",IFERROR(SUMIFS($J$5:$J$504,$AB$5:$AB$504,"&lt;="&amp;AB401)/$J$505,0))</f>
        <v>0.910940294770561</v>
      </c>
      <c r="M401" s="55" t="str">
        <f aca="false">IF($A401="","",IF(L401&lt;=Assumptions!$B$7,"A",IF(L401&lt;=Assumptions!$B$8,"B","C")))</f>
        <v>B</v>
      </c>
      <c r="N401" s="55" t="str">
        <f aca="false">IF($A401="","",IF(I401&lt;=Assumptions!$B$9,"X",IF(I401&lt;=Assumptions!$B$10,"Y","Z")))</f>
        <v>Z</v>
      </c>
      <c r="O401" s="56" t="str">
        <f aca="false">IF($A401="","",M401&amp;N401)</f>
        <v>BZ</v>
      </c>
      <c r="P401" s="57" t="n">
        <f aca="false">IF($A401="","",INDEX(Assumptions!$B$35:$B$37,MATCH(M401,Assumptions!$A$35:$A$37,0)))</f>
        <v>0.95</v>
      </c>
      <c r="Q401" s="58" t="n">
        <f aca="false">IF($A401="","",NORMSINV(P401))</f>
        <v>1.64485362695147</v>
      </c>
      <c r="R401" s="48" t="n">
        <f aca="false">IF($A401="","",ROUNDUP(Q401*H401*SQRT(D401),0))</f>
        <v>264</v>
      </c>
      <c r="S401" s="48" t="n">
        <f aca="false">IF($A401="","",ROUNDUP(G401*D401+R401,0))</f>
        <v>409</v>
      </c>
      <c r="T401" s="46" t="n">
        <f aca="false">IF($A401="","",IFERROR(ROUND(SQRT(2*F401*Assumptions!$B$4/(Assumptions!$B$5*C401)),0),0))</f>
        <v>1232</v>
      </c>
      <c r="U401" s="53" t="n">
        <f aca="false">IF($A401="","",R401*C401)</f>
        <v>261.36</v>
      </c>
      <c r="V401" s="53" t="n">
        <f aca="false">IF($A401="","",E401*C401)</f>
        <v>286.11</v>
      </c>
      <c r="W401" s="59" t="n">
        <f aca="false">IF($A401="","",IFERROR(E401/G401,0))</f>
        <v>4</v>
      </c>
      <c r="X401" s="48" t="n">
        <f aca="false">IF($A401="","",S401+T401)</f>
        <v>1641</v>
      </c>
      <c r="Y401" s="48" t="n">
        <f aca="false">IF($A401="","",MAX(0,E401-X401))</f>
        <v>0</v>
      </c>
      <c r="Z401" s="53" t="n">
        <f aca="false">IF($A401="","",Y401*C401)</f>
        <v>0</v>
      </c>
      <c r="AA401" s="56" t="str">
        <f aca="false">IF($A401="","",IF(E401&lt;=R401,"Below Safety Stock",IF(E401&lt;=S401,"Reorder Now",IF(E401&gt;X401,"Excess","Healthy"))))</f>
        <v>Reorder Now</v>
      </c>
      <c r="AB401" s="48" t="n">
        <f aca="false">IF($A401="","",RANK(AF401,$AF$5:$AF$504,0)+COUNTIF($AF$5:AF401,AF401)-1)</f>
        <v>393</v>
      </c>
      <c r="AC401" s="44" t="str">
        <f aca="false">IF($A401="","",Weekly_Demand!B401)</f>
        <v>REGENCY TEA PLATE PINK</v>
      </c>
      <c r="AD401" s="59" t="n">
        <f aca="false">IF($A401="","",H401*SQRT(D401))</f>
        <v>160.452026915139</v>
      </c>
      <c r="AE401" s="53" t="n">
        <f aca="false">IF($A401="","",AD401*C401)</f>
        <v>158.847506645988</v>
      </c>
      <c r="AF401" s="53" t="n">
        <f aca="false">IF($A401="","",ROUND(J401,2))</f>
        <v>3719.43</v>
      </c>
    </row>
    <row r="402" customFormat="false" ht="15" hidden="false" customHeight="false" outlineLevel="0" collapsed="false">
      <c r="A402" s="44" t="str">
        <f aca="false">IF(Weekly_Demand!A402="","",Weekly_Demand!A402)</f>
        <v>23188</v>
      </c>
      <c r="B402" s="44" t="str">
        <f aca="false">IF($A402="","",Weekly_Demand!C402)</f>
        <v>Other</v>
      </c>
      <c r="C402" s="45" t="n">
        <f aca="false">IF($A402="","",Weekly_Demand!D402)</f>
        <v>0.99</v>
      </c>
      <c r="D402" s="46" t="n">
        <f aca="false">IF($A402="","",Weekly_Demand!E402+Assumptions!$B$19)</f>
        <v>2</v>
      </c>
      <c r="E402" s="46" t="n">
        <f aca="false">IF($A402="","",Weekly_Demand!F402)</f>
        <v>253</v>
      </c>
      <c r="F402" s="46" t="n">
        <f aca="false">IF($A402="","",SUM(Weekly_Demand!G402:BF402))</f>
        <v>3294</v>
      </c>
      <c r="G402" s="51" t="n">
        <f aca="false">IF($A402="","",IFERROR(F402/Assumptions!$B$6,0))</f>
        <v>63.3461538461539</v>
      </c>
      <c r="H402" s="51" t="n">
        <f aca="false">IF($A402="","",STDEV(Weekly_Demand!G402:BF402))</f>
        <v>89.1376737798212</v>
      </c>
      <c r="I402" s="52" t="n">
        <f aca="false">IF($A402="","",IFERROR(H402/G402,0))</f>
        <v>1.40715210581381</v>
      </c>
      <c r="J402" s="53" t="n">
        <f aca="false">IF($A402="","",F402*C402)</f>
        <v>3261.06</v>
      </c>
      <c r="K402" s="54" t="n">
        <f aca="false">IF($A402="","",IFERROR(J402/$J$505,0))</f>
        <v>0.000843806991292179</v>
      </c>
      <c r="L402" s="54" t="n">
        <f aca="false">IF($A402="","",IFERROR(SUMIFS($J$5:$J$504,$AB$5:$AB$504,"&lt;="&amp;AB402)/$J$505,0))</f>
        <v>0.95049891697153</v>
      </c>
      <c r="M402" s="55" t="str">
        <f aca="false">IF($A402="","",IF(L402&lt;=Assumptions!$B$7,"A",IF(L402&lt;=Assumptions!$B$8,"B","C")))</f>
        <v>C</v>
      </c>
      <c r="N402" s="55" t="str">
        <f aca="false">IF($A402="","",IF(I402&lt;=Assumptions!$B$9,"X",IF(I402&lt;=Assumptions!$B$10,"Y","Z")))</f>
        <v>Z</v>
      </c>
      <c r="O402" s="56" t="str">
        <f aca="false">IF($A402="","",M402&amp;N402)</f>
        <v>CZ</v>
      </c>
      <c r="P402" s="57" t="n">
        <f aca="false">IF($A402="","",INDEX(Assumptions!$B$35:$B$37,MATCH(M402,Assumptions!$A$35:$A$37,0)))</f>
        <v>0.9</v>
      </c>
      <c r="Q402" s="58" t="n">
        <f aca="false">IF($A402="","",NORMSINV(P402))</f>
        <v>1.2815515655446</v>
      </c>
      <c r="R402" s="48" t="n">
        <f aca="false">IF($A402="","",ROUNDUP(Q402*H402*SQRT(D402),0))</f>
        <v>162</v>
      </c>
      <c r="S402" s="48" t="n">
        <f aca="false">IF($A402="","",ROUNDUP(G402*D402+R402,0))</f>
        <v>289</v>
      </c>
      <c r="T402" s="46" t="n">
        <f aca="false">IF($A402="","",IFERROR(ROUND(SQRT(2*F402*Assumptions!$B$4/(Assumptions!$B$5*C402)),0),0))</f>
        <v>1154</v>
      </c>
      <c r="U402" s="53" t="n">
        <f aca="false">IF($A402="","",R402*C402)</f>
        <v>160.38</v>
      </c>
      <c r="V402" s="53" t="n">
        <f aca="false">IF($A402="","",E402*C402)</f>
        <v>250.47</v>
      </c>
      <c r="W402" s="59" t="n">
        <f aca="false">IF($A402="","",IFERROR(E402/G402,0))</f>
        <v>3.99392835458409</v>
      </c>
      <c r="X402" s="48" t="n">
        <f aca="false">IF($A402="","",S402+T402)</f>
        <v>1443</v>
      </c>
      <c r="Y402" s="48" t="n">
        <f aca="false">IF($A402="","",MAX(0,E402-X402))</f>
        <v>0</v>
      </c>
      <c r="Z402" s="53" t="n">
        <f aca="false">IF($A402="","",Y402*C402)</f>
        <v>0</v>
      </c>
      <c r="AA402" s="56" t="str">
        <f aca="false">IF($A402="","",IF(E402&lt;=R402,"Below Safety Stock",IF(E402&lt;=S402,"Reorder Now",IF(E402&gt;X402,"Excess","Healthy"))))</f>
        <v>Reorder Now</v>
      </c>
      <c r="AB402" s="48" t="n">
        <f aca="false">IF($A402="","",RANK(AF402,$AF$5:$AF$504,0)+COUNTIF($AF$5:AF402,AF402)-1)</f>
        <v>437</v>
      </c>
      <c r="AC402" s="44" t="str">
        <f aca="false">IF($A402="","",Weekly_Demand!B402)</f>
        <v>VINTAGE  2 METER FOLDING RULER</v>
      </c>
      <c r="AD402" s="59" t="n">
        <f aca="false">IF($A402="","",H402*SQRT(D402))</f>
        <v>126.059707177812</v>
      </c>
      <c r="AE402" s="53" t="n">
        <f aca="false">IF($A402="","",AD402*C402)</f>
        <v>124.799110106034</v>
      </c>
      <c r="AF402" s="53" t="n">
        <f aca="false">IF($A402="","",ROUND(J402,2))</f>
        <v>3261.06</v>
      </c>
    </row>
    <row r="403" customFormat="false" ht="15" hidden="false" customHeight="false" outlineLevel="0" collapsed="false">
      <c r="A403" s="44" t="str">
        <f aca="false">IF(Weekly_Demand!A403="","",Weekly_Demand!A403)</f>
        <v>23307</v>
      </c>
      <c r="B403" s="44" t="str">
        <f aca="false">IF($A403="","",Weekly_Demand!C403)</f>
        <v>Kitchen</v>
      </c>
      <c r="C403" s="45" t="n">
        <f aca="false">IF($A403="","",Weekly_Demand!D403)</f>
        <v>0.33</v>
      </c>
      <c r="D403" s="46" t="n">
        <f aca="false">IF($A403="","",Weekly_Demand!E403+Assumptions!$B$19)</f>
        <v>8</v>
      </c>
      <c r="E403" s="46" t="n">
        <f aca="false">IF($A403="","",Weekly_Demand!F403)</f>
        <v>664</v>
      </c>
      <c r="F403" s="46" t="n">
        <f aca="false">IF($A403="","",SUM(Weekly_Demand!G403:BF403))</f>
        <v>11517</v>
      </c>
      <c r="G403" s="51" t="n">
        <f aca="false">IF($A403="","",IFERROR(F403/Assumptions!$B$6,0))</f>
        <v>221.480769230769</v>
      </c>
      <c r="H403" s="51" t="n">
        <f aca="false">IF($A403="","",STDEV(Weekly_Demand!G403:BF403))</f>
        <v>290.897562347622</v>
      </c>
      <c r="I403" s="52" t="n">
        <f aca="false">IF($A403="","",IFERROR(H403/G403,0))</f>
        <v>1.31342131128561</v>
      </c>
      <c r="J403" s="53" t="n">
        <f aca="false">IF($A403="","",F403*C403)</f>
        <v>3800.61</v>
      </c>
      <c r="K403" s="54" t="n">
        <f aca="false">IF($A403="","",IFERROR(J403/$J$505,0))</f>
        <v>0.000983416830470758</v>
      </c>
      <c r="L403" s="54" t="n">
        <f aca="false">IF($A403="","",IFERROR(SUMIFS($J$5:$J$504,$AB$5:$AB$504,"&lt;="&amp;AB403)/$J$505,0))</f>
        <v>0.902199847877518</v>
      </c>
      <c r="M403" s="55" t="str">
        <f aca="false">IF($A403="","",IF(L403&lt;=Assumptions!$B$7,"A",IF(L403&lt;=Assumptions!$B$8,"B","C")))</f>
        <v>B</v>
      </c>
      <c r="N403" s="55" t="str">
        <f aca="false">IF($A403="","",IF(I403&lt;=Assumptions!$B$9,"X",IF(I403&lt;=Assumptions!$B$10,"Y","Z")))</f>
        <v>Z</v>
      </c>
      <c r="O403" s="56" t="str">
        <f aca="false">IF($A403="","",M403&amp;N403)</f>
        <v>BZ</v>
      </c>
      <c r="P403" s="57" t="n">
        <f aca="false">IF($A403="","",INDEX(Assumptions!$B$35:$B$37,MATCH(M403,Assumptions!$A$35:$A$37,0)))</f>
        <v>0.95</v>
      </c>
      <c r="Q403" s="58" t="n">
        <f aca="false">IF($A403="","",NORMSINV(P403))</f>
        <v>1.64485362695147</v>
      </c>
      <c r="R403" s="48" t="n">
        <f aca="false">IF($A403="","",ROUNDUP(Q403*H403*SQRT(D403),0))</f>
        <v>1354</v>
      </c>
      <c r="S403" s="48" t="n">
        <f aca="false">IF($A403="","",ROUNDUP(G403*D403+R403,0))</f>
        <v>3126</v>
      </c>
      <c r="T403" s="46" t="n">
        <f aca="false">IF($A403="","",IFERROR(ROUND(SQRT(2*F403*Assumptions!$B$4/(Assumptions!$B$5*C403)),0),0))</f>
        <v>3736</v>
      </c>
      <c r="U403" s="53" t="n">
        <f aca="false">IF($A403="","",R403*C403)</f>
        <v>446.82</v>
      </c>
      <c r="V403" s="53" t="n">
        <f aca="false">IF($A403="","",E403*C403)</f>
        <v>219.12</v>
      </c>
      <c r="W403" s="59" t="n">
        <f aca="false">IF($A403="","",IFERROR(E403/G403,0))</f>
        <v>2.99800295215768</v>
      </c>
      <c r="X403" s="48" t="n">
        <f aca="false">IF($A403="","",S403+T403)</f>
        <v>6862</v>
      </c>
      <c r="Y403" s="48" t="n">
        <f aca="false">IF($A403="","",MAX(0,E403-X403))</f>
        <v>0</v>
      </c>
      <c r="Z403" s="53" t="n">
        <f aca="false">IF($A403="","",Y403*C403)</f>
        <v>0</v>
      </c>
      <c r="AA403" s="56" t="str">
        <f aca="false">IF($A403="","",IF(E403&lt;=R403,"Below Safety Stock",IF(E403&lt;=S403,"Reorder Now",IF(E403&gt;X403,"Excess","Healthy"))))</f>
        <v>Below Safety Stock</v>
      </c>
      <c r="AB403" s="48" t="n">
        <f aca="false">IF($A403="","",RANK(AF403,$AF$5:$AF$504,0)+COUNTIF($AF$5:AF403,AF403)-1)</f>
        <v>384</v>
      </c>
      <c r="AC403" s="44" t="str">
        <f aca="false">IF($A403="","",Weekly_Demand!B403)</f>
        <v>SET OF 60 PANTRY DESIGN CAKE CASES</v>
      </c>
      <c r="AD403" s="59" t="n">
        <f aca="false">IF($A403="","",H403*SQRT(D403))</f>
        <v>822.782555866561</v>
      </c>
      <c r="AE403" s="53" t="n">
        <f aca="false">IF($A403="","",AD403*C403)</f>
        <v>271.518243435965</v>
      </c>
      <c r="AF403" s="53" t="n">
        <f aca="false">IF($A403="","",ROUND(J403,2))</f>
        <v>3800.61</v>
      </c>
    </row>
    <row r="404" customFormat="false" ht="15" hidden="false" customHeight="false" outlineLevel="0" collapsed="false">
      <c r="A404" s="44" t="str">
        <f aca="false">IF(Weekly_Demand!A404="","",Weekly_Demand!A404)</f>
        <v>22141</v>
      </c>
      <c r="B404" s="44" t="str">
        <f aca="false">IF($A404="","",Weekly_Demand!C404)</f>
        <v>Other</v>
      </c>
      <c r="C404" s="45" t="n">
        <f aca="false">IF($A404="","",Weekly_Demand!D404)</f>
        <v>1.26</v>
      </c>
      <c r="D404" s="46" t="n">
        <f aca="false">IF($A404="","",Weekly_Demand!E404+Assumptions!$B$19)</f>
        <v>4</v>
      </c>
      <c r="E404" s="46" t="n">
        <f aca="false">IF($A404="","",Weekly_Demand!F404)</f>
        <v>613</v>
      </c>
      <c r="F404" s="46" t="n">
        <f aca="false">IF($A404="","",SUM(Weekly_Demand!G404:BF404))</f>
        <v>2657</v>
      </c>
      <c r="G404" s="51" t="n">
        <f aca="false">IF($A404="","",IFERROR(F404/Assumptions!$B$6,0))</f>
        <v>51.0961538461539</v>
      </c>
      <c r="H404" s="51" t="n">
        <f aca="false">IF($A404="","",STDEV(Weekly_Demand!G404:BF404))</f>
        <v>85.1612679188403</v>
      </c>
      <c r="I404" s="52" t="n">
        <f aca="false">IF($A404="","",IFERROR(H404/G404,0))</f>
        <v>1.6666864628452</v>
      </c>
      <c r="J404" s="53" t="n">
        <f aca="false">IF($A404="","",F404*C404)</f>
        <v>3347.82</v>
      </c>
      <c r="K404" s="54" t="n">
        <f aca="false">IF($A404="","",IFERROR(J404/$J$505,0))</f>
        <v>0.000866256346582947</v>
      </c>
      <c r="L404" s="54" t="n">
        <f aca="false">IF($A404="","",IFERROR(SUMIFS($J$5:$J$504,$AB$5:$AB$504,"&lt;="&amp;AB404)/$J$505,0))</f>
        <v>0.942787165985517</v>
      </c>
      <c r="M404" s="55" t="str">
        <f aca="false">IF($A404="","",IF(L404&lt;=Assumptions!$B$7,"A",IF(L404&lt;=Assumptions!$B$8,"B","C")))</f>
        <v>B</v>
      </c>
      <c r="N404" s="55" t="str">
        <f aca="false">IF($A404="","",IF(I404&lt;=Assumptions!$B$9,"X",IF(I404&lt;=Assumptions!$B$10,"Y","Z")))</f>
        <v>Z</v>
      </c>
      <c r="O404" s="56" t="str">
        <f aca="false">IF($A404="","",M404&amp;N404)</f>
        <v>BZ</v>
      </c>
      <c r="P404" s="57" t="n">
        <f aca="false">IF($A404="","",INDEX(Assumptions!$B$35:$B$37,MATCH(M404,Assumptions!$A$35:$A$37,0)))</f>
        <v>0.95</v>
      </c>
      <c r="Q404" s="58" t="n">
        <f aca="false">IF($A404="","",NORMSINV(P404))</f>
        <v>1.64485362695147</v>
      </c>
      <c r="R404" s="48" t="n">
        <f aca="false">IF($A404="","",ROUNDUP(Q404*H404*SQRT(D404),0))</f>
        <v>281</v>
      </c>
      <c r="S404" s="48" t="n">
        <f aca="false">IF($A404="","",ROUNDUP(G404*D404+R404,0))</f>
        <v>486</v>
      </c>
      <c r="T404" s="46" t="n">
        <f aca="false">IF($A404="","",IFERROR(ROUND(SQRT(2*F404*Assumptions!$B$4/(Assumptions!$B$5*C404)),0),0))</f>
        <v>918</v>
      </c>
      <c r="U404" s="53" t="n">
        <f aca="false">IF($A404="","",R404*C404)</f>
        <v>354.06</v>
      </c>
      <c r="V404" s="53" t="n">
        <f aca="false">IF($A404="","",E404*C404)</f>
        <v>772.38</v>
      </c>
      <c r="W404" s="59" t="n">
        <f aca="false">IF($A404="","",IFERROR(E404/G404,0))</f>
        <v>11.9969890854347</v>
      </c>
      <c r="X404" s="48" t="n">
        <f aca="false">IF($A404="","",S404+T404)</f>
        <v>1404</v>
      </c>
      <c r="Y404" s="48" t="n">
        <f aca="false">IF($A404="","",MAX(0,E404-X404))</f>
        <v>0</v>
      </c>
      <c r="Z404" s="53" t="n">
        <f aca="false">IF($A404="","",Y404*C404)</f>
        <v>0</v>
      </c>
      <c r="AA404" s="56" t="str">
        <f aca="false">IF($A404="","",IF(E404&lt;=R404,"Below Safety Stock",IF(E404&lt;=S404,"Reorder Now",IF(E404&gt;X404,"Excess","Healthy"))))</f>
        <v>Healthy</v>
      </c>
      <c r="AB404" s="48" t="n">
        <f aca="false">IF($A404="","",RANK(AF404,$AF$5:$AF$504,0)+COUNTIF($AF$5:AF404,AF404)-1)</f>
        <v>428</v>
      </c>
      <c r="AC404" s="44" t="str">
        <f aca="false">IF($A404="","",Weekly_Demand!B404)</f>
        <v>CHRISTMAS CRAFT TREE TOP ANGEL</v>
      </c>
      <c r="AD404" s="59" t="n">
        <f aca="false">IF($A404="","",H404*SQRT(D404))</f>
        <v>170.322535837681</v>
      </c>
      <c r="AE404" s="53" t="n">
        <f aca="false">IF($A404="","",AD404*C404)</f>
        <v>214.606395155478</v>
      </c>
      <c r="AF404" s="53" t="n">
        <f aca="false">IF($A404="","",ROUND(J404,2))</f>
        <v>3347.82</v>
      </c>
    </row>
    <row r="405" customFormat="false" ht="15" hidden="false" customHeight="false" outlineLevel="0" collapsed="false">
      <c r="A405" s="44" t="str">
        <f aca="false">IF(Weekly_Demand!A405="","",Weekly_Demand!A405)</f>
        <v>21670</v>
      </c>
      <c r="B405" s="44" t="str">
        <f aca="false">IF($A405="","",Weekly_Demand!C405)</f>
        <v>Other</v>
      </c>
      <c r="C405" s="45" t="n">
        <f aca="false">IF($A405="","",Weekly_Demand!D405)</f>
        <v>0.75</v>
      </c>
      <c r="D405" s="46" t="n">
        <f aca="false">IF($A405="","",Weekly_Demand!E405+Assumptions!$B$19)</f>
        <v>6</v>
      </c>
      <c r="E405" s="46" t="n">
        <f aca="false">IF($A405="","",Weekly_Demand!F405)</f>
        <v>580</v>
      </c>
      <c r="F405" s="46" t="n">
        <f aca="false">IF($A405="","",SUM(Weekly_Demand!G405:BF405))</f>
        <v>4309</v>
      </c>
      <c r="G405" s="51" t="n">
        <f aca="false">IF($A405="","",IFERROR(F405/Assumptions!$B$6,0))</f>
        <v>82.8653846153846</v>
      </c>
      <c r="H405" s="51" t="n">
        <f aca="false">IF($A405="","",STDEV(Weekly_Demand!G405:BF405))</f>
        <v>55.1095268964553</v>
      </c>
      <c r="I405" s="52" t="n">
        <f aca="false">IF($A405="","",IFERROR(H405/G405,0))</f>
        <v>0.665048827713083</v>
      </c>
      <c r="J405" s="53" t="n">
        <f aca="false">IF($A405="","",F405*C405)</f>
        <v>3231.75</v>
      </c>
      <c r="K405" s="54" t="n">
        <f aca="false">IF($A405="","",IFERROR(J405/$J$505,0))</f>
        <v>0.000836222959439109</v>
      </c>
      <c r="L405" s="54" t="n">
        <f aca="false">IF($A405="","",IFERROR(SUMIFS($J$5:$J$504,$AB$5:$AB$504,"&lt;="&amp;AB405)/$J$505,0))</f>
        <v>0.957203007065369</v>
      </c>
      <c r="M405" s="55" t="str">
        <f aca="false">IF($A405="","",IF(L405&lt;=Assumptions!$B$7,"A",IF(L405&lt;=Assumptions!$B$8,"B","C")))</f>
        <v>C</v>
      </c>
      <c r="N405" s="55" t="str">
        <f aca="false">IF($A405="","",IF(I405&lt;=Assumptions!$B$9,"X",IF(I405&lt;=Assumptions!$B$10,"Y","Z")))</f>
        <v>Y</v>
      </c>
      <c r="O405" s="56" t="str">
        <f aca="false">IF($A405="","",M405&amp;N405)</f>
        <v>CY</v>
      </c>
      <c r="P405" s="57" t="n">
        <f aca="false">IF($A405="","",INDEX(Assumptions!$B$35:$B$37,MATCH(M405,Assumptions!$A$35:$A$37,0)))</f>
        <v>0.9</v>
      </c>
      <c r="Q405" s="58" t="n">
        <f aca="false">IF($A405="","",NORMSINV(P405))</f>
        <v>1.2815515655446</v>
      </c>
      <c r="R405" s="48" t="n">
        <f aca="false">IF($A405="","",ROUNDUP(Q405*H405*SQRT(D405),0))</f>
        <v>173</v>
      </c>
      <c r="S405" s="48" t="n">
        <f aca="false">IF($A405="","",ROUNDUP(G405*D405+R405,0))</f>
        <v>671</v>
      </c>
      <c r="T405" s="46" t="n">
        <f aca="false">IF($A405="","",IFERROR(ROUND(SQRT(2*F405*Assumptions!$B$4/(Assumptions!$B$5*C405)),0),0))</f>
        <v>1516</v>
      </c>
      <c r="U405" s="53" t="n">
        <f aca="false">IF($A405="","",R405*C405)</f>
        <v>129.75</v>
      </c>
      <c r="V405" s="53" t="n">
        <f aca="false">IF($A405="","",E405*C405)</f>
        <v>435</v>
      </c>
      <c r="W405" s="59" t="n">
        <f aca="false">IF($A405="","",IFERROR(E405/G405,0))</f>
        <v>6.99930378278023</v>
      </c>
      <c r="X405" s="48" t="n">
        <f aca="false">IF($A405="","",S405+T405)</f>
        <v>2187</v>
      </c>
      <c r="Y405" s="48" t="n">
        <f aca="false">IF($A405="","",MAX(0,E405-X405))</f>
        <v>0</v>
      </c>
      <c r="Z405" s="53" t="n">
        <f aca="false">IF($A405="","",Y405*C405)</f>
        <v>0</v>
      </c>
      <c r="AA405" s="56" t="str">
        <f aca="false">IF($A405="","",IF(E405&lt;=R405,"Below Safety Stock",IF(E405&lt;=S405,"Reorder Now",IF(E405&gt;X405,"Excess","Healthy"))))</f>
        <v>Reorder Now</v>
      </c>
      <c r="AB405" s="48" t="n">
        <f aca="false">IF($A405="","",RANK(AF405,$AF$5:$AF$504,0)+COUNTIF($AF$5:AF405,AF405)-1)</f>
        <v>445</v>
      </c>
      <c r="AC405" s="44" t="str">
        <f aca="false">IF($A405="","",Weekly_Demand!B405)</f>
        <v>BLUE SPOT CERAMIC DRAWER KNOB</v>
      </c>
      <c r="AD405" s="59" t="n">
        <f aca="false">IF($A405="","",H405*SQRT(D405))</f>
        <v>134.990220862501</v>
      </c>
      <c r="AE405" s="53" t="n">
        <f aca="false">IF($A405="","",AD405*C405)</f>
        <v>101.242665646876</v>
      </c>
      <c r="AF405" s="53" t="n">
        <f aca="false">IF($A405="","",ROUND(J405,2))</f>
        <v>3231.75</v>
      </c>
    </row>
    <row r="406" customFormat="false" ht="15" hidden="false" customHeight="false" outlineLevel="0" collapsed="false">
      <c r="A406" s="44" t="str">
        <f aca="false">IF(Weekly_Demand!A406="","",Weekly_Demand!A406)</f>
        <v>47556B</v>
      </c>
      <c r="B406" s="44" t="str">
        <f aca="false">IF($A406="","",Weekly_Demand!C406)</f>
        <v>Other</v>
      </c>
      <c r="C406" s="45" t="n">
        <f aca="false">IF($A406="","",Weekly_Demand!D406)</f>
        <v>1.395</v>
      </c>
      <c r="D406" s="46" t="n">
        <f aca="false">IF($A406="","",Weekly_Demand!E406+Assumptions!$B$19)</f>
        <v>2</v>
      </c>
      <c r="E406" s="46" t="n">
        <f aca="false">IF($A406="","",Weekly_Demand!F406)</f>
        <v>550</v>
      </c>
      <c r="F406" s="46" t="n">
        <f aca="false">IF($A406="","",SUM(Weekly_Demand!G406:BF406))</f>
        <v>2600</v>
      </c>
      <c r="G406" s="51" t="n">
        <f aca="false">IF($A406="","",IFERROR(F406/Assumptions!$B$6,0))</f>
        <v>50</v>
      </c>
      <c r="H406" s="51" t="n">
        <f aca="false">IF($A406="","",STDEV(Weekly_Demand!G406:BF406))</f>
        <v>252.439082148701</v>
      </c>
      <c r="I406" s="52" t="n">
        <f aca="false">IF($A406="","",IFERROR(H406/G406,0))</f>
        <v>5.04878164297401</v>
      </c>
      <c r="J406" s="53" t="n">
        <f aca="false">IF($A406="","",F406*C406)</f>
        <v>3627</v>
      </c>
      <c r="K406" s="54" t="n">
        <f aca="false">IF($A406="","",IFERROR(J406/$J$505,0))</f>
        <v>0.000938494832176266</v>
      </c>
      <c r="L406" s="54" t="n">
        <f aca="false">IF($A406="","",IFERROR(SUMIFS($J$5:$J$504,$AB$5:$AB$504,"&lt;="&amp;AB406)/$J$505,0))</f>
        <v>0.92142235364248</v>
      </c>
      <c r="M406" s="55" t="str">
        <f aca="false">IF($A406="","",IF(L406&lt;=Assumptions!$B$7,"A",IF(L406&lt;=Assumptions!$B$8,"B","C")))</f>
        <v>B</v>
      </c>
      <c r="N406" s="55" t="str">
        <f aca="false">IF($A406="","",IF(I406&lt;=Assumptions!$B$9,"X",IF(I406&lt;=Assumptions!$B$10,"Y","Z")))</f>
        <v>Z</v>
      </c>
      <c r="O406" s="56" t="str">
        <f aca="false">IF($A406="","",M406&amp;N406)</f>
        <v>BZ</v>
      </c>
      <c r="P406" s="57" t="n">
        <f aca="false">IF($A406="","",INDEX(Assumptions!$B$35:$B$37,MATCH(M406,Assumptions!$A$35:$A$37,0)))</f>
        <v>0.95</v>
      </c>
      <c r="Q406" s="58" t="n">
        <f aca="false">IF($A406="","",NORMSINV(P406))</f>
        <v>1.64485362695147</v>
      </c>
      <c r="R406" s="48" t="n">
        <f aca="false">IF($A406="","",ROUNDUP(Q406*H406*SQRT(D406),0))</f>
        <v>588</v>
      </c>
      <c r="S406" s="48" t="n">
        <f aca="false">IF($A406="","",ROUNDUP(G406*D406+R406,0))</f>
        <v>688</v>
      </c>
      <c r="T406" s="46" t="n">
        <f aca="false">IF($A406="","",IFERROR(ROUND(SQRT(2*F406*Assumptions!$B$4/(Assumptions!$B$5*C406)),0),0))</f>
        <v>863</v>
      </c>
      <c r="U406" s="53" t="n">
        <f aca="false">IF($A406="","",R406*C406)</f>
        <v>820.26</v>
      </c>
      <c r="V406" s="53" t="n">
        <f aca="false">IF($A406="","",E406*C406)</f>
        <v>767.25</v>
      </c>
      <c r="W406" s="59" t="n">
        <f aca="false">IF($A406="","",IFERROR(E406/G406,0))</f>
        <v>11</v>
      </c>
      <c r="X406" s="48" t="n">
        <f aca="false">IF($A406="","",S406+T406)</f>
        <v>1551</v>
      </c>
      <c r="Y406" s="48" t="n">
        <f aca="false">IF($A406="","",MAX(0,E406-X406))</f>
        <v>0</v>
      </c>
      <c r="Z406" s="53" t="n">
        <f aca="false">IF($A406="","",Y406*C406)</f>
        <v>0</v>
      </c>
      <c r="AA406" s="56" t="str">
        <f aca="false">IF($A406="","",IF(E406&lt;=R406,"Below Safety Stock",IF(E406&lt;=S406,"Reorder Now",IF(E406&gt;X406,"Excess","Healthy"))))</f>
        <v>Below Safety Stock</v>
      </c>
      <c r="AB406" s="48" t="n">
        <f aca="false">IF($A406="","",RANK(AF406,$AF$5:$AF$504,0)+COUNTIF($AF$5:AF406,AF406)-1)</f>
        <v>404</v>
      </c>
      <c r="AC406" s="44" t="str">
        <f aca="false">IF($A406="","",Weekly_Demand!B406)</f>
        <v>TEA TIME TEA TOWELS</v>
      </c>
      <c r="AD406" s="59" t="n">
        <f aca="false">IF($A406="","",H406*SQRT(D406))</f>
        <v>357.002773647708</v>
      </c>
      <c r="AE406" s="53" t="n">
        <f aca="false">IF($A406="","",AD406*C406)</f>
        <v>498.018869238553</v>
      </c>
      <c r="AF406" s="53" t="n">
        <f aca="false">IF($A406="","",ROUND(J406,2))</f>
        <v>3627</v>
      </c>
    </row>
    <row r="407" customFormat="false" ht="15" hidden="false" customHeight="false" outlineLevel="0" collapsed="false">
      <c r="A407" s="44" t="str">
        <f aca="false">IF(Weekly_Demand!A407="","",Weekly_Demand!A407)</f>
        <v>21122</v>
      </c>
      <c r="B407" s="44" t="str">
        <f aca="false">IF($A407="","",Weekly_Demand!C407)</f>
        <v>Lighting</v>
      </c>
      <c r="C407" s="45" t="n">
        <f aca="false">IF($A407="","",Weekly_Demand!D407)</f>
        <v>0.75</v>
      </c>
      <c r="D407" s="46" t="n">
        <f aca="false">IF($A407="","",Weekly_Demand!E407+Assumptions!$B$19)</f>
        <v>6</v>
      </c>
      <c r="E407" s="46" t="n">
        <f aca="false">IF($A407="","",Weekly_Demand!F407)</f>
        <v>853</v>
      </c>
      <c r="F407" s="46" t="n">
        <f aca="false">IF($A407="","",SUM(Weekly_Demand!G407:BF407))</f>
        <v>4928</v>
      </c>
      <c r="G407" s="51" t="n">
        <f aca="false">IF($A407="","",IFERROR(F407/Assumptions!$B$6,0))</f>
        <v>94.7692307692308</v>
      </c>
      <c r="H407" s="51" t="n">
        <f aca="false">IF($A407="","",STDEV(Weekly_Demand!G407:BF407))</f>
        <v>93.0672570177528</v>
      </c>
      <c r="I407" s="52" t="n">
        <f aca="false">IF($A407="","",IFERROR(H407/G407,0))</f>
        <v>0.982040861388625</v>
      </c>
      <c r="J407" s="53" t="n">
        <f aca="false">IF($A407="","",F407*C407)</f>
        <v>3696</v>
      </c>
      <c r="K407" s="54" t="n">
        <f aca="false">IF($A407="","",IFERROR(J407/$J$505,0))</f>
        <v>0.000956348745443474</v>
      </c>
      <c r="L407" s="54" t="n">
        <f aca="false">IF($A407="","",IFERROR(SUMIFS($J$5:$J$504,$AB$5:$AB$504,"&lt;="&amp;AB407)/$J$505,0))</f>
        <v>0.914772190129279</v>
      </c>
      <c r="M407" s="55" t="str">
        <f aca="false">IF($A407="","",IF(L407&lt;=Assumptions!$B$7,"A",IF(L407&lt;=Assumptions!$B$8,"B","C")))</f>
        <v>B</v>
      </c>
      <c r="N407" s="55" t="str">
        <f aca="false">IF($A407="","",IF(I407&lt;=Assumptions!$B$9,"X",IF(I407&lt;=Assumptions!$B$10,"Y","Z")))</f>
        <v>Y</v>
      </c>
      <c r="O407" s="56" t="str">
        <f aca="false">IF($A407="","",M407&amp;N407)</f>
        <v>BY</v>
      </c>
      <c r="P407" s="57" t="n">
        <f aca="false">IF($A407="","",INDEX(Assumptions!$B$35:$B$37,MATCH(M407,Assumptions!$A$35:$A$37,0)))</f>
        <v>0.95</v>
      </c>
      <c r="Q407" s="58" t="n">
        <f aca="false">IF($A407="","",NORMSINV(P407))</f>
        <v>1.64485362695147</v>
      </c>
      <c r="R407" s="48" t="n">
        <f aca="false">IF($A407="","",ROUNDUP(Q407*H407*SQRT(D407),0))</f>
        <v>375</v>
      </c>
      <c r="S407" s="48" t="n">
        <f aca="false">IF($A407="","",ROUNDUP(G407*D407+R407,0))</f>
        <v>944</v>
      </c>
      <c r="T407" s="46" t="n">
        <f aca="false">IF($A407="","",IFERROR(ROUND(SQRT(2*F407*Assumptions!$B$4/(Assumptions!$B$5*C407)),0),0))</f>
        <v>1621</v>
      </c>
      <c r="U407" s="53" t="n">
        <f aca="false">IF($A407="","",R407*C407)</f>
        <v>281.25</v>
      </c>
      <c r="V407" s="53" t="n">
        <f aca="false">IF($A407="","",E407*C407)</f>
        <v>639.75</v>
      </c>
      <c r="W407" s="59" t="n">
        <f aca="false">IF($A407="","",IFERROR(E407/G407,0))</f>
        <v>9.00081168831169</v>
      </c>
      <c r="X407" s="48" t="n">
        <f aca="false">IF($A407="","",S407+T407)</f>
        <v>2565</v>
      </c>
      <c r="Y407" s="48" t="n">
        <f aca="false">IF($A407="","",MAX(0,E407-X407))</f>
        <v>0</v>
      </c>
      <c r="Z407" s="53" t="n">
        <f aca="false">IF($A407="","",Y407*C407)</f>
        <v>0</v>
      </c>
      <c r="AA407" s="56" t="str">
        <f aca="false">IF($A407="","",IF(E407&lt;=R407,"Below Safety Stock",IF(E407&lt;=S407,"Reorder Now",IF(E407&gt;X407,"Excess","Healthy"))))</f>
        <v>Reorder Now</v>
      </c>
      <c r="AB407" s="48" t="n">
        <f aca="false">IF($A407="","",RANK(AF407,$AF$5:$AF$504,0)+COUNTIF($AF$5:AF407,AF407)-1)</f>
        <v>397</v>
      </c>
      <c r="AC407" s="44" t="str">
        <f aca="false">IF($A407="","",Weekly_Demand!B407)</f>
        <v>SET/10 PINK POLKADOT PARTY CANDLES</v>
      </c>
      <c r="AD407" s="59" t="n">
        <f aca="false">IF($A407="","",H407*SQRT(D407))</f>
        <v>227.967291453951</v>
      </c>
      <c r="AE407" s="53" t="n">
        <f aca="false">IF($A407="","",AD407*C407)</f>
        <v>170.975468590463</v>
      </c>
      <c r="AF407" s="53" t="n">
        <f aca="false">IF($A407="","",ROUND(J407,2))</f>
        <v>3696</v>
      </c>
    </row>
    <row r="408" customFormat="false" ht="15" hidden="false" customHeight="false" outlineLevel="0" collapsed="false">
      <c r="A408" s="44" t="str">
        <f aca="false">IF(Weekly_Demand!A408="","",Weekly_Demand!A408)</f>
        <v>23480</v>
      </c>
      <c r="B408" s="44" t="str">
        <f aca="false">IF($A408="","",Weekly_Demand!C408)</f>
        <v>Lighting</v>
      </c>
      <c r="C408" s="45" t="n">
        <f aca="false">IF($A408="","",Weekly_Demand!D408)</f>
        <v>2.25</v>
      </c>
      <c r="D408" s="46" t="n">
        <f aca="false">IF($A408="","",Weekly_Demand!E408+Assumptions!$B$19)</f>
        <v>2</v>
      </c>
      <c r="E408" s="46" t="n">
        <f aca="false">IF($A408="","",Weekly_Demand!F408)</f>
        <v>125</v>
      </c>
      <c r="F408" s="46" t="n">
        <f aca="false">IF($A408="","",SUM(Weekly_Demand!G408:BF408))</f>
        <v>1629</v>
      </c>
      <c r="G408" s="51" t="n">
        <f aca="false">IF($A408="","",IFERROR(F408/Assumptions!$B$6,0))</f>
        <v>31.3269230769231</v>
      </c>
      <c r="H408" s="51" t="n">
        <f aca="false">IF($A408="","",STDEV(Weekly_Demand!G408:BF408))</f>
        <v>89.50949586033</v>
      </c>
      <c r="I408" s="52" t="n">
        <f aca="false">IF($A408="","",IFERROR(H408/G408,0))</f>
        <v>2.85727058608788</v>
      </c>
      <c r="J408" s="53" t="n">
        <f aca="false">IF($A408="","",F408*C408)</f>
        <v>3665.25</v>
      </c>
      <c r="K408" s="54" t="n">
        <f aca="false">IF($A408="","",IFERROR(J408/$J$505,0))</f>
        <v>0.000948392110183088</v>
      </c>
      <c r="L408" s="54" t="n">
        <f aca="false">IF($A408="","",IFERROR(SUMIFS($J$5:$J$504,$AB$5:$AB$504,"&lt;="&amp;AB408)/$J$505,0))</f>
        <v>0.919538424239666</v>
      </c>
      <c r="M408" s="55" t="str">
        <f aca="false">IF($A408="","",IF(L408&lt;=Assumptions!$B$7,"A",IF(L408&lt;=Assumptions!$B$8,"B","C")))</f>
        <v>B</v>
      </c>
      <c r="N408" s="55" t="str">
        <f aca="false">IF($A408="","",IF(I408&lt;=Assumptions!$B$9,"X",IF(I408&lt;=Assumptions!$B$10,"Y","Z")))</f>
        <v>Z</v>
      </c>
      <c r="O408" s="56" t="str">
        <f aca="false">IF($A408="","",M408&amp;N408)</f>
        <v>BZ</v>
      </c>
      <c r="P408" s="57" t="n">
        <f aca="false">IF($A408="","",INDEX(Assumptions!$B$35:$B$37,MATCH(M408,Assumptions!$A$35:$A$37,0)))</f>
        <v>0.95</v>
      </c>
      <c r="Q408" s="58" t="n">
        <f aca="false">IF($A408="","",NORMSINV(P408))</f>
        <v>1.64485362695147</v>
      </c>
      <c r="R408" s="48" t="n">
        <f aca="false">IF($A408="","",ROUNDUP(Q408*H408*SQRT(D408),0))</f>
        <v>209</v>
      </c>
      <c r="S408" s="48" t="n">
        <f aca="false">IF($A408="","",ROUNDUP(G408*D408+R408,0))</f>
        <v>272</v>
      </c>
      <c r="T408" s="46" t="n">
        <f aca="false">IF($A408="","",IFERROR(ROUND(SQRT(2*F408*Assumptions!$B$4/(Assumptions!$B$5*C408)),0),0))</f>
        <v>538</v>
      </c>
      <c r="U408" s="53" t="n">
        <f aca="false">IF($A408="","",R408*C408)</f>
        <v>470.25</v>
      </c>
      <c r="V408" s="53" t="n">
        <f aca="false">IF($A408="","",E408*C408)</f>
        <v>281.25</v>
      </c>
      <c r="W408" s="59" t="n">
        <f aca="false">IF($A408="","",IFERROR(E408/G408,0))</f>
        <v>3.99017802332719</v>
      </c>
      <c r="X408" s="48" t="n">
        <f aca="false">IF($A408="","",S408+T408)</f>
        <v>810</v>
      </c>
      <c r="Y408" s="48" t="n">
        <f aca="false">IF($A408="","",MAX(0,E408-X408))</f>
        <v>0</v>
      </c>
      <c r="Z408" s="53" t="n">
        <f aca="false">IF($A408="","",Y408*C408)</f>
        <v>0</v>
      </c>
      <c r="AA408" s="56" t="str">
        <f aca="false">IF($A408="","",IF(E408&lt;=R408,"Below Safety Stock",IF(E408&lt;=S408,"Reorder Now",IF(E408&gt;X408,"Excess","Healthy"))))</f>
        <v>Below Safety Stock</v>
      </c>
      <c r="AB408" s="48" t="n">
        <f aca="false">IF($A408="","",RANK(AF408,$AF$5:$AF$504,0)+COUNTIF($AF$5:AF408,AF408)-1)</f>
        <v>402</v>
      </c>
      <c r="AC408" s="44" t="str">
        <f aca="false">IF($A408="","",Weekly_Demand!B408)</f>
        <v>MINI LIGHTS WOODLAND MUSHROOMS</v>
      </c>
      <c r="AD408" s="59" t="n">
        <f aca="false">IF($A408="","",H408*SQRT(D408))</f>
        <v>126.585543006857</v>
      </c>
      <c r="AE408" s="53" t="n">
        <f aca="false">IF($A408="","",AD408*C408)</f>
        <v>284.817471765429</v>
      </c>
      <c r="AF408" s="53" t="n">
        <f aca="false">IF($A408="","",ROUND(J408,2))</f>
        <v>3665.25</v>
      </c>
    </row>
    <row r="409" customFormat="false" ht="15" hidden="false" customHeight="false" outlineLevel="0" collapsed="false">
      <c r="A409" s="44" t="str">
        <f aca="false">IF(Weekly_Demand!A409="","",Weekly_Demand!A409)</f>
        <v>21935</v>
      </c>
      <c r="B409" s="44" t="str">
        <f aca="false">IF($A409="","",Weekly_Demand!C409)</f>
        <v>Bags</v>
      </c>
      <c r="C409" s="45" t="n">
        <f aca="false">IF($A409="","",Weekly_Demand!D409)</f>
        <v>0.99</v>
      </c>
      <c r="D409" s="46" t="n">
        <f aca="false">IF($A409="","",Weekly_Demand!E409+Assumptions!$B$19)</f>
        <v>8</v>
      </c>
      <c r="E409" s="46" t="n">
        <f aca="false">IF($A409="","",Weekly_Demand!F409)</f>
        <v>750</v>
      </c>
      <c r="F409" s="46" t="n">
        <f aca="false">IF($A409="","",SUM(Weekly_Demand!G409:BF409))</f>
        <v>3251</v>
      </c>
      <c r="G409" s="51" t="n">
        <f aca="false">IF($A409="","",IFERROR(F409/Assumptions!$B$6,0))</f>
        <v>62.5192307692308</v>
      </c>
      <c r="H409" s="51" t="n">
        <f aca="false">IF($A409="","",STDEV(Weekly_Demand!G409:BF409))</f>
        <v>44.9450603120688</v>
      </c>
      <c r="I409" s="52" t="n">
        <f aca="false">IF($A409="","",IFERROR(H409/G409,0))</f>
        <v>0.718899765065389</v>
      </c>
      <c r="J409" s="53" t="n">
        <f aca="false">IF($A409="","",F409*C409)</f>
        <v>3218.49</v>
      </c>
      <c r="K409" s="54" t="n">
        <f aca="false">IF($A409="","",IFERROR(J409/$J$505,0))</f>
        <v>0.000832791903063411</v>
      </c>
      <c r="L409" s="54" t="n">
        <f aca="false">IF($A409="","",IFERROR(SUMIFS($J$5:$J$504,$AB$5:$AB$504,"&lt;="&amp;AB409)/$J$505,0))</f>
        <v>0.958871200647862</v>
      </c>
      <c r="M409" s="55" t="str">
        <f aca="false">IF($A409="","",IF(L409&lt;=Assumptions!$B$7,"A",IF(L409&lt;=Assumptions!$B$8,"B","C")))</f>
        <v>C</v>
      </c>
      <c r="N409" s="55" t="str">
        <f aca="false">IF($A409="","",IF(I409&lt;=Assumptions!$B$9,"X",IF(I409&lt;=Assumptions!$B$10,"Y","Z")))</f>
        <v>Y</v>
      </c>
      <c r="O409" s="56" t="str">
        <f aca="false">IF($A409="","",M409&amp;N409)</f>
        <v>CY</v>
      </c>
      <c r="P409" s="57" t="n">
        <f aca="false">IF($A409="","",INDEX(Assumptions!$B$35:$B$37,MATCH(M409,Assumptions!$A$35:$A$37,0)))</f>
        <v>0.9</v>
      </c>
      <c r="Q409" s="58" t="n">
        <f aca="false">IF($A409="","",NORMSINV(P409))</f>
        <v>1.2815515655446</v>
      </c>
      <c r="R409" s="48" t="n">
        <f aca="false">IF($A409="","",ROUNDUP(Q409*H409*SQRT(D409),0))</f>
        <v>163</v>
      </c>
      <c r="S409" s="48" t="n">
        <f aca="false">IF($A409="","",ROUNDUP(G409*D409+R409,0))</f>
        <v>664</v>
      </c>
      <c r="T409" s="46" t="n">
        <f aca="false">IF($A409="","",IFERROR(ROUND(SQRT(2*F409*Assumptions!$B$4/(Assumptions!$B$5*C409)),0),0))</f>
        <v>1146</v>
      </c>
      <c r="U409" s="53" t="n">
        <f aca="false">IF($A409="","",R409*C409)</f>
        <v>161.37</v>
      </c>
      <c r="V409" s="53" t="n">
        <f aca="false">IF($A409="","",E409*C409)</f>
        <v>742.5</v>
      </c>
      <c r="W409" s="59" t="n">
        <f aca="false">IF($A409="","",IFERROR(E409/G409,0))</f>
        <v>11.9963088280529</v>
      </c>
      <c r="X409" s="48" t="n">
        <f aca="false">IF($A409="","",S409+T409)</f>
        <v>1810</v>
      </c>
      <c r="Y409" s="48" t="n">
        <f aca="false">IF($A409="","",MAX(0,E409-X409))</f>
        <v>0</v>
      </c>
      <c r="Z409" s="53" t="n">
        <f aca="false">IF($A409="","",Y409*C409)</f>
        <v>0</v>
      </c>
      <c r="AA409" s="56" t="str">
        <f aca="false">IF($A409="","",IF(E409&lt;=R409,"Below Safety Stock",IF(E409&lt;=S409,"Reorder Now",IF(E409&gt;X409,"Excess","Healthy"))))</f>
        <v>Healthy</v>
      </c>
      <c r="AB409" s="48" t="n">
        <f aca="false">IF($A409="","",RANK(AF409,$AF$5:$AF$504,0)+COUNTIF($AF$5:AF409,AF409)-1)</f>
        <v>447</v>
      </c>
      <c r="AC409" s="44" t="str">
        <f aca="false">IF($A409="","",Weekly_Demand!B409)</f>
        <v>SUKI  SHOULDER BAG</v>
      </c>
      <c r="AD409" s="59" t="n">
        <f aca="false">IF($A409="","",H409*SQRT(D409))</f>
        <v>127.123827710009</v>
      </c>
      <c r="AE409" s="53" t="n">
        <f aca="false">IF($A409="","",AD409*C409)</f>
        <v>125.852589432909</v>
      </c>
      <c r="AF409" s="53" t="n">
        <f aca="false">IF($A409="","",ROUND(J409,2))</f>
        <v>3218.49</v>
      </c>
    </row>
    <row r="410" customFormat="false" ht="15" hidden="false" customHeight="false" outlineLevel="0" collapsed="false">
      <c r="A410" s="44" t="str">
        <f aca="false">IF(Weekly_Demand!A410="","",Weekly_Demand!A410)</f>
        <v>23311</v>
      </c>
      <c r="B410" s="44" t="str">
        <f aca="false">IF($A410="","",Weekly_Demand!C410)</f>
        <v>Other</v>
      </c>
      <c r="C410" s="45" t="n">
        <f aca="false">IF($A410="","",Weekly_Demand!D410)</f>
        <v>1.53</v>
      </c>
      <c r="D410" s="46" t="n">
        <f aca="false">IF($A410="","",Weekly_Demand!E410+Assumptions!$B$19)</f>
        <v>8</v>
      </c>
      <c r="E410" s="46" t="n">
        <f aca="false">IF($A410="","",Weekly_Demand!F410)</f>
        <v>561</v>
      </c>
      <c r="F410" s="46" t="n">
        <f aca="false">IF($A410="","",SUM(Weekly_Demand!G410:BF410))</f>
        <v>2245</v>
      </c>
      <c r="G410" s="51" t="n">
        <f aca="false">IF($A410="","",IFERROR(F410/Assumptions!$B$6,0))</f>
        <v>43.1730769230769</v>
      </c>
      <c r="H410" s="51" t="n">
        <f aca="false">IF($A410="","",STDEV(Weekly_Demand!G410:BF410))</f>
        <v>73.9344492800677</v>
      </c>
      <c r="I410" s="52" t="n">
        <f aca="false">IF($A410="","",IFERROR(H410/G410,0))</f>
        <v>1.71251285637573</v>
      </c>
      <c r="J410" s="53" t="n">
        <f aca="false">IF($A410="","",F410*C410)</f>
        <v>3434.85</v>
      </c>
      <c r="K410" s="54" t="n">
        <f aca="false">IF($A410="","",IFERROR(J410/$J$505,0))</f>
        <v>0.000888775565012585</v>
      </c>
      <c r="L410" s="54" t="n">
        <f aca="false">IF($A410="","",IFERROR(SUMIFS($J$5:$J$504,$AB$5:$AB$504,"&lt;="&amp;AB410)/$J$505,0))</f>
        <v>0.933159229009216</v>
      </c>
      <c r="M410" s="55" t="str">
        <f aca="false">IF($A410="","",IF(L410&lt;=Assumptions!$B$7,"A",IF(L410&lt;=Assumptions!$B$8,"B","C")))</f>
        <v>B</v>
      </c>
      <c r="N410" s="55" t="str">
        <f aca="false">IF($A410="","",IF(I410&lt;=Assumptions!$B$9,"X",IF(I410&lt;=Assumptions!$B$10,"Y","Z")))</f>
        <v>Z</v>
      </c>
      <c r="O410" s="56" t="str">
        <f aca="false">IF($A410="","",M410&amp;N410)</f>
        <v>BZ</v>
      </c>
      <c r="P410" s="57" t="n">
        <f aca="false">IF($A410="","",INDEX(Assumptions!$B$35:$B$37,MATCH(M410,Assumptions!$A$35:$A$37,0)))</f>
        <v>0.95</v>
      </c>
      <c r="Q410" s="58" t="n">
        <f aca="false">IF($A410="","",NORMSINV(P410))</f>
        <v>1.64485362695147</v>
      </c>
      <c r="R410" s="48" t="n">
        <f aca="false">IF($A410="","",ROUNDUP(Q410*H410*SQRT(D410),0))</f>
        <v>344</v>
      </c>
      <c r="S410" s="48" t="n">
        <f aca="false">IF($A410="","",ROUNDUP(G410*D410+R410,0))</f>
        <v>690</v>
      </c>
      <c r="T410" s="46" t="n">
        <f aca="false">IF($A410="","",IFERROR(ROUND(SQRT(2*F410*Assumptions!$B$4/(Assumptions!$B$5*C410)),0),0))</f>
        <v>766</v>
      </c>
      <c r="U410" s="53" t="n">
        <f aca="false">IF($A410="","",R410*C410)</f>
        <v>526.32</v>
      </c>
      <c r="V410" s="53" t="n">
        <f aca="false">IF($A410="","",E410*C410)</f>
        <v>858.33</v>
      </c>
      <c r="W410" s="59" t="n">
        <f aca="false">IF($A410="","",IFERROR(E410/G410,0))</f>
        <v>12.9942093541203</v>
      </c>
      <c r="X410" s="48" t="n">
        <f aca="false">IF($A410="","",S410+T410)</f>
        <v>1456</v>
      </c>
      <c r="Y410" s="48" t="n">
        <f aca="false">IF($A410="","",MAX(0,E410-X410))</f>
        <v>0</v>
      </c>
      <c r="Z410" s="53" t="n">
        <f aca="false">IF($A410="","",Y410*C410)</f>
        <v>0</v>
      </c>
      <c r="AA410" s="56" t="str">
        <f aca="false">IF($A410="","",IF(E410&lt;=R410,"Below Safety Stock",IF(E410&lt;=S410,"Reorder Now",IF(E410&gt;X410,"Excess","Healthy"))))</f>
        <v>Reorder Now</v>
      </c>
      <c r="AB410" s="48" t="n">
        <f aca="false">IF($A410="","",RANK(AF410,$AF$5:$AF$504,0)+COUNTIF($AF$5:AF410,AF410)-1)</f>
        <v>417</v>
      </c>
      <c r="AC410" s="44" t="str">
        <f aca="false">IF($A410="","",Weekly_Demand!B410)</f>
        <v>VINTAGE CHRISTMAS STOCKING</v>
      </c>
      <c r="AD410" s="59" t="n">
        <f aca="false">IF($A410="","",H410*SQRT(D410))</f>
        <v>209.118201796915</v>
      </c>
      <c r="AE410" s="53" t="n">
        <f aca="false">IF($A410="","",AD410*C410)</f>
        <v>319.95084874928</v>
      </c>
      <c r="AF410" s="53" t="n">
        <f aca="false">IF($A410="","",ROUND(J410,2))</f>
        <v>3434.85</v>
      </c>
    </row>
    <row r="411" customFormat="false" ht="15" hidden="false" customHeight="false" outlineLevel="0" collapsed="false">
      <c r="A411" s="44" t="str">
        <f aca="false">IF(Weekly_Demand!A411="","",Weekly_Demand!A411)</f>
        <v>21975</v>
      </c>
      <c r="B411" s="44" t="str">
        <f aca="false">IF($A411="","",Weekly_Demand!C411)</f>
        <v>Kitchen</v>
      </c>
      <c r="C411" s="45" t="n">
        <f aca="false">IF($A411="","",Weekly_Demand!D411)</f>
        <v>0.33</v>
      </c>
      <c r="D411" s="46" t="n">
        <f aca="false">IF($A411="","",Weekly_Demand!E411+Assumptions!$B$19)</f>
        <v>8</v>
      </c>
      <c r="E411" s="46" t="n">
        <f aca="false">IF($A411="","",Weekly_Demand!F411)</f>
        <v>3267</v>
      </c>
      <c r="F411" s="46" t="n">
        <f aca="false">IF($A411="","",SUM(Weekly_Demand!G411:BF411))</f>
        <v>12133</v>
      </c>
      <c r="G411" s="51" t="n">
        <f aca="false">IF($A411="","",IFERROR(F411/Assumptions!$B$6,0))</f>
        <v>233.326923076923</v>
      </c>
      <c r="H411" s="51" t="n">
        <f aca="false">IF($A411="","",STDEV(Weekly_Demand!G411:BF411))</f>
        <v>211.257645983347</v>
      </c>
      <c r="I411" s="52" t="n">
        <f aca="false">IF($A411="","",IFERROR(H411/G411,0))</f>
        <v>0.905414785389769</v>
      </c>
      <c r="J411" s="53" t="n">
        <f aca="false">IF($A411="","",F411*C411)</f>
        <v>4003.89</v>
      </c>
      <c r="K411" s="54" t="n">
        <f aca="false">IF($A411="","",IFERROR(J411/$J$505,0))</f>
        <v>0.00103601601147015</v>
      </c>
      <c r="L411" s="54" t="n">
        <f aca="false">IF($A411="","",IFERROR(SUMIFS($J$5:$J$504,$AB$5:$AB$504,"&lt;="&amp;AB411)/$J$505,0))</f>
        <v>0.880049395040099</v>
      </c>
      <c r="M411" s="55" t="str">
        <f aca="false">IF($A411="","",IF(L411&lt;=Assumptions!$B$7,"A",IF(L411&lt;=Assumptions!$B$8,"B","C")))</f>
        <v>B</v>
      </c>
      <c r="N411" s="55" t="str">
        <f aca="false">IF($A411="","",IF(I411&lt;=Assumptions!$B$9,"X",IF(I411&lt;=Assumptions!$B$10,"Y","Z")))</f>
        <v>Y</v>
      </c>
      <c r="O411" s="56" t="str">
        <f aca="false">IF($A411="","",M411&amp;N411)</f>
        <v>BY</v>
      </c>
      <c r="P411" s="57" t="n">
        <f aca="false">IF($A411="","",INDEX(Assumptions!$B$35:$B$37,MATCH(M411,Assumptions!$A$35:$A$37,0)))</f>
        <v>0.95</v>
      </c>
      <c r="Q411" s="58" t="n">
        <f aca="false">IF($A411="","",NORMSINV(P411))</f>
        <v>1.64485362695147</v>
      </c>
      <c r="R411" s="48" t="n">
        <f aca="false">IF($A411="","",ROUNDUP(Q411*H411*SQRT(D411),0))</f>
        <v>983</v>
      </c>
      <c r="S411" s="48" t="n">
        <f aca="false">IF($A411="","",ROUNDUP(G411*D411+R411,0))</f>
        <v>2850</v>
      </c>
      <c r="T411" s="46" t="n">
        <f aca="false">IF($A411="","",IFERROR(ROUND(SQRT(2*F411*Assumptions!$B$4/(Assumptions!$B$5*C411)),0),0))</f>
        <v>3835</v>
      </c>
      <c r="U411" s="53" t="n">
        <f aca="false">IF($A411="","",R411*C411)</f>
        <v>324.39</v>
      </c>
      <c r="V411" s="53" t="n">
        <f aca="false">IF($A411="","",E411*C411)</f>
        <v>1078.11</v>
      </c>
      <c r="W411" s="59" t="n">
        <f aca="false">IF($A411="","",IFERROR(E411/G411,0))</f>
        <v>14.0018132366274</v>
      </c>
      <c r="X411" s="48" t="n">
        <f aca="false">IF($A411="","",S411+T411)</f>
        <v>6685</v>
      </c>
      <c r="Y411" s="48" t="n">
        <f aca="false">IF($A411="","",MAX(0,E411-X411))</f>
        <v>0</v>
      </c>
      <c r="Z411" s="53" t="n">
        <f aca="false">IF($A411="","",Y411*C411)</f>
        <v>0</v>
      </c>
      <c r="AA411" s="56" t="str">
        <f aca="false">IF($A411="","",IF(E411&lt;=R411,"Below Safety Stock",IF(E411&lt;=S411,"Reorder Now",IF(E411&gt;X411,"Excess","Healthy"))))</f>
        <v>Healthy</v>
      </c>
      <c r="AB411" s="48" t="n">
        <f aca="false">IF($A411="","",RANK(AF411,$AF$5:$AF$504,0)+COUNTIF($AF$5:AF411,AF411)-1)</f>
        <v>362</v>
      </c>
      <c r="AC411" s="44" t="str">
        <f aca="false">IF($A411="","",Weekly_Demand!B411)</f>
        <v>PACK OF 60 DINOSAUR CAKE CASES</v>
      </c>
      <c r="AD411" s="59" t="n">
        <f aca="false">IF($A411="","",H411*SQRT(D411))</f>
        <v>597.526856209328</v>
      </c>
      <c r="AE411" s="53" t="n">
        <f aca="false">IF($A411="","",AD411*C411)</f>
        <v>197.183862549078</v>
      </c>
      <c r="AF411" s="53" t="n">
        <f aca="false">IF($A411="","",ROUND(J411,2))</f>
        <v>4003.89</v>
      </c>
    </row>
    <row r="412" customFormat="false" ht="15" hidden="false" customHeight="false" outlineLevel="0" collapsed="false">
      <c r="A412" s="44" t="str">
        <f aca="false">IF(Weekly_Demand!A412="","",Weekly_Demand!A412)</f>
        <v>21258</v>
      </c>
      <c r="B412" s="44" t="str">
        <f aca="false">IF($A412="","",Weekly_Demand!C412)</f>
        <v>Other</v>
      </c>
      <c r="C412" s="45" t="n">
        <f aca="false">IF($A412="","",Weekly_Demand!D412)</f>
        <v>7.65</v>
      </c>
      <c r="D412" s="46" t="n">
        <f aca="false">IF($A412="","",Weekly_Demand!E412+Assumptions!$B$19)</f>
        <v>6</v>
      </c>
      <c r="E412" s="46" t="n">
        <f aca="false">IF($A412="","",Weekly_Demand!F412)</f>
        <v>16</v>
      </c>
      <c r="F412" s="46" t="n">
        <f aca="false">IF($A412="","",SUM(Weekly_Demand!G412:BF412))</f>
        <v>411</v>
      </c>
      <c r="G412" s="51" t="n">
        <f aca="false">IF($A412="","",IFERROR(F412/Assumptions!$B$6,0))</f>
        <v>7.90384615384615</v>
      </c>
      <c r="H412" s="51" t="n">
        <f aca="false">IF($A412="","",STDEV(Weekly_Demand!G412:BF412))</f>
        <v>18.6823389552436</v>
      </c>
      <c r="I412" s="52" t="n">
        <f aca="false">IF($A412="","",IFERROR(H412/G412,0))</f>
        <v>2.36370225224493</v>
      </c>
      <c r="J412" s="53" t="n">
        <f aca="false">IF($A412="","",F412*C412)</f>
        <v>3144.15</v>
      </c>
      <c r="K412" s="54" t="n">
        <f aca="false">IF($A412="","",IFERROR(J412/$J$505,0))</f>
        <v>0.000813556252160741</v>
      </c>
      <c r="L412" s="54" t="n">
        <f aca="false">IF($A412="","",IFERROR(SUMIFS($J$5:$J$504,$AB$5:$AB$504,"&lt;="&amp;AB412)/$J$505,0))</f>
        <v>0.970412067992179</v>
      </c>
      <c r="M412" s="55" t="str">
        <f aca="false">IF($A412="","",IF(L412&lt;=Assumptions!$B$7,"A",IF(L412&lt;=Assumptions!$B$8,"B","C")))</f>
        <v>C</v>
      </c>
      <c r="N412" s="55" t="str">
        <f aca="false">IF($A412="","",IF(I412&lt;=Assumptions!$B$9,"X",IF(I412&lt;=Assumptions!$B$10,"Y","Z")))</f>
        <v>Z</v>
      </c>
      <c r="O412" s="56" t="str">
        <f aca="false">IF($A412="","",M412&amp;N412)</f>
        <v>CZ</v>
      </c>
      <c r="P412" s="57" t="n">
        <f aca="false">IF($A412="","",INDEX(Assumptions!$B$35:$B$37,MATCH(M412,Assumptions!$A$35:$A$37,0)))</f>
        <v>0.9</v>
      </c>
      <c r="Q412" s="58" t="n">
        <f aca="false">IF($A412="","",NORMSINV(P412))</f>
        <v>1.2815515655446</v>
      </c>
      <c r="R412" s="48" t="n">
        <f aca="false">IF($A412="","",ROUNDUP(Q412*H412*SQRT(D412),0))</f>
        <v>59</v>
      </c>
      <c r="S412" s="48" t="n">
        <f aca="false">IF($A412="","",ROUNDUP(G412*D412+R412,0))</f>
        <v>107</v>
      </c>
      <c r="T412" s="46" t="n">
        <f aca="false">IF($A412="","",IFERROR(ROUND(SQRT(2*F412*Assumptions!$B$4/(Assumptions!$B$5*C412)),0),0))</f>
        <v>147</v>
      </c>
      <c r="U412" s="53" t="n">
        <f aca="false">IF($A412="","",R412*C412)</f>
        <v>451.35</v>
      </c>
      <c r="V412" s="53" t="n">
        <f aca="false">IF($A412="","",E412*C412)</f>
        <v>122.4</v>
      </c>
      <c r="W412" s="59" t="n">
        <f aca="false">IF($A412="","",IFERROR(E412/G412,0))</f>
        <v>2.02433090024331</v>
      </c>
      <c r="X412" s="48" t="n">
        <f aca="false">IF($A412="","",S412+T412)</f>
        <v>254</v>
      </c>
      <c r="Y412" s="48" t="n">
        <f aca="false">IF($A412="","",MAX(0,E412-X412))</f>
        <v>0</v>
      </c>
      <c r="Z412" s="53" t="n">
        <f aca="false">IF($A412="","",Y412*C412)</f>
        <v>0</v>
      </c>
      <c r="AA412" s="56" t="str">
        <f aca="false">IF($A412="","",IF(E412&lt;=R412,"Below Safety Stock",IF(E412&lt;=S412,"Reorder Now",IF(E412&gt;X412,"Excess","Healthy"))))</f>
        <v>Below Safety Stock</v>
      </c>
      <c r="AB412" s="48" t="n">
        <f aca="false">IF($A412="","",RANK(AF412,$AF$5:$AF$504,0)+COUNTIF($AF$5:AF412,AF412)-1)</f>
        <v>461</v>
      </c>
      <c r="AC412" s="44" t="str">
        <f aca="false">IF($A412="","",Weekly_Demand!B412)</f>
        <v>VICTORIAN SEWING BOX LARGE</v>
      </c>
      <c r="AD412" s="59" t="n">
        <f aca="false">IF($A412="","",H412*SQRT(D412))</f>
        <v>45.7621976420678</v>
      </c>
      <c r="AE412" s="53" t="n">
        <f aca="false">IF($A412="","",AD412*C412)</f>
        <v>350.080811961818</v>
      </c>
      <c r="AF412" s="53" t="n">
        <f aca="false">IF($A412="","",ROUND(J412,2))</f>
        <v>3144.15</v>
      </c>
    </row>
    <row r="413" customFormat="false" ht="15" hidden="false" customHeight="false" outlineLevel="0" collapsed="false">
      <c r="A413" s="44" t="str">
        <f aca="false">IF(Weekly_Demand!A413="","",Weekly_Demand!A413)</f>
        <v>21535</v>
      </c>
      <c r="B413" s="44" t="str">
        <f aca="false">IF($A413="","",Weekly_Demand!C413)</f>
        <v>Other</v>
      </c>
      <c r="C413" s="45" t="n">
        <f aca="false">IF($A413="","",Weekly_Demand!D413)</f>
        <v>1.53</v>
      </c>
      <c r="D413" s="46" t="n">
        <f aca="false">IF($A413="","",Weekly_Demand!E413+Assumptions!$B$19)</f>
        <v>8</v>
      </c>
      <c r="E413" s="46" t="n">
        <f aca="false">IF($A413="","",Weekly_Demand!F413)</f>
        <v>573</v>
      </c>
      <c r="F413" s="46" t="n">
        <f aca="false">IF($A413="","",SUM(Weekly_Demand!G413:BF413))</f>
        <v>2483</v>
      </c>
      <c r="G413" s="51" t="n">
        <f aca="false">IF($A413="","",IFERROR(F413/Assumptions!$B$6,0))</f>
        <v>47.75</v>
      </c>
      <c r="H413" s="51" t="n">
        <f aca="false">IF($A413="","",STDEV(Weekly_Demand!G413:BF413))</f>
        <v>48.0946269062866</v>
      </c>
      <c r="I413" s="52" t="n">
        <f aca="false">IF($A413="","",IFERROR(H413/G413,0))</f>
        <v>1.00721731740914</v>
      </c>
      <c r="J413" s="53" t="n">
        <f aca="false">IF($A413="","",F413*C413)</f>
        <v>3798.99</v>
      </c>
      <c r="K413" s="54" t="n">
        <f aca="false">IF($A413="","",IFERROR(J413/$J$505,0))</f>
        <v>0.000982997651637528</v>
      </c>
      <c r="L413" s="54" t="n">
        <f aca="false">IF($A413="","",IFERROR(SUMIFS($J$5:$J$504,$AB$5:$AB$504,"&lt;="&amp;AB413)/$J$505,0))</f>
        <v>0.903182845529155</v>
      </c>
      <c r="M413" s="55" t="str">
        <f aca="false">IF($A413="","",IF(L413&lt;=Assumptions!$B$7,"A",IF(L413&lt;=Assumptions!$B$8,"B","C")))</f>
        <v>B</v>
      </c>
      <c r="N413" s="55" t="str">
        <f aca="false">IF($A413="","",IF(I413&lt;=Assumptions!$B$9,"X",IF(I413&lt;=Assumptions!$B$10,"Y","Z")))</f>
        <v>Z</v>
      </c>
      <c r="O413" s="56" t="str">
        <f aca="false">IF($A413="","",M413&amp;N413)</f>
        <v>BZ</v>
      </c>
      <c r="P413" s="57" t="n">
        <f aca="false">IF($A413="","",INDEX(Assumptions!$B$35:$B$37,MATCH(M413,Assumptions!$A$35:$A$37,0)))</f>
        <v>0.95</v>
      </c>
      <c r="Q413" s="58" t="n">
        <f aca="false">IF($A413="","",NORMSINV(P413))</f>
        <v>1.64485362695147</v>
      </c>
      <c r="R413" s="48" t="n">
        <f aca="false">IF($A413="","",ROUNDUP(Q413*H413*SQRT(D413),0))</f>
        <v>224</v>
      </c>
      <c r="S413" s="48" t="n">
        <f aca="false">IF($A413="","",ROUNDUP(G413*D413+R413,0))</f>
        <v>606</v>
      </c>
      <c r="T413" s="46" t="n">
        <f aca="false">IF($A413="","",IFERROR(ROUND(SQRT(2*F413*Assumptions!$B$4/(Assumptions!$B$5*C413)),0),0))</f>
        <v>806</v>
      </c>
      <c r="U413" s="53" t="n">
        <f aca="false">IF($A413="","",R413*C413)</f>
        <v>342.72</v>
      </c>
      <c r="V413" s="53" t="n">
        <f aca="false">IF($A413="","",E413*C413)</f>
        <v>876.69</v>
      </c>
      <c r="W413" s="59" t="n">
        <f aca="false">IF($A413="","",IFERROR(E413/G413,0))</f>
        <v>12</v>
      </c>
      <c r="X413" s="48" t="n">
        <f aca="false">IF($A413="","",S413+T413)</f>
        <v>1412</v>
      </c>
      <c r="Y413" s="48" t="n">
        <f aca="false">IF($A413="","",MAX(0,E413-X413))</f>
        <v>0</v>
      </c>
      <c r="Z413" s="53" t="n">
        <f aca="false">IF($A413="","",Y413*C413)</f>
        <v>0</v>
      </c>
      <c r="AA413" s="56" t="str">
        <f aca="false">IF($A413="","",IF(E413&lt;=R413,"Below Safety Stock",IF(E413&lt;=S413,"Reorder Now",IF(E413&gt;X413,"Excess","Healthy"))))</f>
        <v>Reorder Now</v>
      </c>
      <c r="AB413" s="48" t="n">
        <f aca="false">IF($A413="","",RANK(AF413,$AF$5:$AF$504,0)+COUNTIF($AF$5:AF413,AF413)-1)</f>
        <v>385</v>
      </c>
      <c r="AC413" s="44" t="str">
        <f aca="false">IF($A413="","",Weekly_Demand!B413)</f>
        <v>RED RETROSPOT SMALL MILK JUG</v>
      </c>
      <c r="AD413" s="59" t="n">
        <f aca="false">IF($A413="","",H413*SQRT(D413))</f>
        <v>136.032147296289</v>
      </c>
      <c r="AE413" s="53" t="n">
        <f aca="false">IF($A413="","",AD413*C413)</f>
        <v>208.129185363322</v>
      </c>
      <c r="AF413" s="53" t="n">
        <f aca="false">IF($A413="","",ROUND(J413,2))</f>
        <v>3798.99</v>
      </c>
    </row>
    <row r="414" customFormat="false" ht="15" hidden="false" customHeight="false" outlineLevel="0" collapsed="false">
      <c r="A414" s="44" t="str">
        <f aca="false">IF(Weekly_Demand!A414="","",Weekly_Demand!A414)</f>
        <v>23382</v>
      </c>
      <c r="B414" s="44" t="str">
        <f aca="false">IF($A414="","",Weekly_Demand!C414)</f>
        <v>Kitchen</v>
      </c>
      <c r="C414" s="45" t="n">
        <f aca="false">IF($A414="","",Weekly_Demand!D414)</f>
        <v>2.25</v>
      </c>
      <c r="D414" s="46" t="n">
        <f aca="false">IF($A414="","",Weekly_Demand!E414+Assumptions!$B$19)</f>
        <v>6</v>
      </c>
      <c r="E414" s="46" t="n">
        <f aca="false">IF($A414="","",Weekly_Demand!F414)</f>
        <v>1002</v>
      </c>
      <c r="F414" s="46" t="n">
        <f aca="false">IF($A414="","",SUM(Weekly_Demand!G414:BF414))</f>
        <v>1533</v>
      </c>
      <c r="G414" s="51" t="n">
        <f aca="false">IF($A414="","",IFERROR(F414/Assumptions!$B$6,0))</f>
        <v>29.4807692307692</v>
      </c>
      <c r="H414" s="51" t="n">
        <f aca="false">IF($A414="","",STDEV(Weekly_Demand!G414:BF414))</f>
        <v>80.7497927841973</v>
      </c>
      <c r="I414" s="52" t="n">
        <f aca="false">IF($A414="","",IFERROR(H414/G414,0))</f>
        <v>2.73906668282991</v>
      </c>
      <c r="J414" s="53" t="n">
        <f aca="false">IF($A414="","",F414*C414)</f>
        <v>3449.25</v>
      </c>
      <c r="K414" s="54" t="n">
        <f aca="false">IF($A414="","",IFERROR(J414/$J$505,0))</f>
        <v>0.000892501599085742</v>
      </c>
      <c r="L414" s="54" t="n">
        <f aca="false">IF($A414="","",IFERROR(SUMIFS($J$5:$J$504,$AB$5:$AB$504,"&lt;="&amp;AB414)/$J$505,0))</f>
        <v>0.931381328563496</v>
      </c>
      <c r="M414" s="55" t="str">
        <f aca="false">IF($A414="","",IF(L414&lt;=Assumptions!$B$7,"A",IF(L414&lt;=Assumptions!$B$8,"B","C")))</f>
        <v>B</v>
      </c>
      <c r="N414" s="55" t="str">
        <f aca="false">IF($A414="","",IF(I414&lt;=Assumptions!$B$9,"X",IF(I414&lt;=Assumptions!$B$10,"Y","Z")))</f>
        <v>Z</v>
      </c>
      <c r="O414" s="56" t="str">
        <f aca="false">IF($A414="","",M414&amp;N414)</f>
        <v>BZ</v>
      </c>
      <c r="P414" s="57" t="n">
        <f aca="false">IF($A414="","",INDEX(Assumptions!$B$35:$B$37,MATCH(M414,Assumptions!$A$35:$A$37,0)))</f>
        <v>0.95</v>
      </c>
      <c r="Q414" s="58" t="n">
        <f aca="false">IF($A414="","",NORMSINV(P414))</f>
        <v>1.64485362695147</v>
      </c>
      <c r="R414" s="48" t="n">
        <f aca="false">IF($A414="","",ROUNDUP(Q414*H414*SQRT(D414),0))</f>
        <v>326</v>
      </c>
      <c r="S414" s="48" t="n">
        <f aca="false">IF($A414="","",ROUNDUP(G414*D414+R414,0))</f>
        <v>503</v>
      </c>
      <c r="T414" s="46" t="n">
        <f aca="false">IF($A414="","",IFERROR(ROUND(SQRT(2*F414*Assumptions!$B$4/(Assumptions!$B$5*C414)),0),0))</f>
        <v>522</v>
      </c>
      <c r="U414" s="53" t="n">
        <f aca="false">IF($A414="","",R414*C414)</f>
        <v>733.5</v>
      </c>
      <c r="V414" s="53" t="n">
        <f aca="false">IF($A414="","",E414*C414)</f>
        <v>2254.5</v>
      </c>
      <c r="W414" s="59" t="n">
        <f aca="false">IF($A414="","",IFERROR(E414/G414,0))</f>
        <v>33.9882583170254</v>
      </c>
      <c r="X414" s="48" t="n">
        <f aca="false">IF($A414="","",S414+T414)</f>
        <v>1025</v>
      </c>
      <c r="Y414" s="48" t="n">
        <f aca="false">IF($A414="","",MAX(0,E414-X414))</f>
        <v>0</v>
      </c>
      <c r="Z414" s="53" t="n">
        <f aca="false">IF($A414="","",Y414*C414)</f>
        <v>0</v>
      </c>
      <c r="AA414" s="56" t="str">
        <f aca="false">IF($A414="","",IF(E414&lt;=R414,"Below Safety Stock",IF(E414&lt;=S414,"Reorder Now",IF(E414&gt;X414,"Excess","Healthy"))))</f>
        <v>Healthy</v>
      </c>
      <c r="AB414" s="48" t="n">
        <f aca="false">IF($A414="","",RANK(AF414,$AF$5:$AF$504,0)+COUNTIF($AF$5:AF414,AF414)-1)</f>
        <v>415</v>
      </c>
      <c r="AC414" s="44" t="str">
        <f aca="false">IF($A414="","",Weekly_Demand!B414)</f>
        <v>BOX OF 6 CHRISTMAS CAKE DECORATIONS</v>
      </c>
      <c r="AD414" s="59" t="n">
        <f aca="false">IF($A414="","",H414*SQRT(D414))</f>
        <v>197.795789156758</v>
      </c>
      <c r="AE414" s="53" t="n">
        <f aca="false">IF($A414="","",AD414*C414)</f>
        <v>445.040525602706</v>
      </c>
      <c r="AF414" s="53" t="n">
        <f aca="false">IF($A414="","",ROUND(J414,2))</f>
        <v>3449.25</v>
      </c>
    </row>
    <row r="415" customFormat="false" ht="15" hidden="false" customHeight="false" outlineLevel="0" collapsed="false">
      <c r="A415" s="44" t="str">
        <f aca="false">IF(Weekly_Demand!A415="","",Weekly_Demand!A415)</f>
        <v>21154</v>
      </c>
      <c r="B415" s="44" t="str">
        <f aca="false">IF($A415="","",Weekly_Demand!C415)</f>
        <v>Other</v>
      </c>
      <c r="C415" s="45" t="n">
        <f aca="false">IF($A415="","",Weekly_Demand!D415)</f>
        <v>0.75</v>
      </c>
      <c r="D415" s="46" t="n">
        <f aca="false">IF($A415="","",Weekly_Demand!E415+Assumptions!$B$19)</f>
        <v>6</v>
      </c>
      <c r="E415" s="46" t="n">
        <f aca="false">IF($A415="","",Weekly_Demand!F415)</f>
        <v>1076</v>
      </c>
      <c r="F415" s="46" t="n">
        <f aca="false">IF($A415="","",SUM(Weekly_Demand!G415:BF415))</f>
        <v>3730</v>
      </c>
      <c r="G415" s="51" t="n">
        <f aca="false">IF($A415="","",IFERROR(F415/Assumptions!$B$6,0))</f>
        <v>71.7307692307692</v>
      </c>
      <c r="H415" s="51" t="n">
        <f aca="false">IF($A415="","",STDEV(Weekly_Demand!G415:BF415))</f>
        <v>66.2103348915825</v>
      </c>
      <c r="I415" s="52" t="n">
        <f aca="false">IF($A415="","",IFERROR(H415/G415,0))</f>
        <v>0.923039521276753</v>
      </c>
      <c r="J415" s="53" t="n">
        <f aca="false">IF($A415="","",F415*C415)</f>
        <v>2797.5</v>
      </c>
      <c r="K415" s="54" t="n">
        <f aca="false">IF($A415="","",IFERROR(J415/$J$505,0))</f>
        <v>0.000723859744420486</v>
      </c>
      <c r="L415" s="54" t="n">
        <f aca="false">IF($A415="","",IFERROR(SUMIFS($J$5:$J$504,$AB$5:$AB$504,"&lt;="&amp;AB415)/$J$505,0))</f>
        <v>0.995826050055824</v>
      </c>
      <c r="M415" s="55" t="str">
        <f aca="false">IF($A415="","",IF(L415&lt;=Assumptions!$B$7,"A",IF(L415&lt;=Assumptions!$B$8,"B","C")))</f>
        <v>C</v>
      </c>
      <c r="N415" s="55" t="str">
        <f aca="false">IF($A415="","",IF(I415&lt;=Assumptions!$B$9,"X",IF(I415&lt;=Assumptions!$B$10,"Y","Z")))</f>
        <v>Y</v>
      </c>
      <c r="O415" s="56" t="str">
        <f aca="false">IF($A415="","",M415&amp;N415)</f>
        <v>CY</v>
      </c>
      <c r="P415" s="57" t="n">
        <f aca="false">IF($A415="","",INDEX(Assumptions!$B$35:$B$37,MATCH(M415,Assumptions!$A$35:$A$37,0)))</f>
        <v>0.9</v>
      </c>
      <c r="Q415" s="58" t="n">
        <f aca="false">IF($A415="","",NORMSINV(P415))</f>
        <v>1.2815515655446</v>
      </c>
      <c r="R415" s="48" t="n">
        <f aca="false">IF($A415="","",ROUNDUP(Q415*H415*SQRT(D415),0))</f>
        <v>208</v>
      </c>
      <c r="S415" s="48" t="n">
        <f aca="false">IF($A415="","",ROUNDUP(G415*D415+R415,0))</f>
        <v>639</v>
      </c>
      <c r="T415" s="46" t="n">
        <f aca="false">IF($A415="","",IFERROR(ROUND(SQRT(2*F415*Assumptions!$B$4/(Assumptions!$B$5*C415)),0),0))</f>
        <v>1410</v>
      </c>
      <c r="U415" s="53" t="n">
        <f aca="false">IF($A415="","",R415*C415)</f>
        <v>156</v>
      </c>
      <c r="V415" s="53" t="n">
        <f aca="false">IF($A415="","",E415*C415)</f>
        <v>807</v>
      </c>
      <c r="W415" s="59" t="n">
        <f aca="false">IF($A415="","",IFERROR(E415/G415,0))</f>
        <v>15.0005361930295</v>
      </c>
      <c r="X415" s="48" t="n">
        <f aca="false">IF($A415="","",S415+T415)</f>
        <v>2049</v>
      </c>
      <c r="Y415" s="48" t="n">
        <f aca="false">IF($A415="","",MAX(0,E415-X415))</f>
        <v>0</v>
      </c>
      <c r="Z415" s="53" t="n">
        <f aca="false">IF($A415="","",Y415*C415)</f>
        <v>0</v>
      </c>
      <c r="AA415" s="56" t="str">
        <f aca="false">IF($A415="","",IF(E415&lt;=R415,"Below Safety Stock",IF(E415&lt;=S415,"Reorder Now",IF(E415&gt;X415,"Excess","Healthy"))))</f>
        <v>Healthy</v>
      </c>
      <c r="AB415" s="48" t="n">
        <f aca="false">IF($A415="","",RANK(AF415,$AF$5:$AF$504,0)+COUNTIF($AF$5:AF415,AF415)-1)</f>
        <v>494</v>
      </c>
      <c r="AC415" s="44" t="str">
        <f aca="false">IF($A415="","",Weekly_Demand!B415)</f>
        <v>RED RETROSPOT OVEN GLOVE</v>
      </c>
      <c r="AD415" s="59" t="n">
        <f aca="false">IF($A415="","",H415*SQRT(D415))</f>
        <v>162.18153618317</v>
      </c>
      <c r="AE415" s="53" t="n">
        <f aca="false">IF($A415="","",AD415*C415)</f>
        <v>121.636152137378</v>
      </c>
      <c r="AF415" s="53" t="n">
        <f aca="false">IF($A415="","",ROUND(J415,2))</f>
        <v>2797.5</v>
      </c>
    </row>
    <row r="416" customFormat="false" ht="15" hidden="false" customHeight="false" outlineLevel="0" collapsed="false">
      <c r="A416" s="44" t="str">
        <f aca="false">IF(Weekly_Demand!A416="","",Weekly_Demand!A416)</f>
        <v>23296</v>
      </c>
      <c r="B416" s="44" t="str">
        <f aca="false">IF($A416="","",Weekly_Demand!C416)</f>
        <v>Other</v>
      </c>
      <c r="C416" s="45" t="n">
        <f aca="false">IF($A416="","",Weekly_Demand!D416)</f>
        <v>0.75</v>
      </c>
      <c r="D416" s="46" t="n">
        <f aca="false">IF($A416="","",Weekly_Demand!E416+Assumptions!$B$19)</f>
        <v>2</v>
      </c>
      <c r="E416" s="46" t="n">
        <f aca="false">IF($A416="","",Weekly_Demand!F416)</f>
        <v>381</v>
      </c>
      <c r="F416" s="46" t="n">
        <f aca="false">IF($A416="","",SUM(Weekly_Demand!G416:BF416))</f>
        <v>4954</v>
      </c>
      <c r="G416" s="51" t="n">
        <f aca="false">IF($A416="","",IFERROR(F416/Assumptions!$B$6,0))</f>
        <v>95.2692307692308</v>
      </c>
      <c r="H416" s="51" t="n">
        <f aca="false">IF($A416="","",STDEV(Weekly_Demand!G416:BF416))</f>
        <v>164.428674015855</v>
      </c>
      <c r="I416" s="52" t="n">
        <f aca="false">IF($A416="","",IFERROR(H416/G416,0))</f>
        <v>1.7259368285879</v>
      </c>
      <c r="J416" s="53" t="n">
        <f aca="false">IF($A416="","",F416*C416)</f>
        <v>3715.5</v>
      </c>
      <c r="K416" s="54" t="n">
        <f aca="false">IF($A416="","",IFERROR(J416/$J$505,0))</f>
        <v>0.000961394416584206</v>
      </c>
      <c r="L416" s="54" t="n">
        <f aca="false">IF($A416="","",IFERROR(SUMIFS($J$5:$J$504,$AB$5:$AB$504,"&lt;="&amp;AB416)/$J$505,0))</f>
        <v>0.911901689187145</v>
      </c>
      <c r="M416" s="55" t="str">
        <f aca="false">IF($A416="","",IF(L416&lt;=Assumptions!$B$7,"A",IF(L416&lt;=Assumptions!$B$8,"B","C")))</f>
        <v>B</v>
      </c>
      <c r="N416" s="55" t="str">
        <f aca="false">IF($A416="","",IF(I416&lt;=Assumptions!$B$9,"X",IF(I416&lt;=Assumptions!$B$10,"Y","Z")))</f>
        <v>Z</v>
      </c>
      <c r="O416" s="56" t="str">
        <f aca="false">IF($A416="","",M416&amp;N416)</f>
        <v>BZ</v>
      </c>
      <c r="P416" s="57" t="n">
        <f aca="false">IF($A416="","",INDEX(Assumptions!$B$35:$B$37,MATCH(M416,Assumptions!$A$35:$A$37,0)))</f>
        <v>0.95</v>
      </c>
      <c r="Q416" s="58" t="n">
        <f aca="false">IF($A416="","",NORMSINV(P416))</f>
        <v>1.64485362695147</v>
      </c>
      <c r="R416" s="48" t="n">
        <f aca="false">IF($A416="","",ROUNDUP(Q416*H416*SQRT(D416),0))</f>
        <v>383</v>
      </c>
      <c r="S416" s="48" t="n">
        <f aca="false">IF($A416="","",ROUNDUP(G416*D416+R416,0))</f>
        <v>574</v>
      </c>
      <c r="T416" s="46" t="n">
        <f aca="false">IF($A416="","",IFERROR(ROUND(SQRT(2*F416*Assumptions!$B$4/(Assumptions!$B$5*C416)),0),0))</f>
        <v>1625</v>
      </c>
      <c r="U416" s="53" t="n">
        <f aca="false">IF($A416="","",R416*C416)</f>
        <v>287.25</v>
      </c>
      <c r="V416" s="53" t="n">
        <f aca="false">IF($A416="","",E416*C416)</f>
        <v>285.75</v>
      </c>
      <c r="W416" s="59" t="n">
        <f aca="false">IF($A416="","",IFERROR(E416/G416,0))</f>
        <v>3.99919257165927</v>
      </c>
      <c r="X416" s="48" t="n">
        <f aca="false">IF($A416="","",S416+T416)</f>
        <v>2199</v>
      </c>
      <c r="Y416" s="48" t="n">
        <f aca="false">IF($A416="","",MAX(0,E416-X416))</f>
        <v>0</v>
      </c>
      <c r="Z416" s="53" t="n">
        <f aca="false">IF($A416="","",Y416*C416)</f>
        <v>0</v>
      </c>
      <c r="AA416" s="56" t="str">
        <f aca="false">IF($A416="","",IF(E416&lt;=R416,"Below Safety Stock",IF(E416&lt;=S416,"Reorder Now",IF(E416&gt;X416,"Excess","Healthy"))))</f>
        <v>Below Safety Stock</v>
      </c>
      <c r="AB416" s="48" t="n">
        <f aca="false">IF($A416="","",RANK(AF416,$AF$5:$AF$504,0)+COUNTIF($AF$5:AF416,AF416)-1)</f>
        <v>394</v>
      </c>
      <c r="AC416" s="44" t="str">
        <f aca="false">IF($A416="","",Weekly_Demand!B416)</f>
        <v>SET OF 6 TEA TIME BAKING CASES</v>
      </c>
      <c r="AD416" s="59" t="n">
        <f aca="false">IF($A416="","",H416*SQRT(D416))</f>
        <v>232.537260836247</v>
      </c>
      <c r="AE416" s="53" t="n">
        <f aca="false">IF($A416="","",AD416*C416)</f>
        <v>174.402945627185</v>
      </c>
      <c r="AF416" s="53" t="n">
        <f aca="false">IF($A416="","",ROUND(J416,2))</f>
        <v>3715.5</v>
      </c>
    </row>
    <row r="417" customFormat="false" ht="15" hidden="false" customHeight="false" outlineLevel="0" collapsed="false">
      <c r="A417" s="44" t="str">
        <f aca="false">IF(Weekly_Demand!A417="","",Weekly_Demand!A417)</f>
        <v>22366</v>
      </c>
      <c r="B417" s="44" t="str">
        <f aca="false">IF($A417="","",Weekly_Demand!C417)</f>
        <v>Other</v>
      </c>
      <c r="C417" s="45" t="n">
        <f aca="false">IF($A417="","",Weekly_Demand!D417)</f>
        <v>4.77</v>
      </c>
      <c r="D417" s="46" t="n">
        <f aca="false">IF($A417="","",Weekly_Demand!E417+Assumptions!$B$19)</f>
        <v>6</v>
      </c>
      <c r="E417" s="46" t="n">
        <f aca="false">IF($A417="","",Weekly_Demand!F417)</f>
        <v>632</v>
      </c>
      <c r="F417" s="46" t="n">
        <f aca="false">IF($A417="","",SUM(Weekly_Demand!G417:BF417))</f>
        <v>783</v>
      </c>
      <c r="G417" s="51" t="n">
        <f aca="false">IF($A417="","",IFERROR(F417/Assumptions!$B$6,0))</f>
        <v>15.0576923076923</v>
      </c>
      <c r="H417" s="51" t="n">
        <f aca="false">IF($A417="","",STDEV(Weekly_Demand!G417:BF417))</f>
        <v>24.0810831799393</v>
      </c>
      <c r="I417" s="52" t="n">
        <f aca="false">IF($A417="","",IFERROR(H417/G417,0))</f>
        <v>1.59925456622841</v>
      </c>
      <c r="J417" s="53" t="n">
        <f aca="false">IF($A417="","",F417*C417)</f>
        <v>3734.91</v>
      </c>
      <c r="K417" s="54" t="n">
        <f aca="false">IF($A417="","",IFERROR(J417/$J$505,0))</f>
        <v>0.000966416800011982</v>
      </c>
      <c r="L417" s="54" t="n">
        <f aca="false">IF($A417="","",IFERROR(SUMIFS($J$5:$J$504,$AB$5:$AB$504,"&lt;="&amp;AB417)/$J$505,0))</f>
        <v>0.909014866663258</v>
      </c>
      <c r="M417" s="55" t="str">
        <f aca="false">IF($A417="","",IF(L417&lt;=Assumptions!$B$7,"A",IF(L417&lt;=Assumptions!$B$8,"B","C")))</f>
        <v>B</v>
      </c>
      <c r="N417" s="55" t="str">
        <f aca="false">IF($A417="","",IF(I417&lt;=Assumptions!$B$9,"X",IF(I417&lt;=Assumptions!$B$10,"Y","Z")))</f>
        <v>Z</v>
      </c>
      <c r="O417" s="56" t="str">
        <f aca="false">IF($A417="","",M417&amp;N417)</f>
        <v>BZ</v>
      </c>
      <c r="P417" s="57" t="n">
        <f aca="false">IF($A417="","",INDEX(Assumptions!$B$35:$B$37,MATCH(M417,Assumptions!$A$35:$A$37,0)))</f>
        <v>0.95</v>
      </c>
      <c r="Q417" s="58" t="n">
        <f aca="false">IF($A417="","",NORMSINV(P417))</f>
        <v>1.64485362695147</v>
      </c>
      <c r="R417" s="48" t="n">
        <f aca="false">IF($A417="","",ROUNDUP(Q417*H417*SQRT(D417),0))</f>
        <v>98</v>
      </c>
      <c r="S417" s="48" t="n">
        <f aca="false">IF($A417="","",ROUNDUP(G417*D417+R417,0))</f>
        <v>189</v>
      </c>
      <c r="T417" s="46" t="n">
        <f aca="false">IF($A417="","",IFERROR(ROUND(SQRT(2*F417*Assumptions!$B$4/(Assumptions!$B$5*C417)),0),0))</f>
        <v>256</v>
      </c>
      <c r="U417" s="53" t="n">
        <f aca="false">IF($A417="","",R417*C417)</f>
        <v>467.46</v>
      </c>
      <c r="V417" s="53" t="n">
        <f aca="false">IF($A417="","",E417*C417)</f>
        <v>3014.64</v>
      </c>
      <c r="W417" s="59" t="n">
        <f aca="false">IF($A417="","",IFERROR(E417/G417,0))</f>
        <v>41.9719029374202</v>
      </c>
      <c r="X417" s="48" t="n">
        <f aca="false">IF($A417="","",S417+T417)</f>
        <v>445</v>
      </c>
      <c r="Y417" s="48" t="n">
        <f aca="false">IF($A417="","",MAX(0,E417-X417))</f>
        <v>187</v>
      </c>
      <c r="Z417" s="53" t="n">
        <f aca="false">IF($A417="","",Y417*C417)</f>
        <v>891.99</v>
      </c>
      <c r="AA417" s="56" t="str">
        <f aca="false">IF($A417="","",IF(E417&lt;=R417,"Below Safety Stock",IF(E417&lt;=S417,"Reorder Now",IF(E417&gt;X417,"Excess","Healthy"))))</f>
        <v>Excess</v>
      </c>
      <c r="AB417" s="48" t="n">
        <f aca="false">IF($A417="","",RANK(AF417,$AF$5:$AF$504,0)+COUNTIF($AF$5:AF417,AF417)-1)</f>
        <v>391</v>
      </c>
      <c r="AC417" s="44" t="str">
        <f aca="false">IF($A417="","",Weekly_Demand!B417)</f>
        <v>DOORMAT AIRMAIL</v>
      </c>
      <c r="AD417" s="59" t="n">
        <f aca="false">IF($A417="","",H417*SQRT(D417))</f>
        <v>58.9863662443698</v>
      </c>
      <c r="AE417" s="53" t="n">
        <f aca="false">IF($A417="","",AD417*C417)</f>
        <v>281.364966985644</v>
      </c>
      <c r="AF417" s="53" t="n">
        <f aca="false">IF($A417="","",ROUND(J417,2))</f>
        <v>3734.91</v>
      </c>
    </row>
    <row r="418" customFormat="false" ht="15" hidden="false" customHeight="false" outlineLevel="0" collapsed="false">
      <c r="A418" s="44" t="str">
        <f aca="false">IF(Weekly_Demand!A418="","",Weekly_Demand!A418)</f>
        <v>23192</v>
      </c>
      <c r="B418" s="44" t="str">
        <f aca="false">IF($A418="","",Weekly_Demand!C418)</f>
        <v>Other</v>
      </c>
      <c r="C418" s="45" t="n">
        <f aca="false">IF($A418="","",Weekly_Demand!D418)</f>
        <v>0.99</v>
      </c>
      <c r="D418" s="46" t="n">
        <f aca="false">IF($A418="","",Weekly_Demand!E418+Assumptions!$B$19)</f>
        <v>2</v>
      </c>
      <c r="E418" s="46" t="n">
        <f aca="false">IF($A418="","",Weekly_Demand!F418)</f>
        <v>645</v>
      </c>
      <c r="F418" s="46" t="n">
        <f aca="false">IF($A418="","",SUM(Weekly_Demand!G418:BF418))</f>
        <v>3354</v>
      </c>
      <c r="G418" s="51" t="n">
        <f aca="false">IF($A418="","",IFERROR(F418/Assumptions!$B$6,0))</f>
        <v>64.5</v>
      </c>
      <c r="H418" s="51" t="n">
        <f aca="false">IF($A418="","",STDEV(Weekly_Demand!G418:BF418))</f>
        <v>81.751056837925</v>
      </c>
      <c r="I418" s="52" t="n">
        <f aca="false">IF($A418="","",IFERROR(H418/G418,0))</f>
        <v>1.26745824554923</v>
      </c>
      <c r="J418" s="53" t="n">
        <f aca="false">IF($A418="","",F418*C418)</f>
        <v>3320.46</v>
      </c>
      <c r="K418" s="54" t="n">
        <f aca="false">IF($A418="","",IFERROR(J418/$J$505,0))</f>
        <v>0.000859176881843949</v>
      </c>
      <c r="L418" s="54" t="n">
        <f aca="false">IF($A418="","",IFERROR(SUMIFS($J$5:$J$504,$AB$5:$AB$504,"&lt;="&amp;AB418)/$J$505,0))</f>
        <v>0.947095967312857</v>
      </c>
      <c r="M418" s="55" t="str">
        <f aca="false">IF($A418="","",IF(L418&lt;=Assumptions!$B$7,"A",IF(L418&lt;=Assumptions!$B$8,"B","C")))</f>
        <v>B</v>
      </c>
      <c r="N418" s="55" t="str">
        <f aca="false">IF($A418="","",IF(I418&lt;=Assumptions!$B$9,"X",IF(I418&lt;=Assumptions!$B$10,"Y","Z")))</f>
        <v>Z</v>
      </c>
      <c r="O418" s="56" t="str">
        <f aca="false">IF($A418="","",M418&amp;N418)</f>
        <v>BZ</v>
      </c>
      <c r="P418" s="57" t="n">
        <f aca="false">IF($A418="","",INDEX(Assumptions!$B$35:$B$37,MATCH(M418,Assumptions!$A$35:$A$37,0)))</f>
        <v>0.95</v>
      </c>
      <c r="Q418" s="58" t="n">
        <f aca="false">IF($A418="","",NORMSINV(P418))</f>
        <v>1.64485362695147</v>
      </c>
      <c r="R418" s="48" t="n">
        <f aca="false">IF($A418="","",ROUNDUP(Q418*H418*SQRT(D418),0))</f>
        <v>191</v>
      </c>
      <c r="S418" s="48" t="n">
        <f aca="false">IF($A418="","",ROUNDUP(G418*D418+R418,0))</f>
        <v>320</v>
      </c>
      <c r="T418" s="46" t="n">
        <f aca="false">IF($A418="","",IFERROR(ROUND(SQRT(2*F418*Assumptions!$B$4/(Assumptions!$B$5*C418)),0),0))</f>
        <v>1164</v>
      </c>
      <c r="U418" s="53" t="n">
        <f aca="false">IF($A418="","",R418*C418)</f>
        <v>189.09</v>
      </c>
      <c r="V418" s="53" t="n">
        <f aca="false">IF($A418="","",E418*C418)</f>
        <v>638.55</v>
      </c>
      <c r="W418" s="59" t="n">
        <f aca="false">IF($A418="","",IFERROR(E418/G418,0))</f>
        <v>10</v>
      </c>
      <c r="X418" s="48" t="n">
        <f aca="false">IF($A418="","",S418+T418)</f>
        <v>1484</v>
      </c>
      <c r="Y418" s="48" t="n">
        <f aca="false">IF($A418="","",MAX(0,E418-X418))</f>
        <v>0</v>
      </c>
      <c r="Z418" s="53" t="n">
        <f aca="false">IF($A418="","",Y418*C418)</f>
        <v>0</v>
      </c>
      <c r="AA418" s="56" t="str">
        <f aca="false">IF($A418="","",IF(E418&lt;=R418,"Below Safety Stock",IF(E418&lt;=S418,"Reorder Now",IF(E418&gt;X418,"Excess","Healthy"))))</f>
        <v>Healthy</v>
      </c>
      <c r="AB418" s="48" t="n">
        <f aca="false">IF($A418="","",RANK(AF418,$AF$5:$AF$504,0)+COUNTIF($AF$5:AF418,AF418)-1)</f>
        <v>433</v>
      </c>
      <c r="AC418" s="44" t="str">
        <f aca="false">IF($A418="","",Weekly_Demand!B418)</f>
        <v>BUNDLE OF 3 ALPHABET EXERCISE BOOKS</v>
      </c>
      <c r="AD418" s="59" t="n">
        <f aca="false">IF($A418="","",H418*SQRT(D418))</f>
        <v>115.613453318527</v>
      </c>
      <c r="AE418" s="53" t="n">
        <f aca="false">IF($A418="","",AD418*C418)</f>
        <v>114.457318785342</v>
      </c>
      <c r="AF418" s="53" t="n">
        <f aca="false">IF($A418="","",ROUND(J418,2))</f>
        <v>3320.46</v>
      </c>
    </row>
    <row r="419" customFormat="false" ht="15" hidden="false" customHeight="false" outlineLevel="0" collapsed="false">
      <c r="A419" s="44" t="str">
        <f aca="false">IF(Weekly_Demand!A419="","",Weekly_Demand!A419)</f>
        <v>21671</v>
      </c>
      <c r="B419" s="44" t="str">
        <f aca="false">IF($A419="","",Weekly_Demand!C419)</f>
        <v>Other</v>
      </c>
      <c r="C419" s="45" t="n">
        <f aca="false">IF($A419="","",Weekly_Demand!D419)</f>
        <v>0.75</v>
      </c>
      <c r="D419" s="46" t="n">
        <f aca="false">IF($A419="","",Weekly_Demand!E419+Assumptions!$B$19)</f>
        <v>8</v>
      </c>
      <c r="E419" s="46" t="n">
        <f aca="false">IF($A419="","",Weekly_Demand!F419)</f>
        <v>2210</v>
      </c>
      <c r="F419" s="46" t="n">
        <f aca="false">IF($A419="","",SUM(Weekly_Demand!G419:BF419))</f>
        <v>4256</v>
      </c>
      <c r="G419" s="51" t="n">
        <f aca="false">IF($A419="","",IFERROR(F419/Assumptions!$B$6,0))</f>
        <v>81.8461538461538</v>
      </c>
      <c r="H419" s="51" t="n">
        <f aca="false">IF($A419="","",STDEV(Weekly_Demand!G419:BF419))</f>
        <v>56.7265143993304</v>
      </c>
      <c r="I419" s="52" t="n">
        <f aca="false">IF($A419="","",IFERROR(H419/G419,0))</f>
        <v>0.693087112021894</v>
      </c>
      <c r="J419" s="53" t="n">
        <f aca="false">IF($A419="","",F419*C419)</f>
        <v>3192</v>
      </c>
      <c r="K419" s="54" t="n">
        <f aca="false">IF($A419="","",IFERROR(J419/$J$505,0))</f>
        <v>0.000825937552883</v>
      </c>
      <c r="L419" s="54" t="n">
        <f aca="false">IF($A419="","",IFERROR(SUMIFS($J$5:$J$504,$AB$5:$AB$504,"&lt;="&amp;AB419)/$J$505,0))</f>
        <v>0.964676659816565</v>
      </c>
      <c r="M419" s="55" t="str">
        <f aca="false">IF($A419="","",IF(L419&lt;=Assumptions!$B$7,"A",IF(L419&lt;=Assumptions!$B$8,"B","C")))</f>
        <v>C</v>
      </c>
      <c r="N419" s="55" t="str">
        <f aca="false">IF($A419="","",IF(I419&lt;=Assumptions!$B$9,"X",IF(I419&lt;=Assumptions!$B$10,"Y","Z")))</f>
        <v>Y</v>
      </c>
      <c r="O419" s="56" t="str">
        <f aca="false">IF($A419="","",M419&amp;N419)</f>
        <v>CY</v>
      </c>
      <c r="P419" s="57" t="n">
        <f aca="false">IF($A419="","",INDEX(Assumptions!$B$35:$B$37,MATCH(M419,Assumptions!$A$35:$A$37,0)))</f>
        <v>0.9</v>
      </c>
      <c r="Q419" s="58" t="n">
        <f aca="false">IF($A419="","",NORMSINV(P419))</f>
        <v>1.2815515655446</v>
      </c>
      <c r="R419" s="48" t="n">
        <f aca="false">IF($A419="","",ROUNDUP(Q419*H419*SQRT(D419),0))</f>
        <v>206</v>
      </c>
      <c r="S419" s="48" t="n">
        <f aca="false">IF($A419="","",ROUNDUP(G419*D419+R419,0))</f>
        <v>861</v>
      </c>
      <c r="T419" s="46" t="n">
        <f aca="false">IF($A419="","",IFERROR(ROUND(SQRT(2*F419*Assumptions!$B$4/(Assumptions!$B$5*C419)),0),0))</f>
        <v>1507</v>
      </c>
      <c r="U419" s="53" t="n">
        <f aca="false">IF($A419="","",R419*C419)</f>
        <v>154.5</v>
      </c>
      <c r="V419" s="53" t="n">
        <f aca="false">IF($A419="","",E419*C419)</f>
        <v>1657.5</v>
      </c>
      <c r="W419" s="59" t="n">
        <f aca="false">IF($A419="","",IFERROR(E419/G419,0))</f>
        <v>27.0018796992481</v>
      </c>
      <c r="X419" s="48" t="n">
        <f aca="false">IF($A419="","",S419+T419)</f>
        <v>2368</v>
      </c>
      <c r="Y419" s="48" t="n">
        <f aca="false">IF($A419="","",MAX(0,E419-X419))</f>
        <v>0</v>
      </c>
      <c r="Z419" s="53" t="n">
        <f aca="false">IF($A419="","",Y419*C419)</f>
        <v>0</v>
      </c>
      <c r="AA419" s="56" t="str">
        <f aca="false">IF($A419="","",IF(E419&lt;=R419,"Below Safety Stock",IF(E419&lt;=S419,"Reorder Now",IF(E419&gt;X419,"Excess","Healthy"))))</f>
        <v>Healthy</v>
      </c>
      <c r="AB419" s="48" t="n">
        <f aca="false">IF($A419="","",RANK(AF419,$AF$5:$AF$504,0)+COUNTIF($AF$5:AF419,AF419)-1)</f>
        <v>454</v>
      </c>
      <c r="AC419" s="44" t="str">
        <f aca="false">IF($A419="","",Weekly_Demand!B419)</f>
        <v>RED SPOT CERAMIC DRAWER KNOB</v>
      </c>
      <c r="AD419" s="59" t="n">
        <f aca="false">IF($A419="","",H419*SQRT(D419))</f>
        <v>160.446812019371</v>
      </c>
      <c r="AE419" s="53" t="n">
        <f aca="false">IF($A419="","",AD419*C419)</f>
        <v>120.335109014529</v>
      </c>
      <c r="AF419" s="53" t="n">
        <f aca="false">IF($A419="","",ROUND(J419,2))</f>
        <v>3192</v>
      </c>
    </row>
    <row r="420" customFormat="false" ht="15" hidden="false" customHeight="false" outlineLevel="0" collapsed="false">
      <c r="A420" s="44" t="str">
        <f aca="false">IF(Weekly_Demand!A420="","",Weekly_Demand!A420)</f>
        <v>23052</v>
      </c>
      <c r="B420" s="44" t="str">
        <f aca="false">IF($A420="","",Weekly_Demand!C420)</f>
        <v>Other</v>
      </c>
      <c r="C420" s="45" t="n">
        <f aca="false">IF($A420="","",Weekly_Demand!D420)</f>
        <v>4.95</v>
      </c>
      <c r="D420" s="46" t="n">
        <f aca="false">IF($A420="","",Weekly_Demand!E420+Assumptions!$B$19)</f>
        <v>2</v>
      </c>
      <c r="E420" s="46" t="n">
        <f aca="false">IF($A420="","",Weekly_Demand!F420)</f>
        <v>636</v>
      </c>
      <c r="F420" s="46" t="n">
        <f aca="false">IF($A420="","",SUM(Weekly_Demand!G420:BF420))</f>
        <v>648</v>
      </c>
      <c r="G420" s="51" t="n">
        <f aca="false">IF($A420="","",IFERROR(F420/Assumptions!$B$6,0))</f>
        <v>12.4615384615385</v>
      </c>
      <c r="H420" s="51" t="n">
        <f aca="false">IF($A420="","",STDEV(Weekly_Demand!G420:BF420))</f>
        <v>13.1200513187386</v>
      </c>
      <c r="I420" s="52" t="n">
        <f aca="false">IF($A420="","",IFERROR(H420/G420,0))</f>
        <v>1.05284362434322</v>
      </c>
      <c r="J420" s="53" t="n">
        <f aca="false">IF($A420="","",F420*C420)</f>
        <v>3207.6</v>
      </c>
      <c r="K420" s="54" t="n">
        <f aca="false">IF($A420="","",IFERROR(J420/$J$505,0))</f>
        <v>0.000829974089795586</v>
      </c>
      <c r="L420" s="54" t="n">
        <f aca="false">IF($A420="","",IFERROR(SUMIFS($J$5:$J$504,$AB$5:$AB$504,"&lt;="&amp;AB420)/$J$505,0))</f>
        <v>0.962195040393105</v>
      </c>
      <c r="M420" s="55" t="str">
        <f aca="false">IF($A420="","",IF(L420&lt;=Assumptions!$B$7,"A",IF(L420&lt;=Assumptions!$B$8,"B","C")))</f>
        <v>C</v>
      </c>
      <c r="N420" s="55" t="str">
        <f aca="false">IF($A420="","",IF(I420&lt;=Assumptions!$B$9,"X",IF(I420&lt;=Assumptions!$B$10,"Y","Z")))</f>
        <v>Z</v>
      </c>
      <c r="O420" s="56" t="str">
        <f aca="false">IF($A420="","",M420&amp;N420)</f>
        <v>CZ</v>
      </c>
      <c r="P420" s="57" t="n">
        <f aca="false">IF($A420="","",INDEX(Assumptions!$B$35:$B$37,MATCH(M420,Assumptions!$A$35:$A$37,0)))</f>
        <v>0.9</v>
      </c>
      <c r="Q420" s="58" t="n">
        <f aca="false">IF($A420="","",NORMSINV(P420))</f>
        <v>1.2815515655446</v>
      </c>
      <c r="R420" s="48" t="n">
        <f aca="false">IF($A420="","",ROUNDUP(Q420*H420*SQRT(D420),0))</f>
        <v>24</v>
      </c>
      <c r="S420" s="48" t="n">
        <f aca="false">IF($A420="","",ROUNDUP(G420*D420+R420,0))</f>
        <v>49</v>
      </c>
      <c r="T420" s="46" t="n">
        <f aca="false">IF($A420="","",IFERROR(ROUND(SQRT(2*F420*Assumptions!$B$4/(Assumptions!$B$5*C420)),0),0))</f>
        <v>229</v>
      </c>
      <c r="U420" s="53" t="n">
        <f aca="false">IF($A420="","",R420*C420)</f>
        <v>118.8</v>
      </c>
      <c r="V420" s="53" t="n">
        <f aca="false">IF($A420="","",E420*C420)</f>
        <v>3148.2</v>
      </c>
      <c r="W420" s="59" t="n">
        <f aca="false">IF($A420="","",IFERROR(E420/G420,0))</f>
        <v>51.037037037037</v>
      </c>
      <c r="X420" s="48" t="n">
        <f aca="false">IF($A420="","",S420+T420)</f>
        <v>278</v>
      </c>
      <c r="Y420" s="48" t="n">
        <f aca="false">IF($A420="","",MAX(0,E420-X420))</f>
        <v>358</v>
      </c>
      <c r="Z420" s="53" t="n">
        <f aca="false">IF($A420="","",Y420*C420)</f>
        <v>1772.1</v>
      </c>
      <c r="AA420" s="56" t="str">
        <f aca="false">IF($A420="","",IF(E420&lt;=R420,"Below Safety Stock",IF(E420&lt;=S420,"Reorder Now",IF(E420&gt;X420,"Excess","Healthy"))))</f>
        <v>Excess</v>
      </c>
      <c r="AB420" s="48" t="n">
        <f aca="false">IF($A420="","",RANK(AF420,$AF$5:$AF$504,0)+COUNTIF($AF$5:AF420,AF420)-1)</f>
        <v>451</v>
      </c>
      <c r="AC420" s="44" t="str">
        <f aca="false">IF($A420="","",Weekly_Demand!B420)</f>
        <v>RECYCLED ACAPULCO MAT TURQUOISE</v>
      </c>
      <c r="AD420" s="59" t="n">
        <f aca="false">IF($A420="","",H420*SQRT(D420))</f>
        <v>18.5545545139912</v>
      </c>
      <c r="AE420" s="53" t="n">
        <f aca="false">IF($A420="","",AD420*C420)</f>
        <v>91.8450448442563</v>
      </c>
      <c r="AF420" s="53" t="n">
        <f aca="false">IF($A420="","",ROUND(J420,2))</f>
        <v>3207.6</v>
      </c>
    </row>
    <row r="421" customFormat="false" ht="15" hidden="false" customHeight="false" outlineLevel="0" collapsed="false">
      <c r="A421" s="44" t="str">
        <f aca="false">IF(Weekly_Demand!A421="","",Weekly_Demand!A421)</f>
        <v>22783</v>
      </c>
      <c r="B421" s="44" t="str">
        <f aca="false">IF($A421="","",Weekly_Demand!C421)</f>
        <v>Other</v>
      </c>
      <c r="C421" s="45" t="n">
        <f aca="false">IF($A421="","",Weekly_Demand!D421)</f>
        <v>7.488</v>
      </c>
      <c r="D421" s="46" t="n">
        <f aca="false">IF($A421="","",Weekly_Demand!E421+Assumptions!$B$19)</f>
        <v>8</v>
      </c>
      <c r="E421" s="46" t="n">
        <f aca="false">IF($A421="","",Weekly_Demand!F421)</f>
        <v>88</v>
      </c>
      <c r="F421" s="46" t="n">
        <f aca="false">IF($A421="","",SUM(Weekly_Demand!G421:BF421))</f>
        <v>456</v>
      </c>
      <c r="G421" s="51" t="n">
        <f aca="false">IF($A421="","",IFERROR(F421/Assumptions!$B$6,0))</f>
        <v>8.76923076923077</v>
      </c>
      <c r="H421" s="51" t="n">
        <f aca="false">IF($A421="","",STDEV(Weekly_Demand!G421:BF421))</f>
        <v>31.2395020074135</v>
      </c>
      <c r="I421" s="52" t="n">
        <f aca="false">IF($A421="","",IFERROR(H421/G421,0))</f>
        <v>3.56239935172259</v>
      </c>
      <c r="J421" s="53" t="n">
        <f aca="false">IF($A421="","",F421*C421)</f>
        <v>3414.528</v>
      </c>
      <c r="K421" s="54" t="n">
        <f aca="false">IF($A421="","",IFERROR(J421/$J$505,0))</f>
        <v>0.000883517199426843</v>
      </c>
      <c r="L421" s="54" t="n">
        <f aca="false">IF($A421="","",IFERROR(SUMIFS($J$5:$J$504,$AB$5:$AB$504,"&lt;="&amp;AB421)/$J$505,0))</f>
        <v>0.93492943364206</v>
      </c>
      <c r="M421" s="55" t="str">
        <f aca="false">IF($A421="","",IF(L421&lt;=Assumptions!$B$7,"A",IF(L421&lt;=Assumptions!$B$8,"B","C")))</f>
        <v>B</v>
      </c>
      <c r="N421" s="55" t="str">
        <f aca="false">IF($A421="","",IF(I421&lt;=Assumptions!$B$9,"X",IF(I421&lt;=Assumptions!$B$10,"Y","Z")))</f>
        <v>Z</v>
      </c>
      <c r="O421" s="56" t="str">
        <f aca="false">IF($A421="","",M421&amp;N421)</f>
        <v>BZ</v>
      </c>
      <c r="P421" s="57" t="n">
        <f aca="false">IF($A421="","",INDEX(Assumptions!$B$35:$B$37,MATCH(M421,Assumptions!$A$35:$A$37,0)))</f>
        <v>0.95</v>
      </c>
      <c r="Q421" s="58" t="n">
        <f aca="false">IF($A421="","",NORMSINV(P421))</f>
        <v>1.64485362695147</v>
      </c>
      <c r="R421" s="48" t="n">
        <f aca="false">IF($A421="","",ROUNDUP(Q421*H421*SQRT(D421),0))</f>
        <v>146</v>
      </c>
      <c r="S421" s="48" t="n">
        <f aca="false">IF($A421="","",ROUNDUP(G421*D421+R421,0))</f>
        <v>217</v>
      </c>
      <c r="T421" s="46" t="n">
        <f aca="false">IF($A421="","",IFERROR(ROUND(SQRT(2*F421*Assumptions!$B$4/(Assumptions!$B$5*C421)),0),0))</f>
        <v>156</v>
      </c>
      <c r="U421" s="53" t="n">
        <f aca="false">IF($A421="","",R421*C421)</f>
        <v>1093.248</v>
      </c>
      <c r="V421" s="53" t="n">
        <f aca="false">IF($A421="","",E421*C421)</f>
        <v>658.944</v>
      </c>
      <c r="W421" s="59" t="n">
        <f aca="false">IF($A421="","",IFERROR(E421/G421,0))</f>
        <v>10.0350877192982</v>
      </c>
      <c r="X421" s="48" t="n">
        <f aca="false">IF($A421="","",S421+T421)</f>
        <v>373</v>
      </c>
      <c r="Y421" s="48" t="n">
        <f aca="false">IF($A421="","",MAX(0,E421-X421))</f>
        <v>0</v>
      </c>
      <c r="Z421" s="53" t="n">
        <f aca="false">IF($A421="","",Y421*C421)</f>
        <v>0</v>
      </c>
      <c r="AA421" s="56" t="str">
        <f aca="false">IF($A421="","",IF(E421&lt;=R421,"Below Safety Stock",IF(E421&lt;=S421,"Reorder Now",IF(E421&gt;X421,"Excess","Healthy"))))</f>
        <v>Below Safety Stock</v>
      </c>
      <c r="AB421" s="48" t="n">
        <f aca="false">IF($A421="","",RANK(AF421,$AF$5:$AF$504,0)+COUNTIF($AF$5:AF421,AF421)-1)</f>
        <v>419</v>
      </c>
      <c r="AC421" s="44" t="str">
        <f aca="false">IF($A421="","",Weekly_Demand!B421)</f>
        <v>SET 3 WICKER OVAL BASKETS W LIDS</v>
      </c>
      <c r="AD421" s="59" t="n">
        <f aca="false">IF($A421="","",H421*SQRT(D421))</f>
        <v>88.3586548413313</v>
      </c>
      <c r="AE421" s="53" t="n">
        <f aca="false">IF($A421="","",AD421*C421)</f>
        <v>661.629607451889</v>
      </c>
      <c r="AF421" s="53" t="n">
        <f aca="false">IF($A421="","",ROUND(J421,2))</f>
        <v>3414.53</v>
      </c>
    </row>
    <row r="422" customFormat="false" ht="15" hidden="false" customHeight="false" outlineLevel="0" collapsed="false">
      <c r="A422" s="44" t="str">
        <f aca="false">IF(Weekly_Demand!A422="","",Weekly_Demand!A422)</f>
        <v>21673</v>
      </c>
      <c r="B422" s="44" t="str">
        <f aca="false">IF($A422="","",Weekly_Demand!C422)</f>
        <v>Other</v>
      </c>
      <c r="C422" s="45" t="n">
        <f aca="false">IF($A422="","",Weekly_Demand!D422)</f>
        <v>0.75</v>
      </c>
      <c r="D422" s="46" t="n">
        <f aca="false">IF($A422="","",Weekly_Demand!E422+Assumptions!$B$19)</f>
        <v>4</v>
      </c>
      <c r="E422" s="46" t="n">
        <f aca="false">IF($A422="","",Weekly_Demand!F422)</f>
        <v>567</v>
      </c>
      <c r="F422" s="46" t="n">
        <f aca="false">IF($A422="","",SUM(Weekly_Demand!G422:BF422))</f>
        <v>4213</v>
      </c>
      <c r="G422" s="51" t="n">
        <f aca="false">IF($A422="","",IFERROR(F422/Assumptions!$B$6,0))</f>
        <v>81.0192307692308</v>
      </c>
      <c r="H422" s="51" t="n">
        <f aca="false">IF($A422="","",STDEV(Weekly_Demand!G422:BF422))</f>
        <v>61.2908496463956</v>
      </c>
      <c r="I422" s="52" t="n">
        <f aca="false">IF($A422="","",IFERROR(H422/G422,0))</f>
        <v>0.756497550821878</v>
      </c>
      <c r="J422" s="53" t="n">
        <f aca="false">IF($A422="","",F422*C422)</f>
        <v>3159.75</v>
      </c>
      <c r="K422" s="54" t="n">
        <f aca="false">IF($A422="","",IFERROR(J422/$J$505,0))</f>
        <v>0.000817592789073327</v>
      </c>
      <c r="L422" s="54" t="n">
        <f aca="false">IF($A422="","",IFERROR(SUMIFS($J$5:$J$504,$AB$5:$AB$504,"&lt;="&amp;AB422)/$J$505,0))</f>
        <v>0.968784202518472</v>
      </c>
      <c r="M422" s="55" t="str">
        <f aca="false">IF($A422="","",IF(L422&lt;=Assumptions!$B$7,"A",IF(L422&lt;=Assumptions!$B$8,"B","C")))</f>
        <v>C</v>
      </c>
      <c r="N422" s="55" t="str">
        <f aca="false">IF($A422="","",IF(I422&lt;=Assumptions!$B$9,"X",IF(I422&lt;=Assumptions!$B$10,"Y","Z")))</f>
        <v>Y</v>
      </c>
      <c r="O422" s="56" t="str">
        <f aca="false">IF($A422="","",M422&amp;N422)</f>
        <v>CY</v>
      </c>
      <c r="P422" s="57" t="n">
        <f aca="false">IF($A422="","",INDEX(Assumptions!$B$35:$B$37,MATCH(M422,Assumptions!$A$35:$A$37,0)))</f>
        <v>0.9</v>
      </c>
      <c r="Q422" s="58" t="n">
        <f aca="false">IF($A422="","",NORMSINV(P422))</f>
        <v>1.2815515655446</v>
      </c>
      <c r="R422" s="48" t="n">
        <f aca="false">IF($A422="","",ROUNDUP(Q422*H422*SQRT(D422),0))</f>
        <v>158</v>
      </c>
      <c r="S422" s="48" t="n">
        <f aca="false">IF($A422="","",ROUNDUP(G422*D422+R422,0))</f>
        <v>483</v>
      </c>
      <c r="T422" s="46" t="n">
        <f aca="false">IF($A422="","",IFERROR(ROUND(SQRT(2*F422*Assumptions!$B$4/(Assumptions!$B$5*C422)),0),0))</f>
        <v>1499</v>
      </c>
      <c r="U422" s="53" t="n">
        <f aca="false">IF($A422="","",R422*C422)</f>
        <v>118.5</v>
      </c>
      <c r="V422" s="53" t="n">
        <f aca="false">IF($A422="","",E422*C422)</f>
        <v>425.25</v>
      </c>
      <c r="W422" s="59" t="n">
        <f aca="false">IF($A422="","",IFERROR(E422/G422,0))</f>
        <v>6.99833847614526</v>
      </c>
      <c r="X422" s="48" t="n">
        <f aca="false">IF($A422="","",S422+T422)</f>
        <v>1982</v>
      </c>
      <c r="Y422" s="48" t="n">
        <f aca="false">IF($A422="","",MAX(0,E422-X422))</f>
        <v>0</v>
      </c>
      <c r="Z422" s="53" t="n">
        <f aca="false">IF($A422="","",Y422*C422)</f>
        <v>0</v>
      </c>
      <c r="AA422" s="56" t="str">
        <f aca="false">IF($A422="","",IF(E422&lt;=R422,"Below Safety Stock",IF(E422&lt;=S422,"Reorder Now",IF(E422&gt;X422,"Excess","Healthy"))))</f>
        <v>Healthy</v>
      </c>
      <c r="AB422" s="48" t="n">
        <f aca="false">IF($A422="","",RANK(AF422,$AF$5:$AF$504,0)+COUNTIF($AF$5:AF422,AF422)-1)</f>
        <v>459</v>
      </c>
      <c r="AC422" s="44" t="str">
        <f aca="false">IF($A422="","",Weekly_Demand!B422)</f>
        <v>WHITE SPOT BLUE CERAMIC DRAWER KNOB</v>
      </c>
      <c r="AD422" s="59" t="n">
        <f aca="false">IF($A422="","",H422*SQRT(D422))</f>
        <v>122.581699292791</v>
      </c>
      <c r="AE422" s="53" t="n">
        <f aca="false">IF($A422="","",AD422*C422)</f>
        <v>91.9362744695934</v>
      </c>
      <c r="AF422" s="53" t="n">
        <f aca="false">IF($A422="","",ROUND(J422,2))</f>
        <v>3159.75</v>
      </c>
    </row>
    <row r="423" customFormat="false" ht="15" hidden="false" customHeight="false" outlineLevel="0" collapsed="false">
      <c r="A423" s="44" t="str">
        <f aca="false">IF(Weekly_Demand!A423="","",Weekly_Demand!A423)</f>
        <v>23113</v>
      </c>
      <c r="B423" s="44" t="str">
        <f aca="false">IF($A423="","",Weekly_Demand!C423)</f>
        <v>Other</v>
      </c>
      <c r="C423" s="45" t="n">
        <f aca="false">IF($A423="","",Weekly_Demand!D423)</f>
        <v>2.97</v>
      </c>
      <c r="D423" s="46" t="n">
        <f aca="false">IF($A423="","",Weekly_Demand!E423+Assumptions!$B$19)</f>
        <v>4</v>
      </c>
      <c r="E423" s="46" t="n">
        <f aca="false">IF($A423="","",Weekly_Demand!F423)</f>
        <v>198</v>
      </c>
      <c r="F423" s="46" t="n">
        <f aca="false">IF($A423="","",SUM(Weekly_Demand!G423:BF423))</f>
        <v>1146</v>
      </c>
      <c r="G423" s="51" t="n">
        <f aca="false">IF($A423="","",IFERROR(F423/Assumptions!$B$6,0))</f>
        <v>22.0384615384615</v>
      </c>
      <c r="H423" s="51" t="n">
        <f aca="false">IF($A423="","",STDEV(Weekly_Demand!G423:BF423))</f>
        <v>133.606087911436</v>
      </c>
      <c r="I423" s="52" t="n">
        <f aca="false">IF($A423="","",IFERROR(H423/G423,0))</f>
        <v>6.06240538516117</v>
      </c>
      <c r="J423" s="53" t="n">
        <f aca="false">IF($A423="","",F423*C423)</f>
        <v>3403.62</v>
      </c>
      <c r="K423" s="54" t="n">
        <f aca="false">IF($A423="","",IFERROR(J423/$J$505,0))</f>
        <v>0.000880694728616428</v>
      </c>
      <c r="L423" s="54" t="n">
        <f aca="false">IF($A423="","",IFERROR(SUMIFS($J$5:$J$504,$AB$5:$AB$504,"&lt;="&amp;AB423)/$J$505,0))</f>
        <v>0.936692305750351</v>
      </c>
      <c r="M423" s="55" t="str">
        <f aca="false">IF($A423="","",IF(L423&lt;=Assumptions!$B$7,"A",IF(L423&lt;=Assumptions!$B$8,"B","C")))</f>
        <v>B</v>
      </c>
      <c r="N423" s="55" t="str">
        <f aca="false">IF($A423="","",IF(I423&lt;=Assumptions!$B$9,"X",IF(I423&lt;=Assumptions!$B$10,"Y","Z")))</f>
        <v>Z</v>
      </c>
      <c r="O423" s="56" t="str">
        <f aca="false">IF($A423="","",M423&amp;N423)</f>
        <v>BZ</v>
      </c>
      <c r="P423" s="57" t="n">
        <f aca="false">IF($A423="","",INDEX(Assumptions!$B$35:$B$37,MATCH(M423,Assumptions!$A$35:$A$37,0)))</f>
        <v>0.95</v>
      </c>
      <c r="Q423" s="58" t="n">
        <f aca="false">IF($A423="","",NORMSINV(P423))</f>
        <v>1.64485362695147</v>
      </c>
      <c r="R423" s="48" t="n">
        <f aca="false">IF($A423="","",ROUNDUP(Q423*H423*SQRT(D423),0))</f>
        <v>440</v>
      </c>
      <c r="S423" s="48" t="n">
        <f aca="false">IF($A423="","",ROUNDUP(G423*D423+R423,0))</f>
        <v>529</v>
      </c>
      <c r="T423" s="46" t="n">
        <f aca="false">IF($A423="","",IFERROR(ROUND(SQRT(2*F423*Assumptions!$B$4/(Assumptions!$B$5*C423)),0),0))</f>
        <v>393</v>
      </c>
      <c r="U423" s="53" t="n">
        <f aca="false">IF($A423="","",R423*C423)</f>
        <v>1306.8</v>
      </c>
      <c r="V423" s="53" t="n">
        <f aca="false">IF($A423="","",E423*C423)</f>
        <v>588.06</v>
      </c>
      <c r="W423" s="59" t="n">
        <f aca="false">IF($A423="","",IFERROR(E423/G423,0))</f>
        <v>8.98429319371728</v>
      </c>
      <c r="X423" s="48" t="n">
        <f aca="false">IF($A423="","",S423+T423)</f>
        <v>922</v>
      </c>
      <c r="Y423" s="48" t="n">
        <f aca="false">IF($A423="","",MAX(0,E423-X423))</f>
        <v>0</v>
      </c>
      <c r="Z423" s="53" t="n">
        <f aca="false">IF($A423="","",Y423*C423)</f>
        <v>0</v>
      </c>
      <c r="AA423" s="56" t="str">
        <f aca="false">IF($A423="","",IF(E423&lt;=R423,"Below Safety Stock",IF(E423&lt;=S423,"Reorder Now",IF(E423&gt;X423,"Excess","Healthy"))))</f>
        <v>Below Safety Stock</v>
      </c>
      <c r="AB423" s="48" t="n">
        <f aca="false">IF($A423="","",RANK(AF423,$AF$5:$AF$504,0)+COUNTIF($AF$5:AF423,AF423)-1)</f>
        <v>421</v>
      </c>
      <c r="AC423" s="44" t="str">
        <f aca="false">IF($A423="","",Weekly_Demand!B423)</f>
        <v>PANTRY CHOPPING BOARD</v>
      </c>
      <c r="AD423" s="59" t="n">
        <f aca="false">IF($A423="","",H423*SQRT(D423))</f>
        <v>267.212175822873</v>
      </c>
      <c r="AE423" s="53" t="n">
        <f aca="false">IF($A423="","",AD423*C423)</f>
        <v>793.620162193933</v>
      </c>
      <c r="AF423" s="53" t="n">
        <f aca="false">IF($A423="","",ROUND(J423,2))</f>
        <v>3403.62</v>
      </c>
    </row>
    <row r="424" customFormat="false" ht="15" hidden="false" customHeight="false" outlineLevel="0" collapsed="false">
      <c r="A424" s="44" t="str">
        <f aca="false">IF(Weekly_Demand!A424="","",Weekly_Demand!A424)</f>
        <v>17003</v>
      </c>
      <c r="B424" s="44" t="str">
        <f aca="false">IF($A424="","",Weekly_Demand!C424)</f>
        <v>Other</v>
      </c>
      <c r="C424" s="45" t="n">
        <f aca="false">IF($A424="","",Weekly_Demand!D424)</f>
        <v>0.174</v>
      </c>
      <c r="D424" s="46" t="n">
        <f aca="false">IF($A424="","",Weekly_Demand!E424+Assumptions!$B$19)</f>
        <v>8</v>
      </c>
      <c r="E424" s="46" t="n">
        <f aca="false">IF($A424="","",Weekly_Demand!F424)</f>
        <v>2536</v>
      </c>
      <c r="F424" s="46" t="n">
        <f aca="false">IF($A424="","",SUM(Weekly_Demand!G424:BF424))</f>
        <v>21981</v>
      </c>
      <c r="G424" s="51" t="n">
        <f aca="false">IF($A424="","",IFERROR(F424/Assumptions!$B$6,0))</f>
        <v>422.711538461538</v>
      </c>
      <c r="H424" s="51" t="n">
        <f aca="false">IF($A424="","",STDEV(Weekly_Demand!G424:BF424))</f>
        <v>469.04255154343</v>
      </c>
      <c r="I424" s="52" t="n">
        <f aca="false">IF($A424="","",IFERROR(H424/G424,0))</f>
        <v>1.10960432556564</v>
      </c>
      <c r="J424" s="53" t="n">
        <f aca="false">IF($A424="","",F424*C424)</f>
        <v>3824.694</v>
      </c>
      <c r="K424" s="54" t="n">
        <f aca="false">IF($A424="","",IFERROR(J424/$J$505,0))</f>
        <v>0.000989648622458112</v>
      </c>
      <c r="L424" s="54" t="n">
        <f aca="false">IF($A424="","",IFERROR(SUMIFS($J$5:$J$504,$AB$5:$AB$504,"&lt;="&amp;AB424)/$J$505,0))</f>
        <v>0.898255165467406</v>
      </c>
      <c r="M424" s="55" t="str">
        <f aca="false">IF($A424="","",IF(L424&lt;=Assumptions!$B$7,"A",IF(L424&lt;=Assumptions!$B$8,"B","C")))</f>
        <v>B</v>
      </c>
      <c r="N424" s="55" t="str">
        <f aca="false">IF($A424="","",IF(I424&lt;=Assumptions!$B$9,"X",IF(I424&lt;=Assumptions!$B$10,"Y","Z")))</f>
        <v>Z</v>
      </c>
      <c r="O424" s="56" t="str">
        <f aca="false">IF($A424="","",M424&amp;N424)</f>
        <v>BZ</v>
      </c>
      <c r="P424" s="57" t="n">
        <f aca="false">IF($A424="","",INDEX(Assumptions!$B$35:$B$37,MATCH(M424,Assumptions!$A$35:$A$37,0)))</f>
        <v>0.95</v>
      </c>
      <c r="Q424" s="58" t="n">
        <f aca="false">IF($A424="","",NORMSINV(P424))</f>
        <v>1.64485362695147</v>
      </c>
      <c r="R424" s="48" t="n">
        <f aca="false">IF($A424="","",ROUNDUP(Q424*H424*SQRT(D424),0))</f>
        <v>2183</v>
      </c>
      <c r="S424" s="48" t="n">
        <f aca="false">IF($A424="","",ROUNDUP(G424*D424+R424,0))</f>
        <v>5565</v>
      </c>
      <c r="T424" s="46" t="n">
        <f aca="false">IF($A424="","",IFERROR(ROUND(SQRT(2*F424*Assumptions!$B$4/(Assumptions!$B$5*C424)),0),0))</f>
        <v>7109</v>
      </c>
      <c r="U424" s="53" t="n">
        <f aca="false">IF($A424="","",R424*C424)</f>
        <v>379.842</v>
      </c>
      <c r="V424" s="53" t="n">
        <f aca="false">IF($A424="","",E424*C424)</f>
        <v>441.264</v>
      </c>
      <c r="W424" s="59" t="n">
        <f aca="false">IF($A424="","",IFERROR(E424/G424,0))</f>
        <v>5.99936308630181</v>
      </c>
      <c r="X424" s="48" t="n">
        <f aca="false">IF($A424="","",S424+T424)</f>
        <v>12674</v>
      </c>
      <c r="Y424" s="48" t="n">
        <f aca="false">IF($A424="","",MAX(0,E424-X424))</f>
        <v>0</v>
      </c>
      <c r="Z424" s="53" t="n">
        <f aca="false">IF($A424="","",Y424*C424)</f>
        <v>0</v>
      </c>
      <c r="AA424" s="56" t="str">
        <f aca="false">IF($A424="","",IF(E424&lt;=R424,"Below Safety Stock",IF(E424&lt;=S424,"Reorder Now",IF(E424&gt;X424,"Excess","Healthy"))))</f>
        <v>Reorder Now</v>
      </c>
      <c r="AB424" s="48" t="n">
        <f aca="false">IF($A424="","",RANK(AF424,$AF$5:$AF$504,0)+COUNTIF($AF$5:AF424,AF424)-1)</f>
        <v>380</v>
      </c>
      <c r="AC424" s="44" t="str">
        <f aca="false">IF($A424="","",Weekly_Demand!B424)</f>
        <v>BROCADE RING PURSE</v>
      </c>
      <c r="AD424" s="59" t="n">
        <f aca="false">IF($A424="","",H424*SQRT(D424))</f>
        <v>1326.6526754456</v>
      </c>
      <c r="AE424" s="53" t="n">
        <f aca="false">IF($A424="","",AD424*C424)</f>
        <v>230.837565527534</v>
      </c>
      <c r="AF424" s="53" t="n">
        <f aca="false">IF($A424="","",ROUND(J424,2))</f>
        <v>3824.69</v>
      </c>
    </row>
    <row r="425" customFormat="false" ht="15" hidden="false" customHeight="false" outlineLevel="0" collapsed="false">
      <c r="A425" s="44" t="str">
        <f aca="false">IF(Weekly_Demand!A425="","",Weekly_Demand!A425)</f>
        <v>22943</v>
      </c>
      <c r="B425" s="44" t="str">
        <f aca="false">IF($A425="","",Weekly_Demand!C425)</f>
        <v>Lighting</v>
      </c>
      <c r="C425" s="45" t="n">
        <f aca="false">IF($A425="","",Weekly_Demand!D425)</f>
        <v>2.97</v>
      </c>
      <c r="D425" s="46" t="n">
        <f aca="false">IF($A425="","",Weekly_Demand!E425+Assumptions!$B$19)</f>
        <v>8</v>
      </c>
      <c r="E425" s="46" t="n">
        <f aca="false">IF($A425="","",Weekly_Demand!F425)</f>
        <v>179</v>
      </c>
      <c r="F425" s="46" t="n">
        <f aca="false">IF($A425="","",SUM(Weekly_Demand!G425:BF425))</f>
        <v>1164</v>
      </c>
      <c r="G425" s="51" t="n">
        <f aca="false">IF($A425="","",IFERROR(F425/Assumptions!$B$6,0))</f>
        <v>22.3846153846154</v>
      </c>
      <c r="H425" s="51" t="n">
        <f aca="false">IF($A425="","",STDEV(Weekly_Demand!G425:BF425))</f>
        <v>41.9379344616303</v>
      </c>
      <c r="I425" s="52" t="n">
        <f aca="false">IF($A425="","",IFERROR(H425/G425,0))</f>
        <v>1.87351597251269</v>
      </c>
      <c r="J425" s="53" t="n">
        <f aca="false">IF($A425="","",F425*C425)</f>
        <v>3457.08</v>
      </c>
      <c r="K425" s="54" t="n">
        <f aca="false">IF($A425="","",IFERROR(J425/$J$505,0))</f>
        <v>0.000894527630113021</v>
      </c>
      <c r="L425" s="54" t="n">
        <f aca="false">IF($A425="","",IFERROR(SUMIFS($J$5:$J$504,$AB$5:$AB$504,"&lt;="&amp;AB425)/$J$505,0))</f>
        <v>0.929595929474205</v>
      </c>
      <c r="M425" s="55" t="str">
        <f aca="false">IF($A425="","",IF(L425&lt;=Assumptions!$B$7,"A",IF(L425&lt;=Assumptions!$B$8,"B","C")))</f>
        <v>B</v>
      </c>
      <c r="N425" s="55" t="str">
        <f aca="false">IF($A425="","",IF(I425&lt;=Assumptions!$B$9,"X",IF(I425&lt;=Assumptions!$B$10,"Y","Z")))</f>
        <v>Z</v>
      </c>
      <c r="O425" s="56" t="str">
        <f aca="false">IF($A425="","",M425&amp;N425)</f>
        <v>BZ</v>
      </c>
      <c r="P425" s="57" t="n">
        <f aca="false">IF($A425="","",INDEX(Assumptions!$B$35:$B$37,MATCH(M425,Assumptions!$A$35:$A$37,0)))</f>
        <v>0.95</v>
      </c>
      <c r="Q425" s="58" t="n">
        <f aca="false">IF($A425="","",NORMSINV(P425))</f>
        <v>1.64485362695147</v>
      </c>
      <c r="R425" s="48" t="n">
        <f aca="false">IF($A425="","",ROUNDUP(Q425*H425*SQRT(D425),0))</f>
        <v>196</v>
      </c>
      <c r="S425" s="48" t="n">
        <f aca="false">IF($A425="","",ROUNDUP(G425*D425+R425,0))</f>
        <v>376</v>
      </c>
      <c r="T425" s="46" t="n">
        <f aca="false">IF($A425="","",IFERROR(ROUND(SQRT(2*F425*Assumptions!$B$4/(Assumptions!$B$5*C425)),0),0))</f>
        <v>396</v>
      </c>
      <c r="U425" s="53" t="n">
        <f aca="false">IF($A425="","",R425*C425)</f>
        <v>582.12</v>
      </c>
      <c r="V425" s="53" t="n">
        <f aca="false">IF($A425="","",E425*C425)</f>
        <v>531.63</v>
      </c>
      <c r="W425" s="59" t="n">
        <f aca="false">IF($A425="","",IFERROR(E425/G425,0))</f>
        <v>7.99656357388316</v>
      </c>
      <c r="X425" s="48" t="n">
        <f aca="false">IF($A425="","",S425+T425)</f>
        <v>772</v>
      </c>
      <c r="Y425" s="48" t="n">
        <f aca="false">IF($A425="","",MAX(0,E425-X425))</f>
        <v>0</v>
      </c>
      <c r="Z425" s="53" t="n">
        <f aca="false">IF($A425="","",Y425*C425)</f>
        <v>0</v>
      </c>
      <c r="AA425" s="56" t="str">
        <f aca="false">IF($A425="","",IF(E425&lt;=R425,"Below Safety Stock",IF(E425&lt;=S425,"Reorder Now",IF(E425&gt;X425,"Excess","Healthy"))))</f>
        <v>Below Safety Stock</v>
      </c>
      <c r="AB425" s="48" t="n">
        <f aca="false">IF($A425="","",RANK(AF425,$AF$5:$AF$504,0)+COUNTIF($AF$5:AF425,AF425)-1)</f>
        <v>413</v>
      </c>
      <c r="AC425" s="44" t="str">
        <f aca="false">IF($A425="","",Weekly_Demand!B425)</f>
        <v>CHRISTMAS LIGHTS 10 VINTAGE BAUBLES</v>
      </c>
      <c r="AD425" s="59" t="n">
        <f aca="false">IF($A425="","",H425*SQRT(D425))</f>
        <v>118.618391387103</v>
      </c>
      <c r="AE425" s="53" t="n">
        <f aca="false">IF($A425="","",AD425*C425)</f>
        <v>352.296622419696</v>
      </c>
      <c r="AF425" s="53" t="n">
        <f aca="false">IF($A425="","",ROUND(J425,2))</f>
        <v>3457.08</v>
      </c>
    </row>
    <row r="426" customFormat="false" ht="15" hidden="false" customHeight="false" outlineLevel="0" collapsed="false">
      <c r="A426" s="44" t="str">
        <f aca="false">IF(Weekly_Demand!A426="","",Weekly_Demand!A426)</f>
        <v>22584</v>
      </c>
      <c r="B426" s="44" t="str">
        <f aca="false">IF($A426="","",Weekly_Demand!C426)</f>
        <v>Other</v>
      </c>
      <c r="C426" s="45" t="n">
        <f aca="false">IF($A426="","",Weekly_Demand!D426)</f>
        <v>1.53</v>
      </c>
      <c r="D426" s="46" t="n">
        <f aca="false">IF($A426="","",Weekly_Demand!E426+Assumptions!$B$19)</f>
        <v>2</v>
      </c>
      <c r="E426" s="46" t="n">
        <f aca="false">IF($A426="","",Weekly_Demand!F426)</f>
        <v>611</v>
      </c>
      <c r="F426" s="46" t="n">
        <f aca="false">IF($A426="","",SUM(Weekly_Demand!G426:BF426))</f>
        <v>2271</v>
      </c>
      <c r="G426" s="51" t="n">
        <f aca="false">IF($A426="","",IFERROR(F426/Assumptions!$B$6,0))</f>
        <v>43.6730769230769</v>
      </c>
      <c r="H426" s="51" t="n">
        <f aca="false">IF($A426="","",STDEV(Weekly_Demand!G426:BF426))</f>
        <v>61.0293150883314</v>
      </c>
      <c r="I426" s="52" t="n">
        <f aca="false">IF($A426="","",IFERROR(H426/G426,0))</f>
        <v>1.39741276292084</v>
      </c>
      <c r="J426" s="53" t="n">
        <f aca="false">IF($A426="","",F426*C426)</f>
        <v>3474.63</v>
      </c>
      <c r="K426" s="54" t="n">
        <f aca="false">IF($A426="","",IFERROR(J426/$J$505,0))</f>
        <v>0.00089906873413968</v>
      </c>
      <c r="L426" s="54" t="n">
        <f aca="false">IF($A426="","",IFERROR(SUMIFS($J$5:$J$504,$AB$5:$AB$504,"&lt;="&amp;AB426)/$J$505,0))</f>
        <v>0.927803676034733</v>
      </c>
      <c r="M426" s="55" t="str">
        <f aca="false">IF($A426="","",IF(L426&lt;=Assumptions!$B$7,"A",IF(L426&lt;=Assumptions!$B$8,"B","C")))</f>
        <v>B</v>
      </c>
      <c r="N426" s="55" t="str">
        <f aca="false">IF($A426="","",IF(I426&lt;=Assumptions!$B$9,"X",IF(I426&lt;=Assumptions!$B$10,"Y","Z")))</f>
        <v>Z</v>
      </c>
      <c r="O426" s="56" t="str">
        <f aca="false">IF($A426="","",M426&amp;N426)</f>
        <v>BZ</v>
      </c>
      <c r="P426" s="57" t="n">
        <f aca="false">IF($A426="","",INDEX(Assumptions!$B$35:$B$37,MATCH(M426,Assumptions!$A$35:$A$37,0)))</f>
        <v>0.95</v>
      </c>
      <c r="Q426" s="58" t="n">
        <f aca="false">IF($A426="","",NORMSINV(P426))</f>
        <v>1.64485362695147</v>
      </c>
      <c r="R426" s="48" t="n">
        <f aca="false">IF($A426="","",ROUNDUP(Q426*H426*SQRT(D426),0))</f>
        <v>142</v>
      </c>
      <c r="S426" s="48" t="n">
        <f aca="false">IF($A426="","",ROUNDUP(G426*D426+R426,0))</f>
        <v>230</v>
      </c>
      <c r="T426" s="46" t="n">
        <f aca="false">IF($A426="","",IFERROR(ROUND(SQRT(2*F426*Assumptions!$B$4/(Assumptions!$B$5*C426)),0),0))</f>
        <v>771</v>
      </c>
      <c r="U426" s="53" t="n">
        <f aca="false">IF($A426="","",R426*C426)</f>
        <v>217.26</v>
      </c>
      <c r="V426" s="53" t="n">
        <f aca="false">IF($A426="","",E426*C426)</f>
        <v>934.83</v>
      </c>
      <c r="W426" s="59" t="n">
        <f aca="false">IF($A426="","",IFERROR(E426/G426,0))</f>
        <v>13.9903126376046</v>
      </c>
      <c r="X426" s="48" t="n">
        <f aca="false">IF($A426="","",S426+T426)</f>
        <v>1001</v>
      </c>
      <c r="Y426" s="48" t="n">
        <f aca="false">IF($A426="","",MAX(0,E426-X426))</f>
        <v>0</v>
      </c>
      <c r="Z426" s="53" t="n">
        <f aca="false">IF($A426="","",Y426*C426)</f>
        <v>0</v>
      </c>
      <c r="AA426" s="56" t="str">
        <f aca="false">IF($A426="","",IF(E426&lt;=R426,"Below Safety Stock",IF(E426&lt;=S426,"Reorder Now",IF(E426&gt;X426,"Excess","Healthy"))))</f>
        <v>Healthy</v>
      </c>
      <c r="AB426" s="48" t="n">
        <f aca="false">IF($A426="","",RANK(AF426,$AF$5:$AF$504,0)+COUNTIF($AF$5:AF426,AF426)-1)</f>
        <v>411</v>
      </c>
      <c r="AC426" s="44" t="str">
        <f aca="false">IF($A426="","",Weekly_Demand!B426)</f>
        <v>PACK OF 6 PANNETONE GIFT BOXES</v>
      </c>
      <c r="AD426" s="59" t="n">
        <f aca="false">IF($A426="","",H426*SQRT(D426))</f>
        <v>86.3084851002592</v>
      </c>
      <c r="AE426" s="53" t="n">
        <f aca="false">IF($A426="","",AD426*C426)</f>
        <v>132.051982203397</v>
      </c>
      <c r="AF426" s="53" t="n">
        <f aca="false">IF($A426="","",ROUND(J426,2))</f>
        <v>3474.63</v>
      </c>
    </row>
    <row r="427" customFormat="false" ht="15" hidden="false" customHeight="false" outlineLevel="0" collapsed="false">
      <c r="A427" s="44" t="str">
        <f aca="false">IF(Weekly_Demand!A427="","",Weekly_Demand!A427)</f>
        <v>48129</v>
      </c>
      <c r="B427" s="44" t="str">
        <f aca="false">IF($A427="","",Weekly_Demand!C427)</f>
        <v>Other</v>
      </c>
      <c r="C427" s="45" t="n">
        <f aca="false">IF($A427="","",Weekly_Demand!D427)</f>
        <v>4.77</v>
      </c>
      <c r="D427" s="46" t="n">
        <f aca="false">IF($A427="","",Weekly_Demand!E427+Assumptions!$B$19)</f>
        <v>4</v>
      </c>
      <c r="E427" s="46" t="n">
        <f aca="false">IF($A427="","",Weekly_Demand!F427)</f>
        <v>201</v>
      </c>
      <c r="F427" s="46" t="n">
        <f aca="false">IF($A427="","",SUM(Weekly_Demand!G427:BF427))</f>
        <v>873</v>
      </c>
      <c r="G427" s="51" t="n">
        <f aca="false">IF($A427="","",IFERROR(F427/Assumptions!$B$6,0))</f>
        <v>16.7884615384615</v>
      </c>
      <c r="H427" s="51" t="n">
        <f aca="false">IF($A427="","",STDEV(Weekly_Demand!G427:BF427))</f>
        <v>44.1536250986421</v>
      </c>
      <c r="I427" s="52" t="n">
        <f aca="false">IF($A427="","",IFERROR(H427/G427,0))</f>
        <v>2.62999828766253</v>
      </c>
      <c r="J427" s="53" t="n">
        <f aca="false">IF($A427="","",F427*C427)</f>
        <v>4164.21</v>
      </c>
      <c r="K427" s="54" t="n">
        <f aca="false">IF($A427="","",IFERROR(J427/$J$505,0))</f>
        <v>0.00107749919081796</v>
      </c>
      <c r="L427" s="54" t="n">
        <f aca="false">IF($A427="","",IFERROR(SUMIFS($J$5:$J$504,$AB$5:$AB$504,"&lt;="&amp;AB427)/$J$505,0))</f>
        <v>0.863126805541991</v>
      </c>
      <c r="M427" s="55" t="str">
        <f aca="false">IF($A427="","",IF(L427&lt;=Assumptions!$B$7,"A",IF(L427&lt;=Assumptions!$B$8,"B","C")))</f>
        <v>B</v>
      </c>
      <c r="N427" s="55" t="str">
        <f aca="false">IF($A427="","",IF(I427&lt;=Assumptions!$B$9,"X",IF(I427&lt;=Assumptions!$B$10,"Y","Z")))</f>
        <v>Z</v>
      </c>
      <c r="O427" s="56" t="str">
        <f aca="false">IF($A427="","",M427&amp;N427)</f>
        <v>BZ</v>
      </c>
      <c r="P427" s="57" t="n">
        <f aca="false">IF($A427="","",INDEX(Assumptions!$B$35:$B$37,MATCH(M427,Assumptions!$A$35:$A$37,0)))</f>
        <v>0.95</v>
      </c>
      <c r="Q427" s="58" t="n">
        <f aca="false">IF($A427="","",NORMSINV(P427))</f>
        <v>1.64485362695147</v>
      </c>
      <c r="R427" s="48" t="n">
        <f aca="false">IF($A427="","",ROUNDUP(Q427*H427*SQRT(D427),0))</f>
        <v>146</v>
      </c>
      <c r="S427" s="48" t="n">
        <f aca="false">IF($A427="","",ROUNDUP(G427*D427+R427,0))</f>
        <v>214</v>
      </c>
      <c r="T427" s="46" t="n">
        <f aca="false">IF($A427="","",IFERROR(ROUND(SQRT(2*F427*Assumptions!$B$4/(Assumptions!$B$5*C427)),0),0))</f>
        <v>271</v>
      </c>
      <c r="U427" s="53" t="n">
        <f aca="false">IF($A427="","",R427*C427)</f>
        <v>696.42</v>
      </c>
      <c r="V427" s="53" t="n">
        <f aca="false">IF($A427="","",E427*C427)</f>
        <v>958.77</v>
      </c>
      <c r="W427" s="59" t="n">
        <f aca="false">IF($A427="","",IFERROR(E427/G427,0))</f>
        <v>11.9725085910653</v>
      </c>
      <c r="X427" s="48" t="n">
        <f aca="false">IF($A427="","",S427+T427)</f>
        <v>485</v>
      </c>
      <c r="Y427" s="48" t="n">
        <f aca="false">IF($A427="","",MAX(0,E427-X427))</f>
        <v>0</v>
      </c>
      <c r="Z427" s="53" t="n">
        <f aca="false">IF($A427="","",Y427*C427)</f>
        <v>0</v>
      </c>
      <c r="AA427" s="56" t="str">
        <f aca="false">IF($A427="","",IF(E427&lt;=R427,"Below Safety Stock",IF(E427&lt;=S427,"Reorder Now",IF(E427&gt;X427,"Excess","Healthy"))))</f>
        <v>Reorder Now</v>
      </c>
      <c r="AB427" s="48" t="n">
        <f aca="false">IF($A427="","",RANK(AF427,$AF$5:$AF$504,0)+COUNTIF($AF$5:AF427,AF427)-1)</f>
        <v>346</v>
      </c>
      <c r="AC427" s="44" t="str">
        <f aca="false">IF($A427="","",Weekly_Demand!B427)</f>
        <v>DOORMAT TOPIARY</v>
      </c>
      <c r="AD427" s="59" t="n">
        <f aca="false">IF($A427="","",H427*SQRT(D427))</f>
        <v>88.3072501972841</v>
      </c>
      <c r="AE427" s="53" t="n">
        <f aca="false">IF($A427="","",AD427*C427)</f>
        <v>421.225583441045</v>
      </c>
      <c r="AF427" s="53" t="n">
        <f aca="false">IF($A427="","",ROUND(J427,2))</f>
        <v>4164.21</v>
      </c>
    </row>
    <row r="428" customFormat="false" ht="15" hidden="false" customHeight="false" outlineLevel="0" collapsed="false">
      <c r="A428" s="44" t="str">
        <f aca="false">IF(Weekly_Demand!A428="","",Weekly_Demand!A428)</f>
        <v>22971</v>
      </c>
      <c r="B428" s="44" t="str">
        <f aca="false">IF($A428="","",Weekly_Demand!C428)</f>
        <v>Kitchen</v>
      </c>
      <c r="C428" s="45" t="n">
        <f aca="false">IF($A428="","",Weekly_Demand!D428)</f>
        <v>1.53</v>
      </c>
      <c r="D428" s="46" t="n">
        <f aca="false">IF($A428="","",Weekly_Demand!E428+Assumptions!$B$19)</f>
        <v>8</v>
      </c>
      <c r="E428" s="46" t="n">
        <f aca="false">IF($A428="","",Weekly_Demand!F428)</f>
        <v>1247</v>
      </c>
      <c r="F428" s="46" t="n">
        <f aca="false">IF($A428="","",SUM(Weekly_Demand!G428:BF428))</f>
        <v>2402</v>
      </c>
      <c r="G428" s="51" t="n">
        <f aca="false">IF($A428="","",IFERROR(F428/Assumptions!$B$6,0))</f>
        <v>46.1923076923077</v>
      </c>
      <c r="H428" s="51" t="n">
        <f aca="false">IF($A428="","",STDEV(Weekly_Demand!G428:BF428))</f>
        <v>40.554508688459</v>
      </c>
      <c r="I428" s="52" t="n">
        <f aca="false">IF($A428="","",IFERROR(H428/G428,0))</f>
        <v>0.877949397085706</v>
      </c>
      <c r="J428" s="53" t="n">
        <f aca="false">IF($A428="","",F428*C428)</f>
        <v>3675.06</v>
      </c>
      <c r="K428" s="54" t="n">
        <f aca="false">IF($A428="","",IFERROR(J428/$J$505,0))</f>
        <v>0.000950930470895425</v>
      </c>
      <c r="L428" s="54" t="n">
        <f aca="false">IF($A428="","",IFERROR(SUMIFS($J$5:$J$504,$AB$5:$AB$504,"&lt;="&amp;AB428)/$J$505,0))</f>
        <v>0.918590032129483</v>
      </c>
      <c r="M428" s="55" t="str">
        <f aca="false">IF($A428="","",IF(L428&lt;=Assumptions!$B$7,"A",IF(L428&lt;=Assumptions!$B$8,"B","C")))</f>
        <v>B</v>
      </c>
      <c r="N428" s="55" t="str">
        <f aca="false">IF($A428="","",IF(I428&lt;=Assumptions!$B$9,"X",IF(I428&lt;=Assumptions!$B$10,"Y","Z")))</f>
        <v>Y</v>
      </c>
      <c r="O428" s="56" t="str">
        <f aca="false">IF($A428="","",M428&amp;N428)</f>
        <v>BY</v>
      </c>
      <c r="P428" s="57" t="n">
        <f aca="false">IF($A428="","",INDEX(Assumptions!$B$35:$B$37,MATCH(M428,Assumptions!$A$35:$A$37,0)))</f>
        <v>0.95</v>
      </c>
      <c r="Q428" s="58" t="n">
        <f aca="false">IF($A428="","",NORMSINV(P428))</f>
        <v>1.64485362695147</v>
      </c>
      <c r="R428" s="48" t="n">
        <f aca="false">IF($A428="","",ROUNDUP(Q428*H428*SQRT(D428),0))</f>
        <v>189</v>
      </c>
      <c r="S428" s="48" t="n">
        <f aca="false">IF($A428="","",ROUNDUP(G428*D428+R428,0))</f>
        <v>559</v>
      </c>
      <c r="T428" s="46" t="n">
        <f aca="false">IF($A428="","",IFERROR(ROUND(SQRT(2*F428*Assumptions!$B$4/(Assumptions!$B$5*C428)),0),0))</f>
        <v>792</v>
      </c>
      <c r="U428" s="53" t="n">
        <f aca="false">IF($A428="","",R428*C428)</f>
        <v>289.17</v>
      </c>
      <c r="V428" s="53" t="n">
        <f aca="false">IF($A428="","",E428*C428)</f>
        <v>1907.91</v>
      </c>
      <c r="W428" s="59" t="n">
        <f aca="false">IF($A428="","",IFERROR(E428/G428,0))</f>
        <v>26.9958368026644</v>
      </c>
      <c r="X428" s="48" t="n">
        <f aca="false">IF($A428="","",S428+T428)</f>
        <v>1351</v>
      </c>
      <c r="Y428" s="48" t="n">
        <f aca="false">IF($A428="","",MAX(0,E428-X428))</f>
        <v>0</v>
      </c>
      <c r="Z428" s="53" t="n">
        <f aca="false">IF($A428="","",Y428*C428)</f>
        <v>0</v>
      </c>
      <c r="AA428" s="56" t="str">
        <f aca="false">IF($A428="","",IF(E428&lt;=R428,"Below Safety Stock",IF(E428&lt;=S428,"Reorder Now",IF(E428&gt;X428,"Excess","Healthy"))))</f>
        <v>Healthy</v>
      </c>
      <c r="AB428" s="48" t="n">
        <f aca="false">IF($A428="","",RANK(AF428,$AF$5:$AF$504,0)+COUNTIF($AF$5:AF428,AF428)-1)</f>
        <v>401</v>
      </c>
      <c r="AC428" s="44" t="str">
        <f aca="false">IF($A428="","",Weekly_Demand!B428)</f>
        <v>QUEENS GUARD COFFEE MUG</v>
      </c>
      <c r="AD428" s="59" t="n">
        <f aca="false">IF($A428="","",H428*SQRT(D428))</f>
        <v>114.705472405192</v>
      </c>
      <c r="AE428" s="53" t="n">
        <f aca="false">IF($A428="","",AD428*C428)</f>
        <v>175.499372779944</v>
      </c>
      <c r="AF428" s="53" t="n">
        <f aca="false">IF($A428="","",ROUND(J428,2))</f>
        <v>3675.06</v>
      </c>
    </row>
    <row r="429" customFormat="false" ht="15" hidden="false" customHeight="false" outlineLevel="0" collapsed="false">
      <c r="A429" s="44" t="str">
        <f aca="false">IF(Weekly_Demand!A429="","",Weekly_Demand!A429)</f>
        <v>23485</v>
      </c>
      <c r="B429" s="44" t="str">
        <f aca="false">IF($A429="","",Weekly_Demand!C429)</f>
        <v>Other</v>
      </c>
      <c r="C429" s="45" t="n">
        <f aca="false">IF($A429="","",Weekly_Demand!D429)</f>
        <v>15</v>
      </c>
      <c r="D429" s="46" t="n">
        <f aca="false">IF($A429="","",Weekly_Demand!E429+Assumptions!$B$19)</f>
        <v>4</v>
      </c>
      <c r="E429" s="46" t="n">
        <f aca="false">IF($A429="","",Weekly_Demand!F429)</f>
        <v>5</v>
      </c>
      <c r="F429" s="46" t="n">
        <f aca="false">IF($A429="","",SUM(Weekly_Demand!G429:BF429))</f>
        <v>258</v>
      </c>
      <c r="G429" s="51" t="n">
        <f aca="false">IF($A429="","",IFERROR(F429/Assumptions!$B$6,0))</f>
        <v>4.96153846153846</v>
      </c>
      <c r="H429" s="51" t="n">
        <f aca="false">IF($A429="","",STDEV(Weekly_Demand!G429:BF429))</f>
        <v>20.2571328889565</v>
      </c>
      <c r="I429" s="52" t="n">
        <f aca="false">IF($A429="","",IFERROR(H429/G429,0))</f>
        <v>4.08283298537109</v>
      </c>
      <c r="J429" s="53" t="n">
        <f aca="false">IF($A429="","",F429*C429)</f>
        <v>3870</v>
      </c>
      <c r="K429" s="54" t="n">
        <f aca="false">IF($A429="","",IFERROR(J429/$J$505,0))</f>
        <v>0.00100137165716078</v>
      </c>
      <c r="L429" s="54" t="n">
        <f aca="false">IF($A429="","",IFERROR(SUMIFS($J$5:$J$504,$AB$5:$AB$504,"&lt;="&amp;AB429)/$J$505,0))</f>
        <v>0.893271731515808</v>
      </c>
      <c r="M429" s="55" t="str">
        <f aca="false">IF($A429="","",IF(L429&lt;=Assumptions!$B$7,"A",IF(L429&lt;=Assumptions!$B$8,"B","C")))</f>
        <v>B</v>
      </c>
      <c r="N429" s="55" t="str">
        <f aca="false">IF($A429="","",IF(I429&lt;=Assumptions!$B$9,"X",IF(I429&lt;=Assumptions!$B$10,"Y","Z")))</f>
        <v>Z</v>
      </c>
      <c r="O429" s="56" t="str">
        <f aca="false">IF($A429="","",M429&amp;N429)</f>
        <v>BZ</v>
      </c>
      <c r="P429" s="57" t="n">
        <f aca="false">IF($A429="","",INDEX(Assumptions!$B$35:$B$37,MATCH(M429,Assumptions!$A$35:$A$37,0)))</f>
        <v>0.95</v>
      </c>
      <c r="Q429" s="58" t="n">
        <f aca="false">IF($A429="","",NORMSINV(P429))</f>
        <v>1.64485362695147</v>
      </c>
      <c r="R429" s="48" t="n">
        <f aca="false">IF($A429="","",ROUNDUP(Q429*H429*SQRT(D429),0))</f>
        <v>67</v>
      </c>
      <c r="S429" s="48" t="n">
        <f aca="false">IF($A429="","",ROUNDUP(G429*D429+R429,0))</f>
        <v>87</v>
      </c>
      <c r="T429" s="46" t="n">
        <f aca="false">IF($A429="","",IFERROR(ROUND(SQRT(2*F429*Assumptions!$B$4/(Assumptions!$B$5*C429)),0),0))</f>
        <v>83</v>
      </c>
      <c r="U429" s="53" t="n">
        <f aca="false">IF($A429="","",R429*C429)</f>
        <v>1005</v>
      </c>
      <c r="V429" s="53" t="n">
        <f aca="false">IF($A429="","",E429*C429)</f>
        <v>75</v>
      </c>
      <c r="W429" s="59" t="n">
        <f aca="false">IF($A429="","",IFERROR(E429/G429,0))</f>
        <v>1.0077519379845</v>
      </c>
      <c r="X429" s="48" t="n">
        <f aca="false">IF($A429="","",S429+T429)</f>
        <v>170</v>
      </c>
      <c r="Y429" s="48" t="n">
        <f aca="false">IF($A429="","",MAX(0,E429-X429))</f>
        <v>0</v>
      </c>
      <c r="Z429" s="53" t="n">
        <f aca="false">IF($A429="","",Y429*C429)</f>
        <v>0</v>
      </c>
      <c r="AA429" s="56" t="str">
        <f aca="false">IF($A429="","",IF(E429&lt;=R429,"Below Safety Stock",IF(E429&lt;=S429,"Reorder Now",IF(E429&gt;X429,"Excess","Healthy"))))</f>
        <v>Below Safety Stock</v>
      </c>
      <c r="AB429" s="48" t="n">
        <f aca="false">IF($A429="","",RANK(AF429,$AF$5:$AF$504,0)+COUNTIF($AF$5:AF429,AF429)-1)</f>
        <v>375</v>
      </c>
      <c r="AC429" s="44" t="str">
        <f aca="false">IF($A429="","",Weekly_Demand!B429)</f>
        <v>BOTANICAL GARDENS WALL CLOCK</v>
      </c>
      <c r="AD429" s="59" t="n">
        <f aca="false">IF($A429="","",H429*SQRT(D429))</f>
        <v>40.5142657779131</v>
      </c>
      <c r="AE429" s="53" t="n">
        <f aca="false">IF($A429="","",AD429*C429)</f>
        <v>607.713986668696</v>
      </c>
      <c r="AF429" s="53" t="n">
        <f aca="false">IF($A429="","",ROUND(J429,2))</f>
        <v>3870</v>
      </c>
    </row>
    <row r="430" customFormat="false" ht="15" hidden="false" customHeight="false" outlineLevel="0" collapsed="false">
      <c r="A430" s="44" t="str">
        <f aca="false">IF(Weekly_Demand!A430="","",Weekly_Demand!A430)</f>
        <v>23312</v>
      </c>
      <c r="B430" s="44" t="str">
        <f aca="false">IF($A430="","",Weekly_Demand!C430)</f>
        <v>Other</v>
      </c>
      <c r="C430" s="45" t="n">
        <f aca="false">IF($A430="","",Weekly_Demand!D430)</f>
        <v>2.49</v>
      </c>
      <c r="D430" s="46" t="n">
        <f aca="false">IF($A430="","",Weekly_Demand!E430+Assumptions!$B$19)</f>
        <v>2</v>
      </c>
      <c r="E430" s="46" t="n">
        <f aca="false">IF($A430="","",Weekly_Demand!F430)</f>
        <v>1168</v>
      </c>
      <c r="F430" s="46" t="n">
        <f aca="false">IF($A430="","",SUM(Weekly_Demand!G430:BF430))</f>
        <v>1380</v>
      </c>
      <c r="G430" s="51" t="n">
        <f aca="false">IF($A430="","",IFERROR(F430/Assumptions!$B$6,0))</f>
        <v>26.5384615384615</v>
      </c>
      <c r="H430" s="51" t="n">
        <f aca="false">IF($A430="","",STDEV(Weekly_Demand!G430:BF430))</f>
        <v>43.2255650292339</v>
      </c>
      <c r="I430" s="52" t="n">
        <f aca="false">IF($A430="","",IFERROR(H430/G430,0))</f>
        <v>1.62878940689867</v>
      </c>
      <c r="J430" s="53" t="n">
        <f aca="false">IF($A430="","",F430*C430)</f>
        <v>3436.2</v>
      </c>
      <c r="K430" s="54" t="n">
        <f aca="false">IF($A430="","",IFERROR(J430/$J$505,0))</f>
        <v>0.000889124880706944</v>
      </c>
      <c r="L430" s="54" t="n">
        <f aca="false">IF($A430="","",IFERROR(SUMIFS($J$5:$J$504,$AB$5:$AB$504,"&lt;="&amp;AB430)/$J$505,0))</f>
        <v>0.932270453444203</v>
      </c>
      <c r="M430" s="55" t="str">
        <f aca="false">IF($A430="","",IF(L430&lt;=Assumptions!$B$7,"A",IF(L430&lt;=Assumptions!$B$8,"B","C")))</f>
        <v>B</v>
      </c>
      <c r="N430" s="55" t="str">
        <f aca="false">IF($A430="","",IF(I430&lt;=Assumptions!$B$9,"X",IF(I430&lt;=Assumptions!$B$10,"Y","Z")))</f>
        <v>Z</v>
      </c>
      <c r="O430" s="56" t="str">
        <f aca="false">IF($A430="","",M430&amp;N430)</f>
        <v>BZ</v>
      </c>
      <c r="P430" s="57" t="n">
        <f aca="false">IF($A430="","",INDEX(Assumptions!$B$35:$B$37,MATCH(M430,Assumptions!$A$35:$A$37,0)))</f>
        <v>0.95</v>
      </c>
      <c r="Q430" s="58" t="n">
        <f aca="false">IF($A430="","",NORMSINV(P430))</f>
        <v>1.64485362695147</v>
      </c>
      <c r="R430" s="48" t="n">
        <f aca="false">IF($A430="","",ROUNDUP(Q430*H430*SQRT(D430),0))</f>
        <v>101</v>
      </c>
      <c r="S430" s="48" t="n">
        <f aca="false">IF($A430="","",ROUNDUP(G430*D430+R430,0))</f>
        <v>155</v>
      </c>
      <c r="T430" s="46" t="n">
        <f aca="false">IF($A430="","",IFERROR(ROUND(SQRT(2*F430*Assumptions!$B$4/(Assumptions!$B$5*C430)),0),0))</f>
        <v>471</v>
      </c>
      <c r="U430" s="53" t="n">
        <f aca="false">IF($A430="","",R430*C430)</f>
        <v>251.49</v>
      </c>
      <c r="V430" s="53" t="n">
        <f aca="false">IF($A430="","",E430*C430)</f>
        <v>2908.32</v>
      </c>
      <c r="W430" s="59" t="n">
        <f aca="false">IF($A430="","",IFERROR(E430/G430,0))</f>
        <v>44.0115942028986</v>
      </c>
      <c r="X430" s="48" t="n">
        <f aca="false">IF($A430="","",S430+T430)</f>
        <v>626</v>
      </c>
      <c r="Y430" s="48" t="n">
        <f aca="false">IF($A430="","",MAX(0,E430-X430))</f>
        <v>542</v>
      </c>
      <c r="Z430" s="53" t="n">
        <f aca="false">IF($A430="","",Y430*C430)</f>
        <v>1349.58</v>
      </c>
      <c r="AA430" s="56" t="str">
        <f aca="false">IF($A430="","",IF(E430&lt;=R430,"Below Safety Stock",IF(E430&lt;=S430,"Reorder Now",IF(E430&gt;X430,"Excess","Healthy"))))</f>
        <v>Excess</v>
      </c>
      <c r="AB430" s="48" t="n">
        <f aca="false">IF($A430="","",RANK(AF430,$AF$5:$AF$504,0)+COUNTIF($AF$5:AF430,AF430)-1)</f>
        <v>416</v>
      </c>
      <c r="AC430" s="44" t="str">
        <f aca="false">IF($A430="","",Weekly_Demand!B430)</f>
        <v>VINTAGE CHRISTMAS GIFT SACK</v>
      </c>
      <c r="AD430" s="59" t="n">
        <f aca="false">IF($A430="","",H430*SQRT(D430))</f>
        <v>61.1301803055828</v>
      </c>
      <c r="AE430" s="53" t="n">
        <f aca="false">IF($A430="","",AD430*C430)</f>
        <v>152.214148960901</v>
      </c>
      <c r="AF430" s="53" t="n">
        <f aca="false">IF($A430="","",ROUND(J430,2))</f>
        <v>3436.2</v>
      </c>
    </row>
    <row r="431" customFormat="false" ht="15" hidden="false" customHeight="false" outlineLevel="0" collapsed="false">
      <c r="A431" s="44" t="str">
        <f aca="false">IF(Weekly_Demand!A431="","",Weekly_Demand!A431)</f>
        <v>62018</v>
      </c>
      <c r="B431" s="44" t="str">
        <f aca="false">IF($A431="","",Weekly_Demand!C431)</f>
        <v>Other</v>
      </c>
      <c r="C431" s="45" t="n">
        <f aca="false">IF($A431="","",Weekly_Demand!D431)</f>
        <v>1.17</v>
      </c>
      <c r="D431" s="46" t="n">
        <f aca="false">IF($A431="","",Weekly_Demand!E431+Assumptions!$B$19)</f>
        <v>6</v>
      </c>
      <c r="E431" s="46" t="n">
        <f aca="false">IF($A431="","",Weekly_Demand!F431)</f>
        <v>1356</v>
      </c>
      <c r="F431" s="46" t="n">
        <f aca="false">IF($A431="","",SUM(Weekly_Demand!G431:BF431))</f>
        <v>4407</v>
      </c>
      <c r="G431" s="51" t="n">
        <f aca="false">IF($A431="","",IFERROR(F431/Assumptions!$B$6,0))</f>
        <v>84.75</v>
      </c>
      <c r="H431" s="51" t="n">
        <f aca="false">IF($A431="","",STDEV(Weekly_Demand!G431:BF431))</f>
        <v>195.046387142277</v>
      </c>
      <c r="I431" s="52" t="n">
        <f aca="false">IF($A431="","",IFERROR(H431/G431,0))</f>
        <v>2.30143229666403</v>
      </c>
      <c r="J431" s="53" t="n">
        <f aca="false">IF($A431="","",F431*C431)</f>
        <v>5156.19</v>
      </c>
      <c r="K431" s="54" t="n">
        <f aca="false">IF($A431="","",IFERROR(J431/$J$505,0))</f>
        <v>0.00133417636303252</v>
      </c>
      <c r="L431" s="54" t="n">
        <f aca="false">IF($A431="","",IFERROR(SUMIFS($J$5:$J$504,$AB$5:$AB$504,"&lt;="&amp;AB431)/$J$505,0))</f>
        <v>0.755532033861459</v>
      </c>
      <c r="M431" s="55" t="str">
        <f aca="false">IF($A431="","",IF(L431&lt;=Assumptions!$B$7,"A",IF(L431&lt;=Assumptions!$B$8,"B","C")))</f>
        <v>A</v>
      </c>
      <c r="N431" s="55" t="str">
        <f aca="false">IF($A431="","",IF(I431&lt;=Assumptions!$B$9,"X",IF(I431&lt;=Assumptions!$B$10,"Y","Z")))</f>
        <v>Z</v>
      </c>
      <c r="O431" s="56" t="str">
        <f aca="false">IF($A431="","",M431&amp;N431)</f>
        <v>AZ</v>
      </c>
      <c r="P431" s="57" t="n">
        <f aca="false">IF($A431="","",INDEX(Assumptions!$B$35:$B$37,MATCH(M431,Assumptions!$A$35:$A$37,0)))</f>
        <v>0.98</v>
      </c>
      <c r="Q431" s="58" t="n">
        <f aca="false">IF($A431="","",NORMSINV(P431))</f>
        <v>2.05374891063182</v>
      </c>
      <c r="R431" s="48" t="n">
        <f aca="false">IF($A431="","",ROUNDUP(Q431*H431*SQRT(D431),0))</f>
        <v>982</v>
      </c>
      <c r="S431" s="48" t="n">
        <f aca="false">IF($A431="","",ROUNDUP(G431*D431+R431,0))</f>
        <v>1491</v>
      </c>
      <c r="T431" s="46" t="n">
        <f aca="false">IF($A431="","",IFERROR(ROUND(SQRT(2*F431*Assumptions!$B$4/(Assumptions!$B$5*C431)),0),0))</f>
        <v>1227</v>
      </c>
      <c r="U431" s="53" t="n">
        <f aca="false">IF($A431="","",R431*C431)</f>
        <v>1148.94</v>
      </c>
      <c r="V431" s="53" t="n">
        <f aca="false">IF($A431="","",E431*C431)</f>
        <v>1586.52</v>
      </c>
      <c r="W431" s="59" t="n">
        <f aca="false">IF($A431="","",IFERROR(E431/G431,0))</f>
        <v>16</v>
      </c>
      <c r="X431" s="48" t="n">
        <f aca="false">IF($A431="","",S431+T431)</f>
        <v>2718</v>
      </c>
      <c r="Y431" s="48" t="n">
        <f aca="false">IF($A431="","",MAX(0,E431-X431))</f>
        <v>0</v>
      </c>
      <c r="Z431" s="53" t="n">
        <f aca="false">IF($A431="","",Y431*C431)</f>
        <v>0</v>
      </c>
      <c r="AA431" s="56" t="str">
        <f aca="false">IF($A431="","",IF(E431&lt;=R431,"Below Safety Stock",IF(E431&lt;=S431,"Reorder Now",IF(E431&gt;X431,"Excess","Healthy"))))</f>
        <v>Reorder Now</v>
      </c>
      <c r="AB431" s="48" t="n">
        <f aca="false">IF($A431="","",RANK(AF431,$AF$5:$AF$504,0)+COUNTIF($AF$5:AF431,AF431)-1)</f>
        <v>255</v>
      </c>
      <c r="AC431" s="44" t="str">
        <f aca="false">IF($A431="","",Weekly_Demand!B431)</f>
        <v>SOMBRERO</v>
      </c>
      <c r="AD431" s="59" t="n">
        <f aca="false">IF($A431="","",H431*SQRT(D431))</f>
        <v>477.764124671924</v>
      </c>
      <c r="AE431" s="53" t="n">
        <f aca="false">IF($A431="","",AD431*C431)</f>
        <v>558.984025866151</v>
      </c>
      <c r="AF431" s="53" t="n">
        <f aca="false">IF($A431="","",ROUND(J431,2))</f>
        <v>5156.19</v>
      </c>
    </row>
    <row r="432" customFormat="false" ht="15" hidden="false" customHeight="false" outlineLevel="0" collapsed="false">
      <c r="A432" s="44" t="str">
        <f aca="false">IF(Weekly_Demand!A432="","",Weekly_Demand!A432)</f>
        <v>22796</v>
      </c>
      <c r="B432" s="44" t="str">
        <f aca="false">IF($A432="","",Weekly_Demand!C432)</f>
        <v>Other</v>
      </c>
      <c r="C432" s="45" t="n">
        <f aca="false">IF($A432="","",Weekly_Demand!D432)</f>
        <v>5.97</v>
      </c>
      <c r="D432" s="46" t="n">
        <f aca="false">IF($A432="","",Weekly_Demand!E432+Assumptions!$B$19)</f>
        <v>2</v>
      </c>
      <c r="E432" s="46" t="n">
        <f aca="false">IF($A432="","",Weekly_Demand!F432)</f>
        <v>44</v>
      </c>
      <c r="F432" s="46" t="n">
        <f aca="false">IF($A432="","",SUM(Weekly_Demand!G432:BF432))</f>
        <v>574</v>
      </c>
      <c r="G432" s="51" t="n">
        <f aca="false">IF($A432="","",IFERROR(F432/Assumptions!$B$6,0))</f>
        <v>11.0384615384615</v>
      </c>
      <c r="H432" s="51" t="n">
        <f aca="false">IF($A432="","",STDEV(Weekly_Demand!G432:BF432))</f>
        <v>6.3922794684223</v>
      </c>
      <c r="I432" s="52" t="n">
        <f aca="false">IF($A432="","",IFERROR(H432/G432,0))</f>
        <v>0.579091519787386</v>
      </c>
      <c r="J432" s="53" t="n">
        <f aca="false">IF($A432="","",F432*C432)</f>
        <v>3426.78</v>
      </c>
      <c r="K432" s="54" t="n">
        <f aca="false">IF($A432="","",IFERROR(J432/$J$505,0))</f>
        <v>0.000886687433417421</v>
      </c>
      <c r="L432" s="54" t="n">
        <f aca="false">IF($A432="","",IFERROR(SUMIFS($J$5:$J$504,$AB$5:$AB$504,"&lt;="&amp;AB432)/$J$505,0))</f>
        <v>0.934045916442633</v>
      </c>
      <c r="M432" s="55" t="str">
        <f aca="false">IF($A432="","",IF(L432&lt;=Assumptions!$B$7,"A",IF(L432&lt;=Assumptions!$B$8,"B","C")))</f>
        <v>B</v>
      </c>
      <c r="N432" s="55" t="str">
        <f aca="false">IF($A432="","",IF(I432&lt;=Assumptions!$B$9,"X",IF(I432&lt;=Assumptions!$B$10,"Y","Z")))</f>
        <v>Y</v>
      </c>
      <c r="O432" s="56" t="str">
        <f aca="false">IF($A432="","",M432&amp;N432)</f>
        <v>BY</v>
      </c>
      <c r="P432" s="57" t="n">
        <f aca="false">IF($A432="","",INDEX(Assumptions!$B$35:$B$37,MATCH(M432,Assumptions!$A$35:$A$37,0)))</f>
        <v>0.95</v>
      </c>
      <c r="Q432" s="58" t="n">
        <f aca="false">IF($A432="","",NORMSINV(P432))</f>
        <v>1.64485362695147</v>
      </c>
      <c r="R432" s="48" t="n">
        <f aca="false">IF($A432="","",ROUNDUP(Q432*H432*SQRT(D432),0))</f>
        <v>15</v>
      </c>
      <c r="S432" s="48" t="n">
        <f aca="false">IF($A432="","",ROUNDUP(G432*D432+R432,0))</f>
        <v>38</v>
      </c>
      <c r="T432" s="46" t="n">
        <f aca="false">IF($A432="","",IFERROR(ROUND(SQRT(2*F432*Assumptions!$B$4/(Assumptions!$B$5*C432)),0),0))</f>
        <v>196</v>
      </c>
      <c r="U432" s="53" t="n">
        <f aca="false">IF($A432="","",R432*C432)</f>
        <v>89.55</v>
      </c>
      <c r="V432" s="53" t="n">
        <f aca="false">IF($A432="","",E432*C432)</f>
        <v>262.68</v>
      </c>
      <c r="W432" s="59" t="n">
        <f aca="false">IF($A432="","",IFERROR(E432/G432,0))</f>
        <v>3.98606271777004</v>
      </c>
      <c r="X432" s="48" t="n">
        <f aca="false">IF($A432="","",S432+T432)</f>
        <v>234</v>
      </c>
      <c r="Y432" s="48" t="n">
        <f aca="false">IF($A432="","",MAX(0,E432-X432))</f>
        <v>0</v>
      </c>
      <c r="Z432" s="53" t="n">
        <f aca="false">IF($A432="","",Y432*C432)</f>
        <v>0</v>
      </c>
      <c r="AA432" s="56" t="str">
        <f aca="false">IF($A432="","",IF(E432&lt;=R432,"Below Safety Stock",IF(E432&lt;=S432,"Reorder Now",IF(E432&gt;X432,"Excess","Healthy"))))</f>
        <v>Healthy</v>
      </c>
      <c r="AB432" s="48" t="n">
        <f aca="false">IF($A432="","",RANK(AF432,$AF$5:$AF$504,0)+COUNTIF($AF$5:AF432,AF432)-1)</f>
        <v>418</v>
      </c>
      <c r="AC432" s="44" t="str">
        <f aca="false">IF($A432="","",Weekly_Demand!B432)</f>
        <v>PHOTO FRAME 3 CLASSIC HANGING</v>
      </c>
      <c r="AD432" s="59" t="n">
        <f aca="false">IF($A432="","",H432*SQRT(D432))</f>
        <v>9.0400483187219</v>
      </c>
      <c r="AE432" s="53" t="n">
        <f aca="false">IF($A432="","",AD432*C432)</f>
        <v>53.9690884627697</v>
      </c>
      <c r="AF432" s="53" t="n">
        <f aca="false">IF($A432="","",ROUND(J432,2))</f>
        <v>3426.78</v>
      </c>
    </row>
    <row r="433" customFormat="false" ht="15" hidden="false" customHeight="false" outlineLevel="0" collapsed="false">
      <c r="A433" s="44" t="str">
        <f aca="false">IF(Weekly_Demand!A433="","",Weekly_Demand!A433)</f>
        <v>22740</v>
      </c>
      <c r="B433" s="44" t="str">
        <f aca="false">IF($A433="","",Weekly_Demand!C433)</f>
        <v>Other</v>
      </c>
      <c r="C433" s="45" t="n">
        <f aca="false">IF($A433="","",Weekly_Demand!D433)</f>
        <v>0.51</v>
      </c>
      <c r="D433" s="46" t="n">
        <f aca="false">IF($A433="","",Weekly_Demand!E433+Assumptions!$B$19)</f>
        <v>2</v>
      </c>
      <c r="E433" s="46" t="n">
        <f aca="false">IF($A433="","",Weekly_Demand!F433)</f>
        <v>1028</v>
      </c>
      <c r="F433" s="46" t="n">
        <f aca="false">IF($A433="","",SUM(Weekly_Demand!G433:BF433))</f>
        <v>6685</v>
      </c>
      <c r="G433" s="51" t="n">
        <f aca="false">IF($A433="","",IFERROR(F433/Assumptions!$B$6,0))</f>
        <v>128.557692307692</v>
      </c>
      <c r="H433" s="51" t="n">
        <f aca="false">IF($A433="","",STDEV(Weekly_Demand!G433:BF433))</f>
        <v>169.661879834805</v>
      </c>
      <c r="I433" s="52" t="n">
        <f aca="false">IF($A433="","",IFERROR(H433/G433,0))</f>
        <v>1.31973339587283</v>
      </c>
      <c r="J433" s="53" t="n">
        <f aca="false">IF($A433="","",F433*C433)</f>
        <v>3409.35</v>
      </c>
      <c r="K433" s="54" t="n">
        <f aca="false">IF($A433="","",IFERROR(J433/$J$505,0))</f>
        <v>0.000882177379674704</v>
      </c>
      <c r="L433" s="54" t="n">
        <f aca="false">IF($A433="","",IFERROR(SUMIFS($J$5:$J$504,$AB$5:$AB$504,"&lt;="&amp;AB433)/$J$505,0))</f>
        <v>0.935811611021735</v>
      </c>
      <c r="M433" s="55" t="str">
        <f aca="false">IF($A433="","",IF(L433&lt;=Assumptions!$B$7,"A",IF(L433&lt;=Assumptions!$B$8,"B","C")))</f>
        <v>B</v>
      </c>
      <c r="N433" s="55" t="str">
        <f aca="false">IF($A433="","",IF(I433&lt;=Assumptions!$B$9,"X",IF(I433&lt;=Assumptions!$B$10,"Y","Z")))</f>
        <v>Z</v>
      </c>
      <c r="O433" s="56" t="str">
        <f aca="false">IF($A433="","",M433&amp;N433)</f>
        <v>BZ</v>
      </c>
      <c r="P433" s="57" t="n">
        <f aca="false">IF($A433="","",INDEX(Assumptions!$B$35:$B$37,MATCH(M433,Assumptions!$A$35:$A$37,0)))</f>
        <v>0.95</v>
      </c>
      <c r="Q433" s="58" t="n">
        <f aca="false">IF($A433="","",NORMSINV(P433))</f>
        <v>1.64485362695147</v>
      </c>
      <c r="R433" s="48" t="n">
        <f aca="false">IF($A433="","",ROUNDUP(Q433*H433*SQRT(D433),0))</f>
        <v>395</v>
      </c>
      <c r="S433" s="48" t="n">
        <f aca="false">IF($A433="","",ROUNDUP(G433*D433+R433,0))</f>
        <v>653</v>
      </c>
      <c r="T433" s="46" t="n">
        <f aca="false">IF($A433="","",IFERROR(ROUND(SQRT(2*F433*Assumptions!$B$4/(Assumptions!$B$5*C433)),0),0))</f>
        <v>2290</v>
      </c>
      <c r="U433" s="53" t="n">
        <f aca="false">IF($A433="","",R433*C433)</f>
        <v>201.45</v>
      </c>
      <c r="V433" s="53" t="n">
        <f aca="false">IF($A433="","",E433*C433)</f>
        <v>524.28</v>
      </c>
      <c r="W433" s="59" t="n">
        <f aca="false">IF($A433="","",IFERROR(E433/G433,0))</f>
        <v>7.99640987284966</v>
      </c>
      <c r="X433" s="48" t="n">
        <f aca="false">IF($A433="","",S433+T433)</f>
        <v>2943</v>
      </c>
      <c r="Y433" s="48" t="n">
        <f aca="false">IF($A433="","",MAX(0,E433-X433))</f>
        <v>0</v>
      </c>
      <c r="Z433" s="53" t="n">
        <f aca="false">IF($A433="","",Y433*C433)</f>
        <v>0</v>
      </c>
      <c r="AA433" s="56" t="str">
        <f aca="false">IF($A433="","",IF(E433&lt;=R433,"Below Safety Stock",IF(E433&lt;=S433,"Reorder Now",IF(E433&gt;X433,"Excess","Healthy"))))</f>
        <v>Healthy</v>
      </c>
      <c r="AB433" s="48" t="n">
        <f aca="false">IF($A433="","",RANK(AF433,$AF$5:$AF$504,0)+COUNTIF($AF$5:AF433,AF433)-1)</f>
        <v>420</v>
      </c>
      <c r="AC433" s="44" t="str">
        <f aca="false">IF($A433="","",Weekly_Demand!B433)</f>
        <v>POLKADOT PEN</v>
      </c>
      <c r="AD433" s="59" t="n">
        <f aca="false">IF($A433="","",H433*SQRT(D433))</f>
        <v>239.938131480096</v>
      </c>
      <c r="AE433" s="53" t="n">
        <f aca="false">IF($A433="","",AD433*C433)</f>
        <v>122.368447054849</v>
      </c>
      <c r="AF433" s="53" t="n">
        <f aca="false">IF($A433="","",ROUND(J433,2))</f>
        <v>3409.35</v>
      </c>
    </row>
    <row r="434" customFormat="false" ht="15" hidden="false" customHeight="false" outlineLevel="0" collapsed="false">
      <c r="A434" s="44" t="str">
        <f aca="false">IF(Weekly_Demand!A434="","",Weekly_Demand!A434)</f>
        <v>22088</v>
      </c>
      <c r="B434" s="44" t="str">
        <f aca="false">IF($A434="","",Weekly_Demand!C434)</f>
        <v>Other</v>
      </c>
      <c r="C434" s="45" t="n">
        <f aca="false">IF($A434="","",Weekly_Demand!D434)</f>
        <v>1.77</v>
      </c>
      <c r="D434" s="46" t="n">
        <f aca="false">IF($A434="","",Weekly_Demand!E434+Assumptions!$B$19)</f>
        <v>2</v>
      </c>
      <c r="E434" s="46" t="n">
        <f aca="false">IF($A434="","",Weekly_Demand!F434)</f>
        <v>145</v>
      </c>
      <c r="F434" s="46" t="n">
        <f aca="false">IF($A434="","",SUM(Weekly_Demand!G434:BF434))</f>
        <v>1888</v>
      </c>
      <c r="G434" s="51" t="n">
        <f aca="false">IF($A434="","",IFERROR(F434/Assumptions!$B$6,0))</f>
        <v>36.3076923076923</v>
      </c>
      <c r="H434" s="51" t="n">
        <f aca="false">IF($A434="","",STDEV(Weekly_Demand!G434:BF434))</f>
        <v>48.1739244663719</v>
      </c>
      <c r="I434" s="52" t="n">
        <f aca="false">IF($A434="","",IFERROR(H434/G434,0))</f>
        <v>1.32682419081109</v>
      </c>
      <c r="J434" s="53" t="n">
        <f aca="false">IF($A434="","",F434*C434)</f>
        <v>3341.76</v>
      </c>
      <c r="K434" s="54" t="n">
        <f aca="false">IF($A434="","",IFERROR(J434/$J$505,0))</f>
        <v>0.000864688307243827</v>
      </c>
      <c r="L434" s="54" t="n">
        <f aca="false">IF($A434="","",IFERROR(SUMIFS($J$5:$J$504,$AB$5:$AB$504,"&lt;="&amp;AB434)/$J$505,0))</f>
        <v>0.943651854292761</v>
      </c>
      <c r="M434" s="55" t="str">
        <f aca="false">IF($A434="","",IF(L434&lt;=Assumptions!$B$7,"A",IF(L434&lt;=Assumptions!$B$8,"B","C")))</f>
        <v>B</v>
      </c>
      <c r="N434" s="55" t="str">
        <f aca="false">IF($A434="","",IF(I434&lt;=Assumptions!$B$9,"X",IF(I434&lt;=Assumptions!$B$10,"Y","Z")))</f>
        <v>Z</v>
      </c>
      <c r="O434" s="56" t="str">
        <f aca="false">IF($A434="","",M434&amp;N434)</f>
        <v>BZ</v>
      </c>
      <c r="P434" s="57" t="n">
        <f aca="false">IF($A434="","",INDEX(Assumptions!$B$35:$B$37,MATCH(M434,Assumptions!$A$35:$A$37,0)))</f>
        <v>0.95</v>
      </c>
      <c r="Q434" s="58" t="n">
        <f aca="false">IF($A434="","",NORMSINV(P434))</f>
        <v>1.64485362695147</v>
      </c>
      <c r="R434" s="48" t="n">
        <f aca="false">IF($A434="","",ROUNDUP(Q434*H434*SQRT(D434),0))</f>
        <v>113</v>
      </c>
      <c r="S434" s="48" t="n">
        <f aca="false">IF($A434="","",ROUNDUP(G434*D434+R434,0))</f>
        <v>186</v>
      </c>
      <c r="T434" s="46" t="n">
        <f aca="false">IF($A434="","",IFERROR(ROUND(SQRT(2*F434*Assumptions!$B$4/(Assumptions!$B$5*C434)),0),0))</f>
        <v>653</v>
      </c>
      <c r="U434" s="53" t="n">
        <f aca="false">IF($A434="","",R434*C434)</f>
        <v>200.01</v>
      </c>
      <c r="V434" s="53" t="n">
        <f aca="false">IF($A434="","",E434*C434)</f>
        <v>256.65</v>
      </c>
      <c r="W434" s="59" t="n">
        <f aca="false">IF($A434="","",IFERROR(E434/G434,0))</f>
        <v>3.99364406779661</v>
      </c>
      <c r="X434" s="48" t="n">
        <f aca="false">IF($A434="","",S434+T434)</f>
        <v>839</v>
      </c>
      <c r="Y434" s="48" t="n">
        <f aca="false">IF($A434="","",MAX(0,E434-X434))</f>
        <v>0</v>
      </c>
      <c r="Z434" s="53" t="n">
        <f aca="false">IF($A434="","",Y434*C434)</f>
        <v>0</v>
      </c>
      <c r="AA434" s="56" t="str">
        <f aca="false">IF($A434="","",IF(E434&lt;=R434,"Below Safety Stock",IF(E434&lt;=S434,"Reorder Now",IF(E434&gt;X434,"Excess","Healthy"))))</f>
        <v>Reorder Now</v>
      </c>
      <c r="AB434" s="48" t="n">
        <f aca="false">IF($A434="","",RANK(AF434,$AF$5:$AF$504,0)+COUNTIF($AF$5:AF434,AF434)-1)</f>
        <v>429</v>
      </c>
      <c r="AC434" s="44" t="str">
        <f aca="false">IF($A434="","",Weekly_Demand!B434)</f>
        <v>PAPER BUNTING COLOURED LACE</v>
      </c>
      <c r="AD434" s="59" t="n">
        <f aca="false">IF($A434="","",H434*SQRT(D434))</f>
        <v>68.1282173330802</v>
      </c>
      <c r="AE434" s="53" t="n">
        <f aca="false">IF($A434="","",AD434*C434)</f>
        <v>120.586944679552</v>
      </c>
      <c r="AF434" s="53" t="n">
        <f aca="false">IF($A434="","",ROUND(J434,2))</f>
        <v>3341.76</v>
      </c>
    </row>
    <row r="435" customFormat="false" ht="15" hidden="false" customHeight="false" outlineLevel="0" collapsed="false">
      <c r="A435" s="44" t="str">
        <f aca="false">IF(Weekly_Demand!A435="","",Weekly_Demand!A435)</f>
        <v>23154</v>
      </c>
      <c r="B435" s="44" t="str">
        <f aca="false">IF($A435="","",Weekly_Demand!C435)</f>
        <v>Other</v>
      </c>
      <c r="C435" s="45" t="n">
        <f aca="false">IF($A435="","",Weekly_Demand!D435)</f>
        <v>1.248</v>
      </c>
      <c r="D435" s="46" t="n">
        <f aca="false">IF($A435="","",Weekly_Demand!E435+Assumptions!$B$19)</f>
        <v>6</v>
      </c>
      <c r="E435" s="46" t="n">
        <f aca="false">IF($A435="","",Weekly_Demand!F435)</f>
        <v>746</v>
      </c>
      <c r="F435" s="46" t="n">
        <f aca="false">IF($A435="","",SUM(Weekly_Demand!G435:BF435))</f>
        <v>2587</v>
      </c>
      <c r="G435" s="51" t="n">
        <f aca="false">IF($A435="","",IFERROR(F435/Assumptions!$B$6,0))</f>
        <v>49.75</v>
      </c>
      <c r="H435" s="51" t="n">
        <f aca="false">IF($A435="","",STDEV(Weekly_Demand!G435:BF435))</f>
        <v>55.6169938058504</v>
      </c>
      <c r="I435" s="52" t="n">
        <f aca="false">IF($A435="","",IFERROR(H435/G435,0))</f>
        <v>1.11792952373569</v>
      </c>
      <c r="J435" s="53" t="n">
        <f aca="false">IF($A435="","",F435*C435)</f>
        <v>3228.576</v>
      </c>
      <c r="K435" s="54" t="n">
        <f aca="false">IF($A435="","",IFERROR(J435/$J$505,0))</f>
        <v>0.000835401679428817</v>
      </c>
      <c r="L435" s="54" t="n">
        <f aca="false">IF($A435="","",IFERROR(SUMIFS($J$5:$J$504,$AB$5:$AB$504,"&lt;="&amp;AB435)/$J$505,0))</f>
        <v>0.958038408744798</v>
      </c>
      <c r="M435" s="55" t="str">
        <f aca="false">IF($A435="","",IF(L435&lt;=Assumptions!$B$7,"A",IF(L435&lt;=Assumptions!$B$8,"B","C")))</f>
        <v>C</v>
      </c>
      <c r="N435" s="55" t="str">
        <f aca="false">IF($A435="","",IF(I435&lt;=Assumptions!$B$9,"X",IF(I435&lt;=Assumptions!$B$10,"Y","Z")))</f>
        <v>Z</v>
      </c>
      <c r="O435" s="56" t="str">
        <f aca="false">IF($A435="","",M435&amp;N435)</f>
        <v>CZ</v>
      </c>
      <c r="P435" s="57" t="n">
        <f aca="false">IF($A435="","",INDEX(Assumptions!$B$35:$B$37,MATCH(M435,Assumptions!$A$35:$A$37,0)))</f>
        <v>0.9</v>
      </c>
      <c r="Q435" s="58" t="n">
        <f aca="false">IF($A435="","",NORMSINV(P435))</f>
        <v>1.2815515655446</v>
      </c>
      <c r="R435" s="48" t="n">
        <f aca="false">IF($A435="","",ROUNDUP(Q435*H435*SQRT(D435),0))</f>
        <v>175</v>
      </c>
      <c r="S435" s="48" t="n">
        <f aca="false">IF($A435="","",ROUNDUP(G435*D435+R435,0))</f>
        <v>474</v>
      </c>
      <c r="T435" s="46" t="n">
        <f aca="false">IF($A435="","",IFERROR(ROUND(SQRT(2*F435*Assumptions!$B$4/(Assumptions!$B$5*C435)),0),0))</f>
        <v>911</v>
      </c>
      <c r="U435" s="53" t="n">
        <f aca="false">IF($A435="","",R435*C435)</f>
        <v>218.4</v>
      </c>
      <c r="V435" s="53" t="n">
        <f aca="false">IF($A435="","",E435*C435)</f>
        <v>931.008</v>
      </c>
      <c r="W435" s="59" t="n">
        <f aca="false">IF($A435="","",IFERROR(E435/G435,0))</f>
        <v>14.9949748743719</v>
      </c>
      <c r="X435" s="48" t="n">
        <f aca="false">IF($A435="","",S435+T435)</f>
        <v>1385</v>
      </c>
      <c r="Y435" s="48" t="n">
        <f aca="false">IF($A435="","",MAX(0,E435-X435))</f>
        <v>0</v>
      </c>
      <c r="Z435" s="53" t="n">
        <f aca="false">IF($A435="","",Y435*C435)</f>
        <v>0</v>
      </c>
      <c r="AA435" s="56" t="str">
        <f aca="false">IF($A435="","",IF(E435&lt;=R435,"Below Safety Stock",IF(E435&lt;=S435,"Reorder Now",IF(E435&gt;X435,"Excess","Healthy"))))</f>
        <v>Healthy</v>
      </c>
      <c r="AB435" s="48" t="n">
        <f aca="false">IF($A435="","",RANK(AF435,$AF$5:$AF$504,0)+COUNTIF($AF$5:AF435,AF435)-1)</f>
        <v>446</v>
      </c>
      <c r="AC435" s="44" t="str">
        <f aca="false">IF($A435="","",Weekly_Demand!B435)</f>
        <v>SET OF 4 JAM JAR MAGNETS</v>
      </c>
      <c r="AD435" s="59" t="n">
        <f aca="false">IF($A435="","",H435*SQRT(D435))</f>
        <v>136.233255851866</v>
      </c>
      <c r="AE435" s="53" t="n">
        <f aca="false">IF($A435="","",AD435*C435)</f>
        <v>170.019103303129</v>
      </c>
      <c r="AF435" s="53" t="n">
        <f aca="false">IF($A435="","",ROUND(J435,2))</f>
        <v>3228.58</v>
      </c>
    </row>
    <row r="436" customFormat="false" ht="15" hidden="false" customHeight="false" outlineLevel="0" collapsed="false">
      <c r="A436" s="44" t="str">
        <f aca="false">IF(Weekly_Demand!A436="","",Weekly_Demand!A436)</f>
        <v>22174</v>
      </c>
      <c r="B436" s="44" t="str">
        <f aca="false">IF($A436="","",Weekly_Demand!C436)</f>
        <v>Other</v>
      </c>
      <c r="C436" s="45" t="n">
        <f aca="false">IF($A436="","",Weekly_Demand!D436)</f>
        <v>0.99</v>
      </c>
      <c r="D436" s="46" t="n">
        <f aca="false">IF($A436="","",Weekly_Demand!E436+Assumptions!$B$19)</f>
        <v>6</v>
      </c>
      <c r="E436" s="46" t="n">
        <f aca="false">IF($A436="","",Weekly_Demand!F436)</f>
        <v>2237</v>
      </c>
      <c r="F436" s="46" t="n">
        <f aca="false">IF($A436="","",SUM(Weekly_Demand!G436:BF436))</f>
        <v>3061</v>
      </c>
      <c r="G436" s="51" t="n">
        <f aca="false">IF($A436="","",IFERROR(F436/Assumptions!$B$6,0))</f>
        <v>58.8653846153846</v>
      </c>
      <c r="H436" s="51" t="n">
        <f aca="false">IF($A436="","",STDEV(Weekly_Demand!G436:BF436))</f>
        <v>132.421642216445</v>
      </c>
      <c r="I436" s="52" t="n">
        <f aca="false">IF($A436="","",IFERROR(H436/G436,0))</f>
        <v>2.24956726404937</v>
      </c>
      <c r="J436" s="53" t="n">
        <f aca="false">IF($A436="","",F436*C436)</f>
        <v>3030.39</v>
      </c>
      <c r="K436" s="54" t="n">
        <f aca="false">IF($A436="","",IFERROR(J436/$J$505,0))</f>
        <v>0.000784120582982805</v>
      </c>
      <c r="L436" s="54" t="n">
        <f aca="false">IF($A436="","",IFERROR(SUMIFS($J$5:$J$504,$AB$5:$AB$504,"&lt;="&amp;AB436)/$J$505,0))</f>
        <v>0.979147481634196</v>
      </c>
      <c r="M436" s="55" t="str">
        <f aca="false">IF($A436="","",IF(L436&lt;=Assumptions!$B$7,"A",IF(L436&lt;=Assumptions!$B$8,"B","C")))</f>
        <v>C</v>
      </c>
      <c r="N436" s="55" t="str">
        <f aca="false">IF($A436="","",IF(I436&lt;=Assumptions!$B$9,"X",IF(I436&lt;=Assumptions!$B$10,"Y","Z")))</f>
        <v>Z</v>
      </c>
      <c r="O436" s="56" t="str">
        <f aca="false">IF($A436="","",M436&amp;N436)</f>
        <v>CZ</v>
      </c>
      <c r="P436" s="57" t="n">
        <f aca="false">IF($A436="","",INDEX(Assumptions!$B$35:$B$37,MATCH(M436,Assumptions!$A$35:$A$37,0)))</f>
        <v>0.9</v>
      </c>
      <c r="Q436" s="58" t="n">
        <f aca="false">IF($A436="","",NORMSINV(P436))</f>
        <v>1.2815515655446</v>
      </c>
      <c r="R436" s="48" t="n">
        <f aca="false">IF($A436="","",ROUNDUP(Q436*H436*SQRT(D436),0))</f>
        <v>416</v>
      </c>
      <c r="S436" s="48" t="n">
        <f aca="false">IF($A436="","",ROUNDUP(G436*D436+R436,0))</f>
        <v>770</v>
      </c>
      <c r="T436" s="46" t="n">
        <f aca="false">IF($A436="","",IFERROR(ROUND(SQRT(2*F436*Assumptions!$B$4/(Assumptions!$B$5*C436)),0),0))</f>
        <v>1112</v>
      </c>
      <c r="U436" s="53" t="n">
        <f aca="false">IF($A436="","",R436*C436)</f>
        <v>411.84</v>
      </c>
      <c r="V436" s="53" t="n">
        <f aca="false">IF($A436="","",E436*C436)</f>
        <v>2214.63</v>
      </c>
      <c r="W436" s="59" t="n">
        <f aca="false">IF($A436="","",IFERROR(E436/G436,0))</f>
        <v>38.0019601437439</v>
      </c>
      <c r="X436" s="48" t="n">
        <f aca="false">IF($A436="","",S436+T436)</f>
        <v>1882</v>
      </c>
      <c r="Y436" s="48" t="n">
        <f aca="false">IF($A436="","",MAX(0,E436-X436))</f>
        <v>355</v>
      </c>
      <c r="Z436" s="53" t="n">
        <f aca="false">IF($A436="","",Y436*C436)</f>
        <v>351.45</v>
      </c>
      <c r="AA436" s="56" t="str">
        <f aca="false">IF($A436="","",IF(E436&lt;=R436,"Below Safety Stock",IF(E436&lt;=S436,"Reorder Now",IF(E436&gt;X436,"Excess","Healthy"))))</f>
        <v>Excess</v>
      </c>
      <c r="AB436" s="48" t="n">
        <f aca="false">IF($A436="","",RANK(AF436,$AF$5:$AF$504,0)+COUNTIF($AF$5:AF436,AF436)-1)</f>
        <v>472</v>
      </c>
      <c r="AC436" s="44" t="str">
        <f aca="false">IF($A436="","",Weekly_Demand!B436)</f>
        <v>PHOTO CUBE</v>
      </c>
      <c r="AD436" s="59" t="n">
        <f aca="false">IF($A436="","",H436*SQRT(D436))</f>
        <v>324.365454331686</v>
      </c>
      <c r="AE436" s="53" t="n">
        <f aca="false">IF($A436="","",AD436*C436)</f>
        <v>321.121799788369</v>
      </c>
      <c r="AF436" s="53" t="n">
        <f aca="false">IF($A436="","",ROUND(J436,2))</f>
        <v>3030.39</v>
      </c>
    </row>
    <row r="437" customFormat="false" ht="15" hidden="false" customHeight="false" outlineLevel="0" collapsed="false">
      <c r="A437" s="44" t="str">
        <f aca="false">IF(Weekly_Demand!A437="","",Weekly_Demand!A437)</f>
        <v>21156</v>
      </c>
      <c r="B437" s="44" t="str">
        <f aca="false">IF($A437="","",Weekly_Demand!C437)</f>
        <v>Other</v>
      </c>
      <c r="C437" s="45" t="n">
        <f aca="false">IF($A437="","",Weekly_Demand!D437)</f>
        <v>1.17</v>
      </c>
      <c r="D437" s="46" t="n">
        <f aca="false">IF($A437="","",Weekly_Demand!E437+Assumptions!$B$19)</f>
        <v>2</v>
      </c>
      <c r="E437" s="46" t="n">
        <f aca="false">IF($A437="","",Weekly_Demand!F437)</f>
        <v>611</v>
      </c>
      <c r="F437" s="46" t="n">
        <f aca="false">IF($A437="","",SUM(Weekly_Demand!G437:BF437))</f>
        <v>2889</v>
      </c>
      <c r="G437" s="51" t="n">
        <f aca="false">IF($A437="","",IFERROR(F437/Assumptions!$B$6,0))</f>
        <v>55.5576923076923</v>
      </c>
      <c r="H437" s="51" t="n">
        <f aca="false">IF($A437="","",STDEV(Weekly_Demand!G437:BF437))</f>
        <v>53.1658203122278</v>
      </c>
      <c r="I437" s="52" t="n">
        <f aca="false">IF($A437="","",IFERROR(H437/G437,0))</f>
        <v>0.956947959929334</v>
      </c>
      <c r="J437" s="53" t="n">
        <f aca="false">IF($A437="","",F437*C437)</f>
        <v>3380.13</v>
      </c>
      <c r="K437" s="54" t="n">
        <f aca="false">IF($A437="","",IFERROR(J437/$J$505,0))</f>
        <v>0.000874616635534591</v>
      </c>
      <c r="L437" s="54" t="n">
        <f aca="false">IF($A437="","",IFERROR(SUMIFS($J$5:$J$504,$AB$5:$AB$504,"&lt;="&amp;AB437)/$J$505,0))</f>
        <v>0.938442540393078</v>
      </c>
      <c r="M437" s="55" t="str">
        <f aca="false">IF($A437="","",IF(L437&lt;=Assumptions!$B$7,"A",IF(L437&lt;=Assumptions!$B$8,"B","C")))</f>
        <v>B</v>
      </c>
      <c r="N437" s="55" t="str">
        <f aca="false">IF($A437="","",IF(I437&lt;=Assumptions!$B$9,"X",IF(I437&lt;=Assumptions!$B$10,"Y","Z")))</f>
        <v>Y</v>
      </c>
      <c r="O437" s="56" t="str">
        <f aca="false">IF($A437="","",M437&amp;N437)</f>
        <v>BY</v>
      </c>
      <c r="P437" s="57" t="n">
        <f aca="false">IF($A437="","",INDEX(Assumptions!$B$35:$B$37,MATCH(M437,Assumptions!$A$35:$A$37,0)))</f>
        <v>0.95</v>
      </c>
      <c r="Q437" s="58" t="n">
        <f aca="false">IF($A437="","",NORMSINV(P437))</f>
        <v>1.64485362695147</v>
      </c>
      <c r="R437" s="48" t="n">
        <f aca="false">IF($A437="","",ROUNDUP(Q437*H437*SQRT(D437),0))</f>
        <v>124</v>
      </c>
      <c r="S437" s="48" t="n">
        <f aca="false">IF($A437="","",ROUNDUP(G437*D437+R437,0))</f>
        <v>236</v>
      </c>
      <c r="T437" s="46" t="n">
        <f aca="false">IF($A437="","",IFERROR(ROUND(SQRT(2*F437*Assumptions!$B$4/(Assumptions!$B$5*C437)),0),0))</f>
        <v>994</v>
      </c>
      <c r="U437" s="53" t="n">
        <f aca="false">IF($A437="","",R437*C437)</f>
        <v>145.08</v>
      </c>
      <c r="V437" s="53" t="n">
        <f aca="false">IF($A437="","",E437*C437)</f>
        <v>714.87</v>
      </c>
      <c r="W437" s="59" t="n">
        <f aca="false">IF($A437="","",IFERROR(E437/G437,0))</f>
        <v>10.9975770162686</v>
      </c>
      <c r="X437" s="48" t="n">
        <f aca="false">IF($A437="","",S437+T437)</f>
        <v>1230</v>
      </c>
      <c r="Y437" s="48" t="n">
        <f aca="false">IF($A437="","",MAX(0,E437-X437))</f>
        <v>0</v>
      </c>
      <c r="Z437" s="53" t="n">
        <f aca="false">IF($A437="","",Y437*C437)</f>
        <v>0</v>
      </c>
      <c r="AA437" s="56" t="str">
        <f aca="false">IF($A437="","",IF(E437&lt;=R437,"Below Safety Stock",IF(E437&lt;=S437,"Reorder Now",IF(E437&gt;X437,"Excess","Healthy"))))</f>
        <v>Healthy</v>
      </c>
      <c r="AB437" s="48" t="n">
        <f aca="false">IF($A437="","",RANK(AF437,$AF$5:$AF$504,0)+COUNTIF($AF$5:AF437,AF437)-1)</f>
        <v>423</v>
      </c>
      <c r="AC437" s="44" t="str">
        <f aca="false">IF($A437="","",Weekly_Demand!B437)</f>
        <v>RETROSPOT CHILDRENS APRON</v>
      </c>
      <c r="AD437" s="59" t="n">
        <f aca="false">IF($A437="","",H437*SQRT(D437))</f>
        <v>75.1878241402436</v>
      </c>
      <c r="AE437" s="53" t="n">
        <f aca="false">IF($A437="","",AD437*C437)</f>
        <v>87.969754244085</v>
      </c>
      <c r="AF437" s="53" t="n">
        <f aca="false">IF($A437="","",ROUND(J437,2))</f>
        <v>3380.13</v>
      </c>
    </row>
    <row r="438" customFormat="false" ht="15" hidden="false" customHeight="false" outlineLevel="0" collapsed="false">
      <c r="A438" s="44" t="str">
        <f aca="false">IF(Weekly_Demand!A438="","",Weekly_Demand!A438)</f>
        <v>22907</v>
      </c>
      <c r="B438" s="44" t="str">
        <f aca="false">IF($A438="","",Weekly_Demand!C438)</f>
        <v>Other</v>
      </c>
      <c r="C438" s="45" t="n">
        <f aca="false">IF($A438="","",Weekly_Demand!D438)</f>
        <v>0.51</v>
      </c>
      <c r="D438" s="46" t="n">
        <f aca="false">IF($A438="","",Weekly_Demand!E438+Assumptions!$B$19)</f>
        <v>8</v>
      </c>
      <c r="E438" s="46" t="n">
        <f aca="false">IF($A438="","",Weekly_Demand!F438)</f>
        <v>372</v>
      </c>
      <c r="F438" s="46" t="n">
        <f aca="false">IF($A438="","",SUM(Weekly_Demand!G438:BF438))</f>
        <v>6444</v>
      </c>
      <c r="G438" s="51" t="n">
        <f aca="false">IF($A438="","",IFERROR(F438/Assumptions!$B$6,0))</f>
        <v>123.923076923077</v>
      </c>
      <c r="H438" s="51" t="n">
        <f aca="false">IF($A438="","",STDEV(Weekly_Demand!G438:BF438))</f>
        <v>73.8604529896555</v>
      </c>
      <c r="I438" s="52" t="n">
        <f aca="false">IF($A438="","",IFERROR(H438/G438,0))</f>
        <v>0.59601855298915</v>
      </c>
      <c r="J438" s="53" t="n">
        <f aca="false">IF($A438="","",F438*C438)</f>
        <v>3286.44</v>
      </c>
      <c r="K438" s="54" t="n">
        <f aca="false">IF($A438="","",IFERROR(J438/$J$505,0))</f>
        <v>0.000850374126346118</v>
      </c>
      <c r="L438" s="54" t="n">
        <f aca="false">IF($A438="","",IFERROR(SUMIFS($J$5:$J$504,$AB$5:$AB$504,"&lt;="&amp;AB438)/$J$505,0))</f>
        <v>0.949655109980238</v>
      </c>
      <c r="M438" s="55" t="str">
        <f aca="false">IF($A438="","",IF(L438&lt;=Assumptions!$B$7,"A",IF(L438&lt;=Assumptions!$B$8,"B","C")))</f>
        <v>B</v>
      </c>
      <c r="N438" s="55" t="str">
        <f aca="false">IF($A438="","",IF(I438&lt;=Assumptions!$B$9,"X",IF(I438&lt;=Assumptions!$B$10,"Y","Z")))</f>
        <v>Y</v>
      </c>
      <c r="O438" s="56" t="str">
        <f aca="false">IF($A438="","",M438&amp;N438)</f>
        <v>BY</v>
      </c>
      <c r="P438" s="57" t="n">
        <f aca="false">IF($A438="","",INDEX(Assumptions!$B$35:$B$37,MATCH(M438,Assumptions!$A$35:$A$37,0)))</f>
        <v>0.95</v>
      </c>
      <c r="Q438" s="58" t="n">
        <f aca="false">IF($A438="","",NORMSINV(P438))</f>
        <v>1.64485362695147</v>
      </c>
      <c r="R438" s="48" t="n">
        <f aca="false">IF($A438="","",ROUNDUP(Q438*H438*SQRT(D438),0))</f>
        <v>344</v>
      </c>
      <c r="S438" s="48" t="n">
        <f aca="false">IF($A438="","",ROUNDUP(G438*D438+R438,0))</f>
        <v>1336</v>
      </c>
      <c r="T438" s="46" t="n">
        <f aca="false">IF($A438="","",IFERROR(ROUND(SQRT(2*F438*Assumptions!$B$4/(Assumptions!$B$5*C438)),0),0))</f>
        <v>2248</v>
      </c>
      <c r="U438" s="53" t="n">
        <f aca="false">IF($A438="","",R438*C438)</f>
        <v>175.44</v>
      </c>
      <c r="V438" s="53" t="n">
        <f aca="false">IF($A438="","",E438*C438)</f>
        <v>189.72</v>
      </c>
      <c r="W438" s="59" t="n">
        <f aca="false">IF($A438="","",IFERROR(E438/G438,0))</f>
        <v>3.00186219739292</v>
      </c>
      <c r="X438" s="48" t="n">
        <f aca="false">IF($A438="","",S438+T438)</f>
        <v>3584</v>
      </c>
      <c r="Y438" s="48" t="n">
        <f aca="false">IF($A438="","",MAX(0,E438-X438))</f>
        <v>0</v>
      </c>
      <c r="Z438" s="53" t="n">
        <f aca="false">IF($A438="","",Y438*C438)</f>
        <v>0</v>
      </c>
      <c r="AA438" s="56" t="str">
        <f aca="false">IF($A438="","",IF(E438&lt;=R438,"Below Safety Stock",IF(E438&lt;=S438,"Reorder Now",IF(E438&gt;X438,"Excess","Healthy"))))</f>
        <v>Reorder Now</v>
      </c>
      <c r="AB438" s="48" t="n">
        <f aca="false">IF($A438="","",RANK(AF438,$AF$5:$AF$504,0)+COUNTIF($AF$5:AF438,AF438)-1)</f>
        <v>436</v>
      </c>
      <c r="AC438" s="44" t="str">
        <f aca="false">IF($A438="","",Weekly_Demand!B438)</f>
        <v>PACK OF 20 NAPKINS PANTRY DESIGN</v>
      </c>
      <c r="AD438" s="59" t="n">
        <f aca="false">IF($A438="","",H438*SQRT(D438))</f>
        <v>208.908908681982</v>
      </c>
      <c r="AE438" s="53" t="n">
        <f aca="false">IF($A438="","",AD438*C438)</f>
        <v>106.543543427811</v>
      </c>
      <c r="AF438" s="53" t="n">
        <f aca="false">IF($A438="","",ROUND(J438,2))</f>
        <v>3286.44</v>
      </c>
    </row>
    <row r="439" customFormat="false" ht="15" hidden="false" customHeight="false" outlineLevel="0" collapsed="false">
      <c r="A439" s="44" t="str">
        <f aca="false">IF(Weekly_Demand!A439="","",Weekly_Demand!A439)</f>
        <v>23118</v>
      </c>
      <c r="B439" s="44" t="str">
        <f aca="false">IF($A439="","",Weekly_Demand!C439)</f>
        <v>Other</v>
      </c>
      <c r="C439" s="45" t="n">
        <f aca="false">IF($A439="","",Weekly_Demand!D439)</f>
        <v>4.5</v>
      </c>
      <c r="D439" s="46" t="n">
        <f aca="false">IF($A439="","",Weekly_Demand!E439+Assumptions!$B$19)</f>
        <v>6</v>
      </c>
      <c r="E439" s="46" t="n">
        <f aca="false">IF($A439="","",Weekly_Demand!F439)</f>
        <v>228</v>
      </c>
      <c r="F439" s="46" t="n">
        <f aca="false">IF($A439="","",SUM(Weekly_Demand!G439:BF439))</f>
        <v>740</v>
      </c>
      <c r="G439" s="51" t="n">
        <f aca="false">IF($A439="","",IFERROR(F439/Assumptions!$B$6,0))</f>
        <v>14.2307692307692</v>
      </c>
      <c r="H439" s="51" t="n">
        <f aca="false">IF($A439="","",STDEV(Weekly_Demand!G439:BF439))</f>
        <v>21.5857754402631</v>
      </c>
      <c r="I439" s="52" t="n">
        <f aca="false">IF($A439="","",IFERROR(H439/G439,0))</f>
        <v>1.51683827418065</v>
      </c>
      <c r="J439" s="53" t="n">
        <f aca="false">IF($A439="","",F439*C439)</f>
        <v>3330</v>
      </c>
      <c r="K439" s="54" t="n">
        <f aca="false">IF($A439="","",IFERROR(J439/$J$505,0))</f>
        <v>0.000861645379417416</v>
      </c>
      <c r="L439" s="54" t="n">
        <f aca="false">IF($A439="","",IFERROR(SUMIFS($J$5:$J$504,$AB$5:$AB$504,"&lt;="&amp;AB439)/$J$505,0))</f>
        <v>0.94537549436729</v>
      </c>
      <c r="M439" s="55" t="str">
        <f aca="false">IF($A439="","",IF(L439&lt;=Assumptions!$B$7,"A",IF(L439&lt;=Assumptions!$B$8,"B","C")))</f>
        <v>B</v>
      </c>
      <c r="N439" s="55" t="str">
        <f aca="false">IF($A439="","",IF(I439&lt;=Assumptions!$B$9,"X",IF(I439&lt;=Assumptions!$B$10,"Y","Z")))</f>
        <v>Z</v>
      </c>
      <c r="O439" s="56" t="str">
        <f aca="false">IF($A439="","",M439&amp;N439)</f>
        <v>BZ</v>
      </c>
      <c r="P439" s="57" t="n">
        <f aca="false">IF($A439="","",INDEX(Assumptions!$B$35:$B$37,MATCH(M439,Assumptions!$A$35:$A$37,0)))</f>
        <v>0.95</v>
      </c>
      <c r="Q439" s="58" t="n">
        <f aca="false">IF($A439="","",NORMSINV(P439))</f>
        <v>1.64485362695147</v>
      </c>
      <c r="R439" s="48" t="n">
        <f aca="false">IF($A439="","",ROUNDUP(Q439*H439*SQRT(D439),0))</f>
        <v>87</v>
      </c>
      <c r="S439" s="48" t="n">
        <f aca="false">IF($A439="","",ROUNDUP(G439*D439+R439,0))</f>
        <v>173</v>
      </c>
      <c r="T439" s="46" t="n">
        <f aca="false">IF($A439="","",IFERROR(ROUND(SQRT(2*F439*Assumptions!$B$4/(Assumptions!$B$5*C439)),0),0))</f>
        <v>256</v>
      </c>
      <c r="U439" s="53" t="n">
        <f aca="false">IF($A439="","",R439*C439)</f>
        <v>391.5</v>
      </c>
      <c r="V439" s="53" t="n">
        <f aca="false">IF($A439="","",E439*C439)</f>
        <v>1026</v>
      </c>
      <c r="W439" s="59" t="n">
        <f aca="false">IF($A439="","",IFERROR(E439/G439,0))</f>
        <v>16.0216216216216</v>
      </c>
      <c r="X439" s="48" t="n">
        <f aca="false">IF($A439="","",S439+T439)</f>
        <v>429</v>
      </c>
      <c r="Y439" s="48" t="n">
        <f aca="false">IF($A439="","",MAX(0,E439-X439))</f>
        <v>0</v>
      </c>
      <c r="Z439" s="53" t="n">
        <f aca="false">IF($A439="","",Y439*C439)</f>
        <v>0</v>
      </c>
      <c r="AA439" s="56" t="str">
        <f aca="false">IF($A439="","",IF(E439&lt;=R439,"Below Safety Stock",IF(E439&lt;=S439,"Reorder Now",IF(E439&gt;X439,"Excess","Healthy"))))</f>
        <v>Healthy</v>
      </c>
      <c r="AB439" s="48" t="n">
        <f aca="false">IF($A439="","",RANK(AF439,$AF$5:$AF$504,0)+COUNTIF($AF$5:AF439,AF439)-1)</f>
        <v>431</v>
      </c>
      <c r="AC439" s="44" t="str">
        <f aca="false">IF($A439="","",Weekly_Demand!B439)</f>
        <v>PARISIENNE JEWELLERY DRAWER</v>
      </c>
      <c r="AD439" s="59" t="n">
        <f aca="false">IF($A439="","",H439*SQRT(D439))</f>
        <v>52.8741355309455</v>
      </c>
      <c r="AE439" s="53" t="n">
        <f aca="false">IF($A439="","",AD439*C439)</f>
        <v>237.933609889255</v>
      </c>
      <c r="AF439" s="53" t="n">
        <f aca="false">IF($A439="","",ROUND(J439,2))</f>
        <v>3330</v>
      </c>
    </row>
    <row r="440" customFormat="false" ht="15" hidden="false" customHeight="false" outlineLevel="0" collapsed="false">
      <c r="A440" s="44" t="str">
        <f aca="false">IF(Weekly_Demand!A440="","",Weekly_Demand!A440)</f>
        <v>22751</v>
      </c>
      <c r="B440" s="44" t="str">
        <f aca="false">IF($A440="","",Weekly_Demand!C440)</f>
        <v>Other</v>
      </c>
      <c r="C440" s="45" t="n">
        <f aca="false">IF($A440="","",Weekly_Demand!D440)</f>
        <v>2.25</v>
      </c>
      <c r="D440" s="46" t="n">
        <f aca="false">IF($A440="","",Weekly_Demand!E440+Assumptions!$B$19)</f>
        <v>8</v>
      </c>
      <c r="E440" s="46" t="n">
        <f aca="false">IF($A440="","",Weekly_Demand!F440)</f>
        <v>434</v>
      </c>
      <c r="F440" s="46" t="n">
        <f aca="false">IF($A440="","",SUM(Weekly_Demand!G440:BF440))</f>
        <v>1504</v>
      </c>
      <c r="G440" s="51" t="n">
        <f aca="false">IF($A440="","",IFERROR(F440/Assumptions!$B$6,0))</f>
        <v>28.9230769230769</v>
      </c>
      <c r="H440" s="51" t="n">
        <f aca="false">IF($A440="","",STDEV(Weekly_Demand!G440:BF440))</f>
        <v>42.3925845133256</v>
      </c>
      <c r="I440" s="52" t="n">
        <f aca="false">IF($A440="","",IFERROR(H440/G440,0))</f>
        <v>1.46570106030115</v>
      </c>
      <c r="J440" s="53" t="n">
        <f aca="false">IF($A440="","",F440*C440)</f>
        <v>3384</v>
      </c>
      <c r="K440" s="54" t="n">
        <f aca="false">IF($A440="","",IFERROR(J440/$J$505,0))</f>
        <v>0.000875618007191752</v>
      </c>
      <c r="L440" s="54" t="n">
        <f aca="false">IF($A440="","",IFERROR(SUMIFS($J$5:$J$504,$AB$5:$AB$504,"&lt;="&amp;AB440)/$J$505,0))</f>
        <v>0.937567923757543</v>
      </c>
      <c r="M440" s="55" t="str">
        <f aca="false">IF($A440="","",IF(L440&lt;=Assumptions!$B$7,"A",IF(L440&lt;=Assumptions!$B$8,"B","C")))</f>
        <v>B</v>
      </c>
      <c r="N440" s="55" t="str">
        <f aca="false">IF($A440="","",IF(I440&lt;=Assumptions!$B$9,"X",IF(I440&lt;=Assumptions!$B$10,"Y","Z")))</f>
        <v>Z</v>
      </c>
      <c r="O440" s="56" t="str">
        <f aca="false">IF($A440="","",M440&amp;N440)</f>
        <v>BZ</v>
      </c>
      <c r="P440" s="57" t="n">
        <f aca="false">IF($A440="","",INDEX(Assumptions!$B$35:$B$37,MATCH(M440,Assumptions!$A$35:$A$37,0)))</f>
        <v>0.95</v>
      </c>
      <c r="Q440" s="58" t="n">
        <f aca="false">IF($A440="","",NORMSINV(P440))</f>
        <v>1.64485362695147</v>
      </c>
      <c r="R440" s="48" t="n">
        <f aca="false">IF($A440="","",ROUNDUP(Q440*H440*SQRT(D440),0))</f>
        <v>198</v>
      </c>
      <c r="S440" s="48" t="n">
        <f aca="false">IF($A440="","",ROUNDUP(G440*D440+R440,0))</f>
        <v>430</v>
      </c>
      <c r="T440" s="46" t="n">
        <f aca="false">IF($A440="","",IFERROR(ROUND(SQRT(2*F440*Assumptions!$B$4/(Assumptions!$B$5*C440)),0),0))</f>
        <v>517</v>
      </c>
      <c r="U440" s="53" t="n">
        <f aca="false">IF($A440="","",R440*C440)</f>
        <v>445.5</v>
      </c>
      <c r="V440" s="53" t="n">
        <f aca="false">IF($A440="","",E440*C440)</f>
        <v>976.5</v>
      </c>
      <c r="W440" s="59" t="n">
        <f aca="false">IF($A440="","",IFERROR(E440/G440,0))</f>
        <v>15.0053191489362</v>
      </c>
      <c r="X440" s="48" t="n">
        <f aca="false">IF($A440="","",S440+T440)</f>
        <v>947</v>
      </c>
      <c r="Y440" s="48" t="n">
        <f aca="false">IF($A440="","",MAX(0,E440-X440))</f>
        <v>0</v>
      </c>
      <c r="Z440" s="53" t="n">
        <f aca="false">IF($A440="","",Y440*C440)</f>
        <v>0</v>
      </c>
      <c r="AA440" s="56" t="str">
        <f aca="false">IF($A440="","",IF(E440&lt;=R440,"Below Safety Stock",IF(E440&lt;=S440,"Reorder Now",IF(E440&gt;X440,"Excess","Healthy"))))</f>
        <v>Healthy</v>
      </c>
      <c r="AB440" s="48" t="n">
        <f aca="false">IF($A440="","",RANK(AF440,$AF$5:$AF$504,0)+COUNTIF($AF$5:AF440,AF440)-1)</f>
        <v>422</v>
      </c>
      <c r="AC440" s="44" t="str">
        <f aca="false">IF($A440="","",Weekly_Demand!B440)</f>
        <v>FELTCRAFT PRINCESS OLIVIA DOLL</v>
      </c>
      <c r="AD440" s="59" t="n">
        <f aca="false">IF($A440="","",H440*SQRT(D440))</f>
        <v>119.904335925586</v>
      </c>
      <c r="AE440" s="53" t="n">
        <f aca="false">IF($A440="","",AD440*C440)</f>
        <v>269.784755832567</v>
      </c>
      <c r="AF440" s="53" t="n">
        <f aca="false">IF($A440="","",ROUND(J440,2))</f>
        <v>3384</v>
      </c>
    </row>
    <row r="441" customFormat="false" ht="15" hidden="false" customHeight="false" outlineLevel="0" collapsed="false">
      <c r="A441" s="44" t="str">
        <f aca="false">IF(Weekly_Demand!A441="","",Weekly_Demand!A441)</f>
        <v>22365</v>
      </c>
      <c r="B441" s="44" t="str">
        <f aca="false">IF($A441="","",Weekly_Demand!C441)</f>
        <v>Other</v>
      </c>
      <c r="C441" s="45" t="n">
        <f aca="false">IF($A441="","",Weekly_Demand!D441)</f>
        <v>4.77</v>
      </c>
      <c r="D441" s="46" t="n">
        <f aca="false">IF($A441="","",Weekly_Demand!E441+Assumptions!$B$19)</f>
        <v>4</v>
      </c>
      <c r="E441" s="46" t="n">
        <f aca="false">IF($A441="","",Weekly_Demand!F441)</f>
        <v>162</v>
      </c>
      <c r="F441" s="46" t="n">
        <f aca="false">IF($A441="","",SUM(Weekly_Demand!G441:BF441))</f>
        <v>766</v>
      </c>
      <c r="G441" s="51" t="n">
        <f aca="false">IF($A441="","",IFERROR(F441/Assumptions!$B$6,0))</f>
        <v>14.7307692307692</v>
      </c>
      <c r="H441" s="51" t="n">
        <f aca="false">IF($A441="","",STDEV(Weekly_Demand!G441:BF441))</f>
        <v>31.7212833757483</v>
      </c>
      <c r="I441" s="52" t="n">
        <f aca="false">IF($A441="","",IFERROR(H441/G441,0))</f>
        <v>2.15340304900641</v>
      </c>
      <c r="J441" s="53" t="n">
        <f aca="false">IF($A441="","",F441*C441)</f>
        <v>3653.82</v>
      </c>
      <c r="K441" s="54" t="n">
        <f aca="false">IF($A441="","",IFERROR(J441/$J$505,0))</f>
        <v>0.00094543457063752</v>
      </c>
      <c r="L441" s="54" t="n">
        <f aca="false">IF($A441="","",IFERROR(SUMIFS($J$5:$J$504,$AB$5:$AB$504,"&lt;="&amp;AB441)/$J$505,0))</f>
        <v>0.920483858810304</v>
      </c>
      <c r="M441" s="55" t="str">
        <f aca="false">IF($A441="","",IF(L441&lt;=Assumptions!$B$7,"A",IF(L441&lt;=Assumptions!$B$8,"B","C")))</f>
        <v>B</v>
      </c>
      <c r="N441" s="55" t="str">
        <f aca="false">IF($A441="","",IF(I441&lt;=Assumptions!$B$9,"X",IF(I441&lt;=Assumptions!$B$10,"Y","Z")))</f>
        <v>Z</v>
      </c>
      <c r="O441" s="56" t="str">
        <f aca="false">IF($A441="","",M441&amp;N441)</f>
        <v>BZ</v>
      </c>
      <c r="P441" s="57" t="n">
        <f aca="false">IF($A441="","",INDEX(Assumptions!$B$35:$B$37,MATCH(M441,Assumptions!$A$35:$A$37,0)))</f>
        <v>0.95</v>
      </c>
      <c r="Q441" s="58" t="n">
        <f aca="false">IF($A441="","",NORMSINV(P441))</f>
        <v>1.64485362695147</v>
      </c>
      <c r="R441" s="48" t="n">
        <f aca="false">IF($A441="","",ROUNDUP(Q441*H441*SQRT(D441),0))</f>
        <v>105</v>
      </c>
      <c r="S441" s="48" t="n">
        <f aca="false">IF($A441="","",ROUNDUP(G441*D441+R441,0))</f>
        <v>164</v>
      </c>
      <c r="T441" s="46" t="n">
        <f aca="false">IF($A441="","",IFERROR(ROUND(SQRT(2*F441*Assumptions!$B$4/(Assumptions!$B$5*C441)),0),0))</f>
        <v>253</v>
      </c>
      <c r="U441" s="53" t="n">
        <f aca="false">IF($A441="","",R441*C441)</f>
        <v>500.85</v>
      </c>
      <c r="V441" s="53" t="n">
        <f aca="false">IF($A441="","",E441*C441)</f>
        <v>772.74</v>
      </c>
      <c r="W441" s="59" t="n">
        <f aca="false">IF($A441="","",IFERROR(E441/G441,0))</f>
        <v>10.9973890339426</v>
      </c>
      <c r="X441" s="48" t="n">
        <f aca="false">IF($A441="","",S441+T441)</f>
        <v>417</v>
      </c>
      <c r="Y441" s="48" t="n">
        <f aca="false">IF($A441="","",MAX(0,E441-X441))</f>
        <v>0</v>
      </c>
      <c r="Z441" s="53" t="n">
        <f aca="false">IF($A441="","",Y441*C441)</f>
        <v>0</v>
      </c>
      <c r="AA441" s="56" t="str">
        <f aca="false">IF($A441="","",IF(E441&lt;=R441,"Below Safety Stock",IF(E441&lt;=S441,"Reorder Now",IF(E441&gt;X441,"Excess","Healthy"))))</f>
        <v>Reorder Now</v>
      </c>
      <c r="AB441" s="48" t="n">
        <f aca="false">IF($A441="","",RANK(AF441,$AF$5:$AF$504,0)+COUNTIF($AF$5:AF441,AF441)-1)</f>
        <v>403</v>
      </c>
      <c r="AC441" s="44" t="str">
        <f aca="false">IF($A441="","",Weekly_Demand!B441)</f>
        <v>DOORMAT RESPECTABLE HOUSE</v>
      </c>
      <c r="AD441" s="59" t="n">
        <f aca="false">IF($A441="","",H441*SQRT(D441))</f>
        <v>63.4425667514966</v>
      </c>
      <c r="AE441" s="53" t="n">
        <f aca="false">IF($A441="","",AD441*C441)</f>
        <v>302.621043404639</v>
      </c>
      <c r="AF441" s="53" t="n">
        <f aca="false">IF($A441="","",ROUND(J441,2))</f>
        <v>3653.82</v>
      </c>
    </row>
    <row r="442" customFormat="false" ht="15" hidden="false" customHeight="false" outlineLevel="0" collapsed="false">
      <c r="A442" s="44" t="str">
        <f aca="false">IF(Weekly_Demand!A442="","",Weekly_Demand!A442)</f>
        <v>23205</v>
      </c>
      <c r="B442" s="44" t="str">
        <f aca="false">IF($A442="","",Weekly_Demand!C442)</f>
        <v>Bags</v>
      </c>
      <c r="C442" s="45" t="n">
        <f aca="false">IF($A442="","",Weekly_Demand!D442)</f>
        <v>0.51</v>
      </c>
      <c r="D442" s="46" t="n">
        <f aca="false">IF($A442="","",Weekly_Demand!E442+Assumptions!$B$19)</f>
        <v>4</v>
      </c>
      <c r="E442" s="46" t="n">
        <f aca="false">IF($A442="","",Weekly_Demand!F442)</f>
        <v>1429</v>
      </c>
      <c r="F442" s="46" t="n">
        <f aca="false">IF($A442="","",SUM(Weekly_Demand!G442:BF442))</f>
        <v>5714</v>
      </c>
      <c r="G442" s="51" t="n">
        <f aca="false">IF($A442="","",IFERROR(F442/Assumptions!$B$6,0))</f>
        <v>109.884615384615</v>
      </c>
      <c r="H442" s="51" t="n">
        <f aca="false">IF($A442="","",STDEV(Weekly_Demand!G442:BF442))</f>
        <v>115.134304158087</v>
      </c>
      <c r="I442" s="52" t="n">
        <f aca="false">IF($A442="","",IFERROR(H442/G442,0))</f>
        <v>1.04777455656642</v>
      </c>
      <c r="J442" s="53" t="n">
        <f aca="false">IF($A442="","",F442*C442)</f>
        <v>2914.14</v>
      </c>
      <c r="K442" s="54" t="n">
        <f aca="false">IF($A442="","",IFERROR(J442/$J$505,0))</f>
        <v>0.000754040620413053</v>
      </c>
      <c r="L442" s="54" t="n">
        <f aca="false">IF($A442="","",IFERROR(SUMIFS($J$5:$J$504,$AB$5:$AB$504,"&lt;="&amp;AB442)/$J$505,0))</f>
        <v>0.989148250237399</v>
      </c>
      <c r="M442" s="55" t="str">
        <f aca="false">IF($A442="","",IF(L442&lt;=Assumptions!$B$7,"A",IF(L442&lt;=Assumptions!$B$8,"B","C")))</f>
        <v>C</v>
      </c>
      <c r="N442" s="55" t="str">
        <f aca="false">IF($A442="","",IF(I442&lt;=Assumptions!$B$9,"X",IF(I442&lt;=Assumptions!$B$10,"Y","Z")))</f>
        <v>Z</v>
      </c>
      <c r="O442" s="56" t="str">
        <f aca="false">IF($A442="","",M442&amp;N442)</f>
        <v>CZ</v>
      </c>
      <c r="P442" s="57" t="n">
        <f aca="false">IF($A442="","",INDEX(Assumptions!$B$35:$B$37,MATCH(M442,Assumptions!$A$35:$A$37,0)))</f>
        <v>0.9</v>
      </c>
      <c r="Q442" s="58" t="n">
        <f aca="false">IF($A442="","",NORMSINV(P442))</f>
        <v>1.2815515655446</v>
      </c>
      <c r="R442" s="48" t="n">
        <f aca="false">IF($A442="","",ROUNDUP(Q442*H442*SQRT(D442),0))</f>
        <v>296</v>
      </c>
      <c r="S442" s="48" t="n">
        <f aca="false">IF($A442="","",ROUNDUP(G442*D442+R442,0))</f>
        <v>736</v>
      </c>
      <c r="T442" s="46" t="n">
        <f aca="false">IF($A442="","",IFERROR(ROUND(SQRT(2*F442*Assumptions!$B$4/(Assumptions!$B$5*C442)),0),0))</f>
        <v>2117</v>
      </c>
      <c r="U442" s="53" t="n">
        <f aca="false">IF($A442="","",R442*C442)</f>
        <v>150.96</v>
      </c>
      <c r="V442" s="53" t="n">
        <f aca="false">IF($A442="","",E442*C442)</f>
        <v>728.79</v>
      </c>
      <c r="W442" s="59" t="n">
        <f aca="false">IF($A442="","",IFERROR(E442/G442,0))</f>
        <v>13.0045502275114</v>
      </c>
      <c r="X442" s="48" t="n">
        <f aca="false">IF($A442="","",S442+T442)</f>
        <v>2853</v>
      </c>
      <c r="Y442" s="48" t="n">
        <f aca="false">IF($A442="","",MAX(0,E442-X442))</f>
        <v>0</v>
      </c>
      <c r="Z442" s="53" t="n">
        <f aca="false">IF($A442="","",Y442*C442)</f>
        <v>0</v>
      </c>
      <c r="AA442" s="56" t="str">
        <f aca="false">IF($A442="","",IF(E442&lt;=R442,"Below Safety Stock",IF(E442&lt;=S442,"Reorder Now",IF(E442&gt;X442,"Excess","Healthy"))))</f>
        <v>Healthy</v>
      </c>
      <c r="AB442" s="48" t="n">
        <f aca="false">IF($A442="","",RANK(AF442,$AF$5:$AF$504,0)+COUNTIF($AF$5:AF442,AF442)-1)</f>
        <v>485</v>
      </c>
      <c r="AC442" s="44" t="str">
        <f aca="false">IF($A442="","",Weekly_Demand!B442)</f>
        <v>CHARLOTTE BAG VINTAGE ALPHABET</v>
      </c>
      <c r="AD442" s="59" t="n">
        <f aca="false">IF($A442="","",H442*SQRT(D442))</f>
        <v>230.268608316173</v>
      </c>
      <c r="AE442" s="53" t="n">
        <f aca="false">IF($A442="","",AD442*C442)</f>
        <v>117.436990241248</v>
      </c>
      <c r="AF442" s="53" t="n">
        <f aca="false">IF($A442="","",ROUND(J442,2))</f>
        <v>2914.14</v>
      </c>
    </row>
    <row r="443" customFormat="false" ht="15" hidden="false" customHeight="false" outlineLevel="0" collapsed="false">
      <c r="A443" s="44" t="str">
        <f aca="false">IF(Weekly_Demand!A443="","",Weekly_Demand!A443)</f>
        <v>22150</v>
      </c>
      <c r="B443" s="44" t="str">
        <f aca="false">IF($A443="","",Weekly_Demand!C443)</f>
        <v>Other</v>
      </c>
      <c r="C443" s="45" t="n">
        <f aca="false">IF($A443="","",Weekly_Demand!D443)</f>
        <v>1.17</v>
      </c>
      <c r="D443" s="46" t="n">
        <f aca="false">IF($A443="","",Weekly_Demand!E443+Assumptions!$B$19)</f>
        <v>6</v>
      </c>
      <c r="E443" s="46" t="n">
        <f aca="false">IF($A443="","",Weekly_Demand!F443)</f>
        <v>109</v>
      </c>
      <c r="F443" s="46" t="n">
        <f aca="false">IF($A443="","",SUM(Weekly_Demand!G443:BF443))</f>
        <v>2845</v>
      </c>
      <c r="G443" s="51" t="n">
        <f aca="false">IF($A443="","",IFERROR(F443/Assumptions!$B$6,0))</f>
        <v>54.7115384615385</v>
      </c>
      <c r="H443" s="51" t="n">
        <f aca="false">IF($A443="","",STDEV(Weekly_Demand!G443:BF443))</f>
        <v>40.9434504989894</v>
      </c>
      <c r="I443" s="52" t="n">
        <f aca="false">IF($A443="","",IFERROR(H443/G443,0))</f>
        <v>0.748351292072918</v>
      </c>
      <c r="J443" s="53" t="n">
        <f aca="false">IF($A443="","",F443*C443)</f>
        <v>3328.65</v>
      </c>
      <c r="K443" s="54" t="n">
        <f aca="false">IF($A443="","",IFERROR(J443/$J$505,0))</f>
        <v>0.000861296063723057</v>
      </c>
      <c r="L443" s="54" t="n">
        <f aca="false">IF($A443="","",IFERROR(SUMIFS($J$5:$J$504,$AB$5:$AB$504,"&lt;="&amp;AB443)/$J$505,0))</f>
        <v>0.946236790431013</v>
      </c>
      <c r="M443" s="55" t="str">
        <f aca="false">IF($A443="","",IF(L443&lt;=Assumptions!$B$7,"A",IF(L443&lt;=Assumptions!$B$8,"B","C")))</f>
        <v>B</v>
      </c>
      <c r="N443" s="55" t="str">
        <f aca="false">IF($A443="","",IF(I443&lt;=Assumptions!$B$9,"X",IF(I443&lt;=Assumptions!$B$10,"Y","Z")))</f>
        <v>Y</v>
      </c>
      <c r="O443" s="56" t="str">
        <f aca="false">IF($A443="","",M443&amp;N443)</f>
        <v>BY</v>
      </c>
      <c r="P443" s="57" t="n">
        <f aca="false">IF($A443="","",INDEX(Assumptions!$B$35:$B$37,MATCH(M443,Assumptions!$A$35:$A$37,0)))</f>
        <v>0.95</v>
      </c>
      <c r="Q443" s="58" t="n">
        <f aca="false">IF($A443="","",NORMSINV(P443))</f>
        <v>1.64485362695147</v>
      </c>
      <c r="R443" s="48" t="n">
        <f aca="false">IF($A443="","",ROUNDUP(Q443*H443*SQRT(D443),0))</f>
        <v>165</v>
      </c>
      <c r="S443" s="48" t="n">
        <f aca="false">IF($A443="","",ROUNDUP(G443*D443+R443,0))</f>
        <v>494</v>
      </c>
      <c r="T443" s="46" t="n">
        <f aca="false">IF($A443="","",IFERROR(ROUND(SQRT(2*F443*Assumptions!$B$4/(Assumptions!$B$5*C443)),0),0))</f>
        <v>986</v>
      </c>
      <c r="U443" s="53" t="n">
        <f aca="false">IF($A443="","",R443*C443)</f>
        <v>193.05</v>
      </c>
      <c r="V443" s="53" t="n">
        <f aca="false">IF($A443="","",E443*C443)</f>
        <v>127.53</v>
      </c>
      <c r="W443" s="59" t="n">
        <f aca="false">IF($A443="","",IFERROR(E443/G443,0))</f>
        <v>1.99226713532513</v>
      </c>
      <c r="X443" s="48" t="n">
        <f aca="false">IF($A443="","",S443+T443)</f>
        <v>1480</v>
      </c>
      <c r="Y443" s="48" t="n">
        <f aca="false">IF($A443="","",MAX(0,E443-X443))</f>
        <v>0</v>
      </c>
      <c r="Z443" s="53" t="n">
        <f aca="false">IF($A443="","",Y443*C443)</f>
        <v>0</v>
      </c>
      <c r="AA443" s="56" t="str">
        <f aca="false">IF($A443="","",IF(E443&lt;=R443,"Below Safety Stock",IF(E443&lt;=S443,"Reorder Now",IF(E443&gt;X443,"Excess","Healthy"))))</f>
        <v>Below Safety Stock</v>
      </c>
      <c r="AB443" s="48" t="n">
        <f aca="false">IF($A443="","",RANK(AF443,$AF$5:$AF$504,0)+COUNTIF($AF$5:AF443,AF443)-1)</f>
        <v>432</v>
      </c>
      <c r="AC443" s="44" t="str">
        <f aca="false">IF($A443="","",Weekly_Demand!B443)</f>
        <v>3 STRIPEY MICE FELTCRAFT</v>
      </c>
      <c r="AD443" s="59" t="n">
        <f aca="false">IF($A443="","",H443*SQRT(D443))</f>
        <v>100.290562031425</v>
      </c>
      <c r="AE443" s="53" t="n">
        <f aca="false">IF($A443="","",AD443*C443)</f>
        <v>117.339957576768</v>
      </c>
      <c r="AF443" s="53" t="n">
        <f aca="false">IF($A443="","",ROUND(J443,2))</f>
        <v>3328.65</v>
      </c>
    </row>
    <row r="444" customFormat="false" ht="15" hidden="false" customHeight="false" outlineLevel="0" collapsed="false">
      <c r="A444" s="44" t="str">
        <f aca="false">IF(Weekly_Demand!A444="","",Weekly_Demand!A444)</f>
        <v>21242</v>
      </c>
      <c r="B444" s="44" t="str">
        <f aca="false">IF($A444="","",Weekly_Demand!C444)</f>
        <v>Other</v>
      </c>
      <c r="C444" s="45" t="n">
        <f aca="false">IF($A444="","",Weekly_Demand!D444)</f>
        <v>1.014</v>
      </c>
      <c r="D444" s="46" t="n">
        <f aca="false">IF($A444="","",Weekly_Demand!E444+Assumptions!$B$19)</f>
        <v>6</v>
      </c>
      <c r="E444" s="46" t="n">
        <f aca="false">IF($A444="","",Weekly_Demand!F444)</f>
        <v>125</v>
      </c>
      <c r="F444" s="46" t="n">
        <f aca="false">IF($A444="","",SUM(Weekly_Demand!G444:BF444))</f>
        <v>3249</v>
      </c>
      <c r="G444" s="51" t="n">
        <f aca="false">IF($A444="","",IFERROR(F444/Assumptions!$B$6,0))</f>
        <v>62.4807692307692</v>
      </c>
      <c r="H444" s="51" t="n">
        <f aca="false">IF($A444="","",STDEV(Weekly_Demand!G444:BF444))</f>
        <v>54.3386225205967</v>
      </c>
      <c r="I444" s="52" t="n">
        <f aca="false">IF($A444="","",IFERROR(H444/G444,0))</f>
        <v>0.869685555885204</v>
      </c>
      <c r="J444" s="53" t="n">
        <f aca="false">IF($A444="","",F444*C444)</f>
        <v>3294.486</v>
      </c>
      <c r="K444" s="54" t="n">
        <f aca="false">IF($A444="","",IFERROR(J444/$J$505,0))</f>
        <v>0.000852456047884494</v>
      </c>
      <c r="L444" s="54" t="n">
        <f aca="false">IF($A444="","",IFERROR(SUMIFS($J$5:$J$504,$AB$5:$AB$504,"&lt;="&amp;AB444)/$J$505,0))</f>
        <v>0.948804735853892</v>
      </c>
      <c r="M444" s="55" t="str">
        <f aca="false">IF($A444="","",IF(L444&lt;=Assumptions!$B$7,"A",IF(L444&lt;=Assumptions!$B$8,"B","C")))</f>
        <v>B</v>
      </c>
      <c r="N444" s="55" t="str">
        <f aca="false">IF($A444="","",IF(I444&lt;=Assumptions!$B$9,"X",IF(I444&lt;=Assumptions!$B$10,"Y","Z")))</f>
        <v>Y</v>
      </c>
      <c r="O444" s="56" t="str">
        <f aca="false">IF($A444="","",M444&amp;N444)</f>
        <v>BY</v>
      </c>
      <c r="P444" s="57" t="n">
        <f aca="false">IF($A444="","",INDEX(Assumptions!$B$35:$B$37,MATCH(M444,Assumptions!$A$35:$A$37,0)))</f>
        <v>0.95</v>
      </c>
      <c r="Q444" s="58" t="n">
        <f aca="false">IF($A444="","",NORMSINV(P444))</f>
        <v>1.64485362695147</v>
      </c>
      <c r="R444" s="48" t="n">
        <f aca="false">IF($A444="","",ROUNDUP(Q444*H444*SQRT(D444),0))</f>
        <v>219</v>
      </c>
      <c r="S444" s="48" t="n">
        <f aca="false">IF($A444="","",ROUNDUP(G444*D444+R444,0))</f>
        <v>594</v>
      </c>
      <c r="T444" s="46" t="n">
        <f aca="false">IF($A444="","",IFERROR(ROUND(SQRT(2*F444*Assumptions!$B$4/(Assumptions!$B$5*C444)),0),0))</f>
        <v>1132</v>
      </c>
      <c r="U444" s="53" t="n">
        <f aca="false">IF($A444="","",R444*C444)</f>
        <v>222.066</v>
      </c>
      <c r="V444" s="53" t="n">
        <f aca="false">IF($A444="","",E444*C444)</f>
        <v>126.75</v>
      </c>
      <c r="W444" s="59" t="n">
        <f aca="false">IF($A444="","",IFERROR(E444/G444,0))</f>
        <v>2.00061557402278</v>
      </c>
      <c r="X444" s="48" t="n">
        <f aca="false">IF($A444="","",S444+T444)</f>
        <v>1726</v>
      </c>
      <c r="Y444" s="48" t="n">
        <f aca="false">IF($A444="","",MAX(0,E444-X444))</f>
        <v>0</v>
      </c>
      <c r="Z444" s="53" t="n">
        <f aca="false">IF($A444="","",Y444*C444)</f>
        <v>0</v>
      </c>
      <c r="AA444" s="56" t="str">
        <f aca="false">IF($A444="","",IF(E444&lt;=R444,"Below Safety Stock",IF(E444&lt;=S444,"Reorder Now",IF(E444&gt;X444,"Excess","Healthy"))))</f>
        <v>Below Safety Stock</v>
      </c>
      <c r="AB444" s="48" t="n">
        <f aca="false">IF($A444="","",RANK(AF444,$AF$5:$AF$504,0)+COUNTIF($AF$5:AF444,AF444)-1)</f>
        <v>435</v>
      </c>
      <c r="AC444" s="44" t="str">
        <f aca="false">IF($A444="","",Weekly_Demand!B444)</f>
        <v>RED RETROSPOT PLATE</v>
      </c>
      <c r="AD444" s="59" t="n">
        <f aca="false">IF($A444="","",H444*SQRT(D444))</f>
        <v>133.101898501169</v>
      </c>
      <c r="AE444" s="53" t="n">
        <f aca="false">IF($A444="","",AD444*C444)</f>
        <v>134.965325080185</v>
      </c>
      <c r="AF444" s="53" t="n">
        <f aca="false">IF($A444="","",ROUND(J444,2))</f>
        <v>3294.49</v>
      </c>
    </row>
    <row r="445" customFormat="false" ht="15" hidden="false" customHeight="false" outlineLevel="0" collapsed="false">
      <c r="A445" s="44" t="str">
        <f aca="false">IF(Weekly_Demand!A445="","",Weekly_Demand!A445)</f>
        <v>21558</v>
      </c>
      <c r="B445" s="44" t="str">
        <f aca="false">IF($A445="","",Weekly_Demand!C445)</f>
        <v>Other</v>
      </c>
      <c r="C445" s="45" t="n">
        <f aca="false">IF($A445="","",Weekly_Demand!D445)</f>
        <v>1.53</v>
      </c>
      <c r="D445" s="46" t="n">
        <f aca="false">IF($A445="","",Weekly_Demand!E445+Assumptions!$B$19)</f>
        <v>6</v>
      </c>
      <c r="E445" s="46" t="n">
        <f aca="false">IF($A445="","",Weekly_Demand!F445)</f>
        <v>82</v>
      </c>
      <c r="F445" s="46" t="n">
        <f aca="false">IF($A445="","",SUM(Weekly_Demand!G445:BF445))</f>
        <v>2122</v>
      </c>
      <c r="G445" s="51" t="n">
        <f aca="false">IF($A445="","",IFERROR(F445/Assumptions!$B$6,0))</f>
        <v>40.8076923076923</v>
      </c>
      <c r="H445" s="51" t="n">
        <f aca="false">IF($A445="","",STDEV(Weekly_Demand!G445:BF445))</f>
        <v>32.4508910790603</v>
      </c>
      <c r="I445" s="52" t="n">
        <f aca="false">IF($A445="","",IFERROR(H445/G445,0))</f>
        <v>0.795215050005249</v>
      </c>
      <c r="J445" s="53" t="n">
        <f aca="false">IF($A445="","",F445*C445)</f>
        <v>3246.66</v>
      </c>
      <c r="K445" s="54" t="n">
        <f aca="false">IF($A445="","",IFERROR(J445/$J$505,0))</f>
        <v>0.000840080957219023</v>
      </c>
      <c r="L445" s="54" t="n">
        <f aca="false">IF($A445="","",IFERROR(SUMIFS($J$5:$J$504,$AB$5:$AB$504,"&lt;="&amp;AB445)/$J$505,0))</f>
        <v>0.952181236880702</v>
      </c>
      <c r="M445" s="55" t="str">
        <f aca="false">IF($A445="","",IF(L445&lt;=Assumptions!$B$7,"A",IF(L445&lt;=Assumptions!$B$8,"B","C")))</f>
        <v>C</v>
      </c>
      <c r="N445" s="55" t="str">
        <f aca="false">IF($A445="","",IF(I445&lt;=Assumptions!$B$9,"X",IF(I445&lt;=Assumptions!$B$10,"Y","Z")))</f>
        <v>Y</v>
      </c>
      <c r="O445" s="56" t="str">
        <f aca="false">IF($A445="","",M445&amp;N445)</f>
        <v>CY</v>
      </c>
      <c r="P445" s="57" t="n">
        <f aca="false">IF($A445="","",INDEX(Assumptions!$B$35:$B$37,MATCH(M445,Assumptions!$A$35:$A$37,0)))</f>
        <v>0.9</v>
      </c>
      <c r="Q445" s="58" t="n">
        <f aca="false">IF($A445="","",NORMSINV(P445))</f>
        <v>1.2815515655446</v>
      </c>
      <c r="R445" s="48" t="n">
        <f aca="false">IF($A445="","",ROUNDUP(Q445*H445*SQRT(D445),0))</f>
        <v>102</v>
      </c>
      <c r="S445" s="48" t="n">
        <f aca="false">IF($A445="","",ROUNDUP(G445*D445+R445,0))</f>
        <v>347</v>
      </c>
      <c r="T445" s="46" t="n">
        <f aca="false">IF($A445="","",IFERROR(ROUND(SQRT(2*F445*Assumptions!$B$4/(Assumptions!$B$5*C445)),0),0))</f>
        <v>745</v>
      </c>
      <c r="U445" s="53" t="n">
        <f aca="false">IF($A445="","",R445*C445)</f>
        <v>156.06</v>
      </c>
      <c r="V445" s="53" t="n">
        <f aca="false">IF($A445="","",E445*C445)</f>
        <v>125.46</v>
      </c>
      <c r="W445" s="59" t="n">
        <f aca="false">IF($A445="","",IFERROR(E445/G445,0))</f>
        <v>2.00942507068803</v>
      </c>
      <c r="X445" s="48" t="n">
        <f aca="false">IF($A445="","",S445+T445)</f>
        <v>1092</v>
      </c>
      <c r="Y445" s="48" t="n">
        <f aca="false">IF($A445="","",MAX(0,E445-X445))</f>
        <v>0</v>
      </c>
      <c r="Z445" s="53" t="n">
        <f aca="false">IF($A445="","",Y445*C445)</f>
        <v>0</v>
      </c>
      <c r="AA445" s="56" t="str">
        <f aca="false">IF($A445="","",IF(E445&lt;=R445,"Below Safety Stock",IF(E445&lt;=S445,"Reorder Now",IF(E445&gt;X445,"Excess","Healthy"))))</f>
        <v>Below Safety Stock</v>
      </c>
      <c r="AB445" s="48" t="n">
        <f aca="false">IF($A445="","",RANK(AF445,$AF$5:$AF$504,0)+COUNTIF($AF$5:AF445,AF445)-1)</f>
        <v>439</v>
      </c>
      <c r="AC445" s="44" t="str">
        <f aca="false">IF($A445="","",Weekly_Demand!B445)</f>
        <v>SKULL LUNCH BOX WITH CUTLERY</v>
      </c>
      <c r="AD445" s="59" t="n">
        <f aca="false">IF($A445="","",H445*SQRT(D445))</f>
        <v>79.4881248423324</v>
      </c>
      <c r="AE445" s="53" t="n">
        <f aca="false">IF($A445="","",AD445*C445)</f>
        <v>121.616831008769</v>
      </c>
      <c r="AF445" s="53" t="n">
        <f aca="false">IF($A445="","",ROUND(J445,2))</f>
        <v>3246.66</v>
      </c>
    </row>
    <row r="446" customFormat="false" ht="15" hidden="false" customHeight="false" outlineLevel="0" collapsed="false">
      <c r="A446" s="44" t="str">
        <f aca="false">IF(Weekly_Demand!A446="","",Weekly_Demand!A446)</f>
        <v>22595</v>
      </c>
      <c r="B446" s="44" t="str">
        <f aca="false">IF($A446="","",Weekly_Demand!C446)</f>
        <v>Other</v>
      </c>
      <c r="C446" s="45" t="n">
        <f aca="false">IF($A446="","",Weekly_Demand!D446)</f>
        <v>0.51</v>
      </c>
      <c r="D446" s="46" t="n">
        <f aca="false">IF($A446="","",Weekly_Demand!E446+Assumptions!$B$19)</f>
        <v>8</v>
      </c>
      <c r="E446" s="46" t="n">
        <f aca="false">IF($A446="","",Weekly_Demand!F446)</f>
        <v>1248</v>
      </c>
      <c r="F446" s="46" t="n">
        <f aca="false">IF($A446="","",SUM(Weekly_Demand!G446:BF446))</f>
        <v>6489</v>
      </c>
      <c r="G446" s="51" t="n">
        <f aca="false">IF($A446="","",IFERROR(F446/Assumptions!$B$6,0))</f>
        <v>124.788461538462</v>
      </c>
      <c r="H446" s="51" t="n">
        <f aca="false">IF($A446="","",STDEV(Weekly_Demand!G446:BF446))</f>
        <v>292.808666467321</v>
      </c>
      <c r="I446" s="52" t="n">
        <f aca="false">IF($A446="","",IFERROR(H446/G446,0))</f>
        <v>2.34644023059034</v>
      </c>
      <c r="J446" s="53" t="n">
        <f aca="false">IF($A446="","",F446*C446)</f>
        <v>3309.39</v>
      </c>
      <c r="K446" s="54" t="n">
        <f aca="false">IF($A446="","",IFERROR(J446/$J$505,0))</f>
        <v>0.00085631249315021</v>
      </c>
      <c r="L446" s="54" t="n">
        <f aca="false">IF($A446="","",IFERROR(SUMIFS($J$5:$J$504,$AB$5:$AB$504,"&lt;="&amp;AB446)/$J$505,0))</f>
        <v>0.947952279806007</v>
      </c>
      <c r="M446" s="55" t="str">
        <f aca="false">IF($A446="","",IF(L446&lt;=Assumptions!$B$7,"A",IF(L446&lt;=Assumptions!$B$8,"B","C")))</f>
        <v>B</v>
      </c>
      <c r="N446" s="55" t="str">
        <f aca="false">IF($A446="","",IF(I446&lt;=Assumptions!$B$9,"X",IF(I446&lt;=Assumptions!$B$10,"Y","Z")))</f>
        <v>Z</v>
      </c>
      <c r="O446" s="56" t="str">
        <f aca="false">IF($A446="","",M446&amp;N446)</f>
        <v>BZ</v>
      </c>
      <c r="P446" s="57" t="n">
        <f aca="false">IF($A446="","",INDEX(Assumptions!$B$35:$B$37,MATCH(M446,Assumptions!$A$35:$A$37,0)))</f>
        <v>0.95</v>
      </c>
      <c r="Q446" s="58" t="n">
        <f aca="false">IF($A446="","",NORMSINV(P446))</f>
        <v>1.64485362695147</v>
      </c>
      <c r="R446" s="48" t="n">
        <f aca="false">IF($A446="","",ROUNDUP(Q446*H446*SQRT(D446),0))</f>
        <v>1363</v>
      </c>
      <c r="S446" s="48" t="n">
        <f aca="false">IF($A446="","",ROUNDUP(G446*D446+R446,0))</f>
        <v>2362</v>
      </c>
      <c r="T446" s="46" t="n">
        <f aca="false">IF($A446="","",IFERROR(ROUND(SQRT(2*F446*Assumptions!$B$4/(Assumptions!$B$5*C446)),0),0))</f>
        <v>2256</v>
      </c>
      <c r="U446" s="53" t="n">
        <f aca="false">IF($A446="","",R446*C446)</f>
        <v>695.13</v>
      </c>
      <c r="V446" s="53" t="n">
        <f aca="false">IF($A446="","",E446*C446)</f>
        <v>636.48</v>
      </c>
      <c r="W446" s="59" t="n">
        <f aca="false">IF($A446="","",IFERROR(E446/G446,0))</f>
        <v>10.0009246417013</v>
      </c>
      <c r="X446" s="48" t="n">
        <f aca="false">IF($A446="","",S446+T446)</f>
        <v>4618</v>
      </c>
      <c r="Y446" s="48" t="n">
        <f aca="false">IF($A446="","",MAX(0,E446-X446))</f>
        <v>0</v>
      </c>
      <c r="Z446" s="53" t="n">
        <f aca="false">IF($A446="","",Y446*C446)</f>
        <v>0</v>
      </c>
      <c r="AA446" s="56" t="str">
        <f aca="false">IF($A446="","",IF(E446&lt;=R446,"Below Safety Stock",IF(E446&lt;=S446,"Reorder Now",IF(E446&gt;X446,"Excess","Healthy"))))</f>
        <v>Below Safety Stock</v>
      </c>
      <c r="AB446" s="48" t="n">
        <f aca="false">IF($A446="","",RANK(AF446,$AF$5:$AF$504,0)+COUNTIF($AF$5:AF446,AF446)-1)</f>
        <v>434</v>
      </c>
      <c r="AC446" s="44" t="str">
        <f aca="false">IF($A446="","",Weekly_Demand!B446)</f>
        <v>GINGHAM HEART DECORATION</v>
      </c>
      <c r="AD446" s="59" t="n">
        <f aca="false">IF($A446="","",H446*SQRT(D446))</f>
        <v>828.187974596932</v>
      </c>
      <c r="AE446" s="53" t="n">
        <f aca="false">IF($A446="","",AD446*C446)</f>
        <v>422.375867044435</v>
      </c>
      <c r="AF446" s="53" t="n">
        <f aca="false">IF($A446="","",ROUND(J446,2))</f>
        <v>3309.39</v>
      </c>
    </row>
    <row r="447" customFormat="false" ht="15" hidden="false" customHeight="false" outlineLevel="0" collapsed="false">
      <c r="A447" s="44" t="str">
        <f aca="false">IF(Weekly_Demand!A447="","",Weekly_Demand!A447)</f>
        <v>22488</v>
      </c>
      <c r="B447" s="44" t="str">
        <f aca="false">IF($A447="","",Weekly_Demand!C447)</f>
        <v>Other</v>
      </c>
      <c r="C447" s="45" t="n">
        <f aca="false">IF($A447="","",Weekly_Demand!D447)</f>
        <v>0.99</v>
      </c>
      <c r="D447" s="46" t="n">
        <f aca="false">IF($A447="","",Weekly_Demand!E447+Assumptions!$B$19)</f>
        <v>2</v>
      </c>
      <c r="E447" s="46" t="n">
        <f aca="false">IF($A447="","",Weekly_Demand!F447)</f>
        <v>242</v>
      </c>
      <c r="F447" s="46" t="n">
        <f aca="false">IF($A447="","",SUM(Weekly_Demand!G447:BF447))</f>
        <v>3147</v>
      </c>
      <c r="G447" s="51" t="n">
        <f aca="false">IF($A447="","",IFERROR(F447/Assumptions!$B$6,0))</f>
        <v>60.5192307692308</v>
      </c>
      <c r="H447" s="51" t="n">
        <f aca="false">IF($A447="","",STDEV(Weekly_Demand!G447:BF447))</f>
        <v>43.9458179699018</v>
      </c>
      <c r="I447" s="52" t="n">
        <f aca="false">IF($A447="","",IFERROR(H447/G447,0))</f>
        <v>0.726146340780074</v>
      </c>
      <c r="J447" s="53" t="n">
        <f aca="false">IF($A447="","",F447*C447)</f>
        <v>3115.53</v>
      </c>
      <c r="K447" s="54" t="n">
        <f aca="false">IF($A447="","",IFERROR(J447/$J$505,0))</f>
        <v>0.000806150759440343</v>
      </c>
      <c r="L447" s="54" t="n">
        <f aca="false">IF($A447="","",IFERROR(SUMIFS($J$5:$J$504,$AB$5:$AB$504,"&lt;="&amp;AB447)/$J$505,0))</f>
        <v>0.972024485949625</v>
      </c>
      <c r="M447" s="55" t="str">
        <f aca="false">IF($A447="","",IF(L447&lt;=Assumptions!$B$7,"A",IF(L447&lt;=Assumptions!$B$8,"B","C")))</f>
        <v>C</v>
      </c>
      <c r="N447" s="55" t="str">
        <f aca="false">IF($A447="","",IF(I447&lt;=Assumptions!$B$9,"X",IF(I447&lt;=Assumptions!$B$10,"Y","Z")))</f>
        <v>Y</v>
      </c>
      <c r="O447" s="56" t="str">
        <f aca="false">IF($A447="","",M447&amp;N447)</f>
        <v>CY</v>
      </c>
      <c r="P447" s="57" t="n">
        <f aca="false">IF($A447="","",INDEX(Assumptions!$B$35:$B$37,MATCH(M447,Assumptions!$A$35:$A$37,0)))</f>
        <v>0.9</v>
      </c>
      <c r="Q447" s="58" t="n">
        <f aca="false">IF($A447="","",NORMSINV(P447))</f>
        <v>1.2815515655446</v>
      </c>
      <c r="R447" s="48" t="n">
        <f aca="false">IF($A447="","",ROUNDUP(Q447*H447*SQRT(D447),0))</f>
        <v>80</v>
      </c>
      <c r="S447" s="48" t="n">
        <f aca="false">IF($A447="","",ROUNDUP(G447*D447+R447,0))</f>
        <v>202</v>
      </c>
      <c r="T447" s="46" t="n">
        <f aca="false">IF($A447="","",IFERROR(ROUND(SQRT(2*F447*Assumptions!$B$4/(Assumptions!$B$5*C447)),0),0))</f>
        <v>1128</v>
      </c>
      <c r="U447" s="53" t="n">
        <f aca="false">IF($A447="","",R447*C447)</f>
        <v>79.2</v>
      </c>
      <c r="V447" s="53" t="n">
        <f aca="false">IF($A447="","",E447*C447)</f>
        <v>239.58</v>
      </c>
      <c r="W447" s="59" t="n">
        <f aca="false">IF($A447="","",IFERROR(E447/G447,0))</f>
        <v>3.99872894820464</v>
      </c>
      <c r="X447" s="48" t="n">
        <f aca="false">IF($A447="","",S447+T447)</f>
        <v>1330</v>
      </c>
      <c r="Y447" s="48" t="n">
        <f aca="false">IF($A447="","",MAX(0,E447-X447))</f>
        <v>0</v>
      </c>
      <c r="Z447" s="53" t="n">
        <f aca="false">IF($A447="","",Y447*C447)</f>
        <v>0</v>
      </c>
      <c r="AA447" s="56" t="str">
        <f aca="false">IF($A447="","",IF(E447&lt;=R447,"Below Safety Stock",IF(E447&lt;=S447,"Reorder Now",IF(E447&gt;X447,"Excess","Healthy"))))</f>
        <v>Healthy</v>
      </c>
      <c r="AB447" s="48" t="n">
        <f aca="false">IF($A447="","",RANK(AF447,$AF$5:$AF$504,0)+COUNTIF($AF$5:AF447,AF447)-1)</f>
        <v>463</v>
      </c>
      <c r="AC447" s="44" t="str">
        <f aca="false">IF($A447="","",Weekly_Demand!B447)</f>
        <v>NATURAL SLATE RECTANGLE CHALKBOARD</v>
      </c>
      <c r="AD447" s="59" t="n">
        <f aca="false">IF($A447="","",H447*SQRT(D447))</f>
        <v>62.1487717826144</v>
      </c>
      <c r="AE447" s="53" t="n">
        <f aca="false">IF($A447="","",AD447*C447)</f>
        <v>61.5272840647882</v>
      </c>
      <c r="AF447" s="53" t="n">
        <f aca="false">IF($A447="","",ROUND(J447,2))</f>
        <v>3115.53</v>
      </c>
    </row>
    <row r="448" customFormat="false" ht="15" hidden="false" customHeight="false" outlineLevel="0" collapsed="false">
      <c r="A448" s="44" t="str">
        <f aca="false">IF(Weekly_Demand!A448="","",Weekly_Demand!A448)</f>
        <v>22429</v>
      </c>
      <c r="B448" s="44" t="str">
        <f aca="false">IF($A448="","",Weekly_Demand!C448)</f>
        <v>Other</v>
      </c>
      <c r="C448" s="45" t="n">
        <f aca="false">IF($A448="","",Weekly_Demand!D448)</f>
        <v>2.55</v>
      </c>
      <c r="D448" s="46" t="n">
        <f aca="false">IF($A448="","",Weekly_Demand!E448+Assumptions!$B$19)</f>
        <v>4</v>
      </c>
      <c r="E448" s="46" t="n">
        <f aca="false">IF($A448="","",Weekly_Demand!F448)</f>
        <v>289</v>
      </c>
      <c r="F448" s="46" t="n">
        <f aca="false">IF($A448="","",SUM(Weekly_Demand!G448:BF448))</f>
        <v>1252</v>
      </c>
      <c r="G448" s="51" t="n">
        <f aca="false">IF($A448="","",IFERROR(F448/Assumptions!$B$6,0))</f>
        <v>24.0769230769231</v>
      </c>
      <c r="H448" s="51" t="n">
        <f aca="false">IF($A448="","",STDEV(Weekly_Demand!G448:BF448))</f>
        <v>25.6460417416328</v>
      </c>
      <c r="I448" s="52" t="n">
        <f aca="false">IF($A448="","",IFERROR(H448/G448,0))</f>
        <v>1.06517106275152</v>
      </c>
      <c r="J448" s="53" t="n">
        <f aca="false">IF($A448="","",F448*C448)</f>
        <v>3192.6</v>
      </c>
      <c r="K448" s="54" t="n">
        <f aca="false">IF($A448="","",IFERROR(J448/$J$505,0))</f>
        <v>0.000826092804302715</v>
      </c>
      <c r="L448" s="54" t="n">
        <f aca="false">IF($A448="","",IFERROR(SUMIFS($J$5:$J$504,$AB$5:$AB$504,"&lt;="&amp;AB448)/$J$505,0))</f>
        <v>0.963850722263682</v>
      </c>
      <c r="M448" s="55" t="str">
        <f aca="false">IF($A448="","",IF(L448&lt;=Assumptions!$B$7,"A",IF(L448&lt;=Assumptions!$B$8,"B","C")))</f>
        <v>C</v>
      </c>
      <c r="N448" s="55" t="str">
        <f aca="false">IF($A448="","",IF(I448&lt;=Assumptions!$B$9,"X",IF(I448&lt;=Assumptions!$B$10,"Y","Z")))</f>
        <v>Z</v>
      </c>
      <c r="O448" s="56" t="str">
        <f aca="false">IF($A448="","",M448&amp;N448)</f>
        <v>CZ</v>
      </c>
      <c r="P448" s="57" t="n">
        <f aca="false">IF($A448="","",INDEX(Assumptions!$B$35:$B$37,MATCH(M448,Assumptions!$A$35:$A$37,0)))</f>
        <v>0.9</v>
      </c>
      <c r="Q448" s="58" t="n">
        <f aca="false">IF($A448="","",NORMSINV(P448))</f>
        <v>1.2815515655446</v>
      </c>
      <c r="R448" s="48" t="n">
        <f aca="false">IF($A448="","",ROUNDUP(Q448*H448*SQRT(D448),0))</f>
        <v>66</v>
      </c>
      <c r="S448" s="48" t="n">
        <f aca="false">IF($A448="","",ROUNDUP(G448*D448+R448,0))</f>
        <v>163</v>
      </c>
      <c r="T448" s="46" t="n">
        <f aca="false">IF($A448="","",IFERROR(ROUND(SQRT(2*F448*Assumptions!$B$4/(Assumptions!$B$5*C448)),0),0))</f>
        <v>443</v>
      </c>
      <c r="U448" s="53" t="n">
        <f aca="false">IF($A448="","",R448*C448)</f>
        <v>168.3</v>
      </c>
      <c r="V448" s="53" t="n">
        <f aca="false">IF($A448="","",E448*C448)</f>
        <v>736.95</v>
      </c>
      <c r="W448" s="59" t="n">
        <f aca="false">IF($A448="","",IFERROR(E448/G448,0))</f>
        <v>12.0031948881789</v>
      </c>
      <c r="X448" s="48" t="n">
        <f aca="false">IF($A448="","",S448+T448)</f>
        <v>606</v>
      </c>
      <c r="Y448" s="48" t="n">
        <f aca="false">IF($A448="","",MAX(0,E448-X448))</f>
        <v>0</v>
      </c>
      <c r="Z448" s="53" t="n">
        <f aca="false">IF($A448="","",Y448*C448)</f>
        <v>0</v>
      </c>
      <c r="AA448" s="56" t="str">
        <f aca="false">IF($A448="","",IF(E448&lt;=R448,"Below Safety Stock",IF(E448&lt;=S448,"Reorder Now",IF(E448&gt;X448,"Excess","Healthy"))))</f>
        <v>Healthy</v>
      </c>
      <c r="AB448" s="48" t="n">
        <f aca="false">IF($A448="","",RANK(AF448,$AF$5:$AF$504,0)+COUNTIF($AF$5:AF448,AF448)-1)</f>
        <v>453</v>
      </c>
      <c r="AC448" s="44" t="str">
        <f aca="false">IF($A448="","",Weekly_Demand!B448)</f>
        <v>ENAMEL MEASURING JUG CREAM</v>
      </c>
      <c r="AD448" s="59" t="n">
        <f aca="false">IF($A448="","",H448*SQRT(D448))</f>
        <v>51.2920834832657</v>
      </c>
      <c r="AE448" s="53" t="n">
        <f aca="false">IF($A448="","",AD448*C448)</f>
        <v>130.794812882328</v>
      </c>
      <c r="AF448" s="53" t="n">
        <f aca="false">IF($A448="","",ROUND(J448,2))</f>
        <v>3192.6</v>
      </c>
    </row>
    <row r="449" customFormat="false" ht="15" hidden="false" customHeight="false" outlineLevel="0" collapsed="false">
      <c r="A449" s="44" t="str">
        <f aca="false">IF(Weekly_Demand!A449="","",Weekly_Demand!A449)</f>
        <v>22904</v>
      </c>
      <c r="B449" s="44" t="str">
        <f aca="false">IF($A449="","",Weekly_Demand!C449)</f>
        <v>Other</v>
      </c>
      <c r="C449" s="45" t="n">
        <f aca="false">IF($A449="","",Weekly_Demand!D449)</f>
        <v>1.77</v>
      </c>
      <c r="D449" s="46" t="n">
        <f aca="false">IF($A449="","",Weekly_Demand!E449+Assumptions!$B$19)</f>
        <v>2</v>
      </c>
      <c r="E449" s="46" t="n">
        <f aca="false">IF($A449="","",Weekly_Demand!F449)</f>
        <v>140</v>
      </c>
      <c r="F449" s="46" t="n">
        <f aca="false">IF($A449="","",SUM(Weekly_Demand!G449:BF449))</f>
        <v>1826</v>
      </c>
      <c r="G449" s="51" t="n">
        <f aca="false">IF($A449="","",IFERROR(F449/Assumptions!$B$6,0))</f>
        <v>35.1153846153846</v>
      </c>
      <c r="H449" s="51" t="n">
        <f aca="false">IF($A449="","",STDEV(Weekly_Demand!G449:BF449))</f>
        <v>31.1880154497254</v>
      </c>
      <c r="I449" s="52" t="n">
        <f aca="false">IF($A449="","",IFERROR(H449/G449,0))</f>
        <v>0.888158161766549</v>
      </c>
      <c r="J449" s="53" t="n">
        <f aca="false">IF($A449="","",F449*C449)</f>
        <v>3232.02</v>
      </c>
      <c r="K449" s="54" t="n">
        <f aca="false">IF($A449="","",IFERROR(J449/$J$505,0))</f>
        <v>0.000836292822577981</v>
      </c>
      <c r="L449" s="54" t="n">
        <f aca="false">IF($A449="","",IFERROR(SUMIFS($J$5:$J$504,$AB$5:$AB$504,"&lt;="&amp;AB449)/$J$505,0))</f>
        <v>0.95636678410593</v>
      </c>
      <c r="M449" s="55" t="str">
        <f aca="false">IF($A449="","",IF(L449&lt;=Assumptions!$B$7,"A",IF(L449&lt;=Assumptions!$B$8,"B","C")))</f>
        <v>C</v>
      </c>
      <c r="N449" s="55" t="str">
        <f aca="false">IF($A449="","",IF(I449&lt;=Assumptions!$B$9,"X",IF(I449&lt;=Assumptions!$B$10,"Y","Z")))</f>
        <v>Y</v>
      </c>
      <c r="O449" s="56" t="str">
        <f aca="false">IF($A449="","",M449&amp;N449)</f>
        <v>CY</v>
      </c>
      <c r="P449" s="57" t="n">
        <f aca="false">IF($A449="","",INDEX(Assumptions!$B$35:$B$37,MATCH(M449,Assumptions!$A$35:$A$37,0)))</f>
        <v>0.9</v>
      </c>
      <c r="Q449" s="58" t="n">
        <f aca="false">IF($A449="","",NORMSINV(P449))</f>
        <v>1.2815515655446</v>
      </c>
      <c r="R449" s="48" t="n">
        <f aca="false">IF($A449="","",ROUNDUP(Q449*H449*SQRT(D449),0))</f>
        <v>57</v>
      </c>
      <c r="S449" s="48" t="n">
        <f aca="false">IF($A449="","",ROUNDUP(G449*D449+R449,0))</f>
        <v>128</v>
      </c>
      <c r="T449" s="46" t="n">
        <f aca="false">IF($A449="","",IFERROR(ROUND(SQRT(2*F449*Assumptions!$B$4/(Assumptions!$B$5*C449)),0),0))</f>
        <v>642</v>
      </c>
      <c r="U449" s="53" t="n">
        <f aca="false">IF($A449="","",R449*C449)</f>
        <v>100.89</v>
      </c>
      <c r="V449" s="53" t="n">
        <f aca="false">IF($A449="","",E449*C449)</f>
        <v>247.8</v>
      </c>
      <c r="W449" s="59" t="n">
        <f aca="false">IF($A449="","",IFERROR(E449/G449,0))</f>
        <v>3.986856516977</v>
      </c>
      <c r="X449" s="48" t="n">
        <f aca="false">IF($A449="","",S449+T449)</f>
        <v>770</v>
      </c>
      <c r="Y449" s="48" t="n">
        <f aca="false">IF($A449="","",MAX(0,E449-X449))</f>
        <v>0</v>
      </c>
      <c r="Z449" s="53" t="n">
        <f aca="false">IF($A449="","",Y449*C449)</f>
        <v>0</v>
      </c>
      <c r="AA449" s="56" t="str">
        <f aca="false">IF($A449="","",IF(E449&lt;=R449,"Below Safety Stock",IF(E449&lt;=S449,"Reorder Now",IF(E449&gt;X449,"Excess","Healthy"))))</f>
        <v>Healthy</v>
      </c>
      <c r="AB449" s="48" t="n">
        <f aca="false">IF($A449="","",RANK(AF449,$AF$5:$AF$504,0)+COUNTIF($AF$5:AF449,AF449)-1)</f>
        <v>444</v>
      </c>
      <c r="AC449" s="44" t="str">
        <f aca="false">IF($A449="","",Weekly_Demand!B449)</f>
        <v>CALENDAR PAPER CUT DESIGN</v>
      </c>
      <c r="AD449" s="59" t="n">
        <f aca="false">IF($A449="","",H449*SQRT(D449))</f>
        <v>44.1065144325032</v>
      </c>
      <c r="AE449" s="53" t="n">
        <f aca="false">IF($A449="","",AD449*C449)</f>
        <v>78.0685305455307</v>
      </c>
      <c r="AF449" s="53" t="n">
        <f aca="false">IF($A449="","",ROUND(J449,2))</f>
        <v>3232.02</v>
      </c>
    </row>
    <row r="450" customFormat="false" ht="15" hidden="false" customHeight="false" outlineLevel="0" collapsed="false">
      <c r="A450" s="44" t="str">
        <f aca="false">IF(Weekly_Demand!A450="","",Weekly_Demand!A450)</f>
        <v>23133</v>
      </c>
      <c r="B450" s="44" t="str">
        <f aca="false">IF($A450="","",Weekly_Demand!C450)</f>
        <v>Other</v>
      </c>
      <c r="C450" s="45" t="n">
        <f aca="false">IF($A450="","",Weekly_Demand!D450)</f>
        <v>4.95</v>
      </c>
      <c r="D450" s="46" t="n">
        <f aca="false">IF($A450="","",Weekly_Demand!E450+Assumptions!$B$19)</f>
        <v>4</v>
      </c>
      <c r="E450" s="46" t="n">
        <f aca="false">IF($A450="","",Weekly_Demand!F450)</f>
        <v>711</v>
      </c>
      <c r="F450" s="46" t="n">
        <f aca="false">IF($A450="","",SUM(Weekly_Demand!G450:BF450))</f>
        <v>770</v>
      </c>
      <c r="G450" s="51" t="n">
        <f aca="false">IF($A450="","",IFERROR(F450/Assumptions!$B$6,0))</f>
        <v>14.8076923076923</v>
      </c>
      <c r="H450" s="51" t="n">
        <f aca="false">IF($A450="","",STDEV(Weekly_Demand!G450:BF450))</f>
        <v>31.4381050553639</v>
      </c>
      <c r="I450" s="52" t="n">
        <f aca="false">IF($A450="","",IFERROR(H450/G450,0))</f>
        <v>2.12309280893367</v>
      </c>
      <c r="J450" s="53" t="n">
        <f aca="false">IF($A450="","",F450*C450)</f>
        <v>3811.5</v>
      </c>
      <c r="K450" s="54" t="n">
        <f aca="false">IF($A450="","",IFERROR(J450/$J$505,0))</f>
        <v>0.000986234643738582</v>
      </c>
      <c r="L450" s="54" t="n">
        <f aca="false">IF($A450="","",IFERROR(SUMIFS($J$5:$J$504,$AB$5:$AB$504,"&lt;="&amp;AB450)/$J$505,0))</f>
        <v>0.900230662157567</v>
      </c>
      <c r="M450" s="55" t="str">
        <f aca="false">IF($A450="","",IF(L450&lt;=Assumptions!$B$7,"A",IF(L450&lt;=Assumptions!$B$8,"B","C")))</f>
        <v>B</v>
      </c>
      <c r="N450" s="55" t="str">
        <f aca="false">IF($A450="","",IF(I450&lt;=Assumptions!$B$9,"X",IF(I450&lt;=Assumptions!$B$10,"Y","Z")))</f>
        <v>Z</v>
      </c>
      <c r="O450" s="56" t="str">
        <f aca="false">IF($A450="","",M450&amp;N450)</f>
        <v>BZ</v>
      </c>
      <c r="P450" s="57" t="n">
        <f aca="false">IF($A450="","",INDEX(Assumptions!$B$35:$B$37,MATCH(M450,Assumptions!$A$35:$A$37,0)))</f>
        <v>0.95</v>
      </c>
      <c r="Q450" s="58" t="n">
        <f aca="false">IF($A450="","",NORMSINV(P450))</f>
        <v>1.64485362695147</v>
      </c>
      <c r="R450" s="48" t="n">
        <f aca="false">IF($A450="","",ROUNDUP(Q450*H450*SQRT(D450),0))</f>
        <v>104</v>
      </c>
      <c r="S450" s="48" t="n">
        <f aca="false">IF($A450="","",ROUNDUP(G450*D450+R450,0))</f>
        <v>164</v>
      </c>
      <c r="T450" s="46" t="n">
        <f aca="false">IF($A450="","",IFERROR(ROUND(SQRT(2*F450*Assumptions!$B$4/(Assumptions!$B$5*C450)),0),0))</f>
        <v>249</v>
      </c>
      <c r="U450" s="53" t="n">
        <f aca="false">IF($A450="","",R450*C450)</f>
        <v>514.8</v>
      </c>
      <c r="V450" s="53" t="n">
        <f aca="false">IF($A450="","",E450*C450)</f>
        <v>3519.45</v>
      </c>
      <c r="W450" s="59" t="n">
        <f aca="false">IF($A450="","",IFERROR(E450/G450,0))</f>
        <v>48.0155844155844</v>
      </c>
      <c r="X450" s="48" t="n">
        <f aca="false">IF($A450="","",S450+T450)</f>
        <v>413</v>
      </c>
      <c r="Y450" s="48" t="n">
        <f aca="false">IF($A450="","",MAX(0,E450-X450))</f>
        <v>298</v>
      </c>
      <c r="Z450" s="53" t="n">
        <f aca="false">IF($A450="","",Y450*C450)</f>
        <v>1475.1</v>
      </c>
      <c r="AA450" s="56" t="str">
        <f aca="false">IF($A450="","",IF(E450&lt;=R450,"Below Safety Stock",IF(E450&lt;=S450,"Reorder Now",IF(E450&gt;X450,"Excess","Healthy"))))</f>
        <v>Excess</v>
      </c>
      <c r="AB450" s="48" t="n">
        <f aca="false">IF($A450="","",RANK(AF450,$AF$5:$AF$504,0)+COUNTIF($AF$5:AF450,AF450)-1)</f>
        <v>382</v>
      </c>
      <c r="AC450" s="44" t="str">
        <f aca="false">IF($A450="","",Weekly_Demand!B450)</f>
        <v>LARGE IVORY HEART WALL ORGANISER</v>
      </c>
      <c r="AD450" s="59" t="n">
        <f aca="false">IF($A450="","",H450*SQRT(D450))</f>
        <v>62.8762101107278</v>
      </c>
      <c r="AE450" s="53" t="n">
        <f aca="false">IF($A450="","",AD450*C450)</f>
        <v>311.237240048103</v>
      </c>
      <c r="AF450" s="53" t="n">
        <f aca="false">IF($A450="","",ROUND(J450,2))</f>
        <v>3811.5</v>
      </c>
    </row>
    <row r="451" customFormat="false" ht="15" hidden="false" customHeight="false" outlineLevel="0" collapsed="false">
      <c r="A451" s="44" t="str">
        <f aca="false">IF(Weekly_Demand!A451="","",Weekly_Demand!A451)</f>
        <v>23126</v>
      </c>
      <c r="B451" s="44" t="str">
        <f aca="false">IF($A451="","",Weekly_Demand!C451)</f>
        <v>Other</v>
      </c>
      <c r="C451" s="45" t="n">
        <f aca="false">IF($A451="","",Weekly_Demand!D451)</f>
        <v>2.97</v>
      </c>
      <c r="D451" s="46" t="n">
        <f aca="false">IF($A451="","",Weekly_Demand!E451+Assumptions!$B$19)</f>
        <v>6</v>
      </c>
      <c r="E451" s="46" t="n">
        <f aca="false">IF($A451="","",Weekly_Demand!F451)</f>
        <v>42</v>
      </c>
      <c r="F451" s="46" t="n">
        <f aca="false">IF($A451="","",SUM(Weekly_Demand!G451:BF451))</f>
        <v>1082</v>
      </c>
      <c r="G451" s="51" t="n">
        <f aca="false">IF($A451="","",IFERROR(F451/Assumptions!$B$6,0))</f>
        <v>20.8076923076923</v>
      </c>
      <c r="H451" s="51" t="n">
        <f aca="false">IF($A451="","",STDEV(Weekly_Demand!G451:BF451))</f>
        <v>25.0019908709549</v>
      </c>
      <c r="I451" s="52" t="n">
        <f aca="false">IF($A451="","",IFERROR(H451/G451,0))</f>
        <v>1.20157442263369</v>
      </c>
      <c r="J451" s="53" t="n">
        <f aca="false">IF($A451="","",F451*C451)</f>
        <v>3213.54</v>
      </c>
      <c r="K451" s="54" t="n">
        <f aca="false">IF($A451="","",IFERROR(J451/$J$505,0))</f>
        <v>0.000831511078850763</v>
      </c>
      <c r="L451" s="54" t="n">
        <f aca="false">IF($A451="","",IFERROR(SUMIFS($J$5:$J$504,$AB$5:$AB$504,"&lt;="&amp;AB451)/$J$505,0))</f>
        <v>0.960534269380989</v>
      </c>
      <c r="M451" s="55" t="str">
        <f aca="false">IF($A451="","",IF(L451&lt;=Assumptions!$B$7,"A",IF(L451&lt;=Assumptions!$B$8,"B","C")))</f>
        <v>C</v>
      </c>
      <c r="N451" s="55" t="str">
        <f aca="false">IF($A451="","",IF(I451&lt;=Assumptions!$B$9,"X",IF(I451&lt;=Assumptions!$B$10,"Y","Z")))</f>
        <v>Z</v>
      </c>
      <c r="O451" s="56" t="str">
        <f aca="false">IF($A451="","",M451&amp;N451)</f>
        <v>CZ</v>
      </c>
      <c r="P451" s="57" t="n">
        <f aca="false">IF($A451="","",INDEX(Assumptions!$B$35:$B$37,MATCH(M451,Assumptions!$A$35:$A$37,0)))</f>
        <v>0.9</v>
      </c>
      <c r="Q451" s="58" t="n">
        <f aca="false">IF($A451="","",NORMSINV(P451))</f>
        <v>1.2815515655446</v>
      </c>
      <c r="R451" s="48" t="n">
        <f aca="false">IF($A451="","",ROUNDUP(Q451*H451*SQRT(D451),0))</f>
        <v>79</v>
      </c>
      <c r="S451" s="48" t="n">
        <f aca="false">IF($A451="","",ROUNDUP(G451*D451+R451,0))</f>
        <v>204</v>
      </c>
      <c r="T451" s="46" t="n">
        <f aca="false">IF($A451="","",IFERROR(ROUND(SQRT(2*F451*Assumptions!$B$4/(Assumptions!$B$5*C451)),0),0))</f>
        <v>382</v>
      </c>
      <c r="U451" s="53" t="n">
        <f aca="false">IF($A451="","",R451*C451)</f>
        <v>234.63</v>
      </c>
      <c r="V451" s="53" t="n">
        <f aca="false">IF($A451="","",E451*C451)</f>
        <v>124.74</v>
      </c>
      <c r="W451" s="59" t="n">
        <f aca="false">IF($A451="","",IFERROR(E451/G451,0))</f>
        <v>2.0184842883549</v>
      </c>
      <c r="X451" s="48" t="n">
        <f aca="false">IF($A451="","",S451+T451)</f>
        <v>586</v>
      </c>
      <c r="Y451" s="48" t="n">
        <f aca="false">IF($A451="","",MAX(0,E451-X451))</f>
        <v>0</v>
      </c>
      <c r="Z451" s="53" t="n">
        <f aca="false">IF($A451="","",Y451*C451)</f>
        <v>0</v>
      </c>
      <c r="AA451" s="56" t="str">
        <f aca="false">IF($A451="","",IF(E451&lt;=R451,"Below Safety Stock",IF(E451&lt;=S451,"Reorder Now",IF(E451&gt;X451,"Excess","Healthy"))))</f>
        <v>Below Safety Stock</v>
      </c>
      <c r="AB451" s="48" t="n">
        <f aca="false">IF($A451="","",RANK(AF451,$AF$5:$AF$504,0)+COUNTIF($AF$5:AF451,AF451)-1)</f>
        <v>449</v>
      </c>
      <c r="AC451" s="44" t="str">
        <f aca="false">IF($A451="","",Weekly_Demand!B451)</f>
        <v>FELTCRAFT GIRL AMELIE KIT</v>
      </c>
      <c r="AD451" s="59" t="n">
        <f aca="false">IF($A451="","",H451*SQRT(D451))</f>
        <v>61.2421201875627</v>
      </c>
      <c r="AE451" s="53" t="n">
        <f aca="false">IF($A451="","",AD451*C451)</f>
        <v>181.889096957061</v>
      </c>
      <c r="AF451" s="53" t="n">
        <f aca="false">IF($A451="","",ROUND(J451,2))</f>
        <v>3213.54</v>
      </c>
    </row>
    <row r="452" customFormat="false" ht="15" hidden="false" customHeight="false" outlineLevel="0" collapsed="false">
      <c r="A452" s="44" t="str">
        <f aca="false">IF(Weekly_Demand!A452="","",Weekly_Demand!A452)</f>
        <v>23135</v>
      </c>
      <c r="B452" s="44" t="str">
        <f aca="false">IF($A452="","",Weekly_Demand!C452)</f>
        <v>Other</v>
      </c>
      <c r="C452" s="45" t="n">
        <f aca="false">IF($A452="","",Weekly_Demand!D452)</f>
        <v>3.45</v>
      </c>
      <c r="D452" s="46" t="n">
        <f aca="false">IF($A452="","",Weekly_Demand!E452+Assumptions!$B$19)</f>
        <v>8</v>
      </c>
      <c r="E452" s="46" t="n">
        <f aca="false">IF($A452="","",Weekly_Demand!F452)</f>
        <v>351</v>
      </c>
      <c r="F452" s="46" t="n">
        <f aca="false">IF($A452="","",SUM(Weekly_Demand!G452:BF452))</f>
        <v>1523</v>
      </c>
      <c r="G452" s="51" t="n">
        <f aca="false">IF($A452="","",IFERROR(F452/Assumptions!$B$6,0))</f>
        <v>29.2884615384615</v>
      </c>
      <c r="H452" s="51" t="n">
        <f aca="false">IF($A452="","",STDEV(Weekly_Demand!G452:BF452))</f>
        <v>90.2498354869961</v>
      </c>
      <c r="I452" s="52" t="n">
        <f aca="false">IF($A452="","",IFERROR(H452/G452,0))</f>
        <v>3.08141263645686</v>
      </c>
      <c r="J452" s="53" t="n">
        <f aca="false">IF($A452="","",F452*C452)</f>
        <v>5254.35</v>
      </c>
      <c r="K452" s="54" t="n">
        <f aca="false">IF($A452="","",IFERROR(J452/$J$505,0))</f>
        <v>0.00135957549529787</v>
      </c>
      <c r="L452" s="54" t="n">
        <f aca="false">IF($A452="","",IFERROR(SUMIFS($J$5:$J$504,$AB$5:$AB$504,"&lt;="&amp;AB452)/$J$505,0))</f>
        <v>0.752859349620784</v>
      </c>
      <c r="M452" s="55" t="str">
        <f aca="false">IF($A452="","",IF(L452&lt;=Assumptions!$B$7,"A",IF(L452&lt;=Assumptions!$B$8,"B","C")))</f>
        <v>A</v>
      </c>
      <c r="N452" s="55" t="str">
        <f aca="false">IF($A452="","",IF(I452&lt;=Assumptions!$B$9,"X",IF(I452&lt;=Assumptions!$B$10,"Y","Z")))</f>
        <v>Z</v>
      </c>
      <c r="O452" s="56" t="str">
        <f aca="false">IF($A452="","",M452&amp;N452)</f>
        <v>AZ</v>
      </c>
      <c r="P452" s="57" t="n">
        <f aca="false">IF($A452="","",INDEX(Assumptions!$B$35:$B$37,MATCH(M452,Assumptions!$A$35:$A$37,0)))</f>
        <v>0.98</v>
      </c>
      <c r="Q452" s="58" t="n">
        <f aca="false">IF($A452="","",NORMSINV(P452))</f>
        <v>2.05374891063182</v>
      </c>
      <c r="R452" s="48" t="n">
        <f aca="false">IF($A452="","",ROUNDUP(Q452*H452*SQRT(D452),0))</f>
        <v>525</v>
      </c>
      <c r="S452" s="48" t="n">
        <f aca="false">IF($A452="","",ROUNDUP(G452*D452+R452,0))</f>
        <v>760</v>
      </c>
      <c r="T452" s="46" t="n">
        <f aca="false">IF($A452="","",IFERROR(ROUND(SQRT(2*F452*Assumptions!$B$4/(Assumptions!$B$5*C452)),0),0))</f>
        <v>420</v>
      </c>
      <c r="U452" s="53" t="n">
        <f aca="false">IF($A452="","",R452*C452)</f>
        <v>1811.25</v>
      </c>
      <c r="V452" s="53" t="n">
        <f aca="false">IF($A452="","",E452*C452)</f>
        <v>1210.95</v>
      </c>
      <c r="W452" s="59" t="n">
        <f aca="false">IF($A452="","",IFERROR(E452/G452,0))</f>
        <v>11.9842416283651</v>
      </c>
      <c r="X452" s="48" t="n">
        <f aca="false">IF($A452="","",S452+T452)</f>
        <v>1180</v>
      </c>
      <c r="Y452" s="48" t="n">
        <f aca="false">IF($A452="","",MAX(0,E452-X452))</f>
        <v>0</v>
      </c>
      <c r="Z452" s="53" t="n">
        <f aca="false">IF($A452="","",Y452*C452)</f>
        <v>0</v>
      </c>
      <c r="AA452" s="56" t="str">
        <f aca="false">IF($A452="","",IF(E452&lt;=R452,"Below Safety Stock",IF(E452&lt;=S452,"Reorder Now",IF(E452&gt;X452,"Excess","Healthy"))))</f>
        <v>Below Safety Stock</v>
      </c>
      <c r="AB452" s="48" t="n">
        <f aca="false">IF($A452="","",RANK(AF452,$AF$5:$AF$504,0)+COUNTIF($AF$5:AF452,AF452)-1)</f>
        <v>253</v>
      </c>
      <c r="AC452" s="44" t="str">
        <f aca="false">IF($A452="","",Weekly_Demand!B452)</f>
        <v>SMALL ZINC HEART WALL ORGANISER</v>
      </c>
      <c r="AD452" s="59" t="n">
        <f aca="false">IF($A452="","",H452*SQRT(D452))</f>
        <v>255.265082695301</v>
      </c>
      <c r="AE452" s="53" t="n">
        <f aca="false">IF($A452="","",AD452*C452)</f>
        <v>880.664535298789</v>
      </c>
      <c r="AF452" s="53" t="n">
        <f aca="false">IF($A452="","",ROUND(J452,2))</f>
        <v>5254.35</v>
      </c>
    </row>
    <row r="453" customFormat="false" ht="15" hidden="false" customHeight="false" outlineLevel="0" collapsed="false">
      <c r="A453" s="44" t="str">
        <f aca="false">IF(Weekly_Demand!A453="","",Weekly_Demand!A453)</f>
        <v>22349</v>
      </c>
      <c r="B453" s="44" t="str">
        <f aca="false">IF($A453="","",Weekly_Demand!C453)</f>
        <v>Other</v>
      </c>
      <c r="C453" s="45" t="n">
        <f aca="false">IF($A453="","",Weekly_Demand!D453)</f>
        <v>2.25</v>
      </c>
      <c r="D453" s="46" t="n">
        <f aca="false">IF($A453="","",Weekly_Demand!E453+Assumptions!$B$19)</f>
        <v>4</v>
      </c>
      <c r="E453" s="46" t="n">
        <f aca="false">IF($A453="","",Weekly_Demand!F453)</f>
        <v>208</v>
      </c>
      <c r="F453" s="46" t="n">
        <f aca="false">IF($A453="","",SUM(Weekly_Demand!G453:BF453))</f>
        <v>1353</v>
      </c>
      <c r="G453" s="51" t="n">
        <f aca="false">IF($A453="","",IFERROR(F453/Assumptions!$B$6,0))</f>
        <v>26.0192307692308</v>
      </c>
      <c r="H453" s="51" t="n">
        <f aca="false">IF($A453="","",STDEV(Weekly_Demand!G453:BF453))</f>
        <v>104.18394185561</v>
      </c>
      <c r="I453" s="52" t="n">
        <f aca="false">IF($A453="","",IFERROR(H453/G453,0))</f>
        <v>4.00411306466499</v>
      </c>
      <c r="J453" s="53" t="n">
        <f aca="false">IF($A453="","",F453*C453)</f>
        <v>3044.25</v>
      </c>
      <c r="K453" s="54" t="n">
        <f aca="false">IF($A453="","",IFERROR(J453/$J$505,0))</f>
        <v>0.000787706890778218</v>
      </c>
      <c r="L453" s="54" t="n">
        <f aca="false">IF($A453="","",IFERROR(SUMIFS($J$5:$J$504,$AB$5:$AB$504,"&lt;="&amp;AB453)/$J$505,0))</f>
        <v>0.977578953253104</v>
      </c>
      <c r="M453" s="55" t="str">
        <f aca="false">IF($A453="","",IF(L453&lt;=Assumptions!$B$7,"A",IF(L453&lt;=Assumptions!$B$8,"B","C")))</f>
        <v>C</v>
      </c>
      <c r="N453" s="55" t="str">
        <f aca="false">IF($A453="","",IF(I453&lt;=Assumptions!$B$9,"X",IF(I453&lt;=Assumptions!$B$10,"Y","Z")))</f>
        <v>Z</v>
      </c>
      <c r="O453" s="56" t="str">
        <f aca="false">IF($A453="","",M453&amp;N453)</f>
        <v>CZ</v>
      </c>
      <c r="P453" s="57" t="n">
        <f aca="false">IF($A453="","",INDEX(Assumptions!$B$35:$B$37,MATCH(M453,Assumptions!$A$35:$A$37,0)))</f>
        <v>0.9</v>
      </c>
      <c r="Q453" s="58" t="n">
        <f aca="false">IF($A453="","",NORMSINV(P453))</f>
        <v>1.2815515655446</v>
      </c>
      <c r="R453" s="48" t="n">
        <f aca="false">IF($A453="","",ROUNDUP(Q453*H453*SQRT(D453),0))</f>
        <v>268</v>
      </c>
      <c r="S453" s="48" t="n">
        <f aca="false">IF($A453="","",ROUNDUP(G453*D453+R453,0))</f>
        <v>373</v>
      </c>
      <c r="T453" s="46" t="n">
        <f aca="false">IF($A453="","",IFERROR(ROUND(SQRT(2*F453*Assumptions!$B$4/(Assumptions!$B$5*C453)),0),0))</f>
        <v>490</v>
      </c>
      <c r="U453" s="53" t="n">
        <f aca="false">IF($A453="","",R453*C453)</f>
        <v>603</v>
      </c>
      <c r="V453" s="53" t="n">
        <f aca="false">IF($A453="","",E453*C453)</f>
        <v>468</v>
      </c>
      <c r="W453" s="59" t="n">
        <f aca="false">IF($A453="","",IFERROR(E453/G453,0))</f>
        <v>7.99408721359941</v>
      </c>
      <c r="X453" s="48" t="n">
        <f aca="false">IF($A453="","",S453+T453)</f>
        <v>863</v>
      </c>
      <c r="Y453" s="48" t="n">
        <f aca="false">IF($A453="","",MAX(0,E453-X453))</f>
        <v>0</v>
      </c>
      <c r="Z453" s="53" t="n">
        <f aca="false">IF($A453="","",Y453*C453)</f>
        <v>0</v>
      </c>
      <c r="AA453" s="56" t="str">
        <f aca="false">IF($A453="","",IF(E453&lt;=R453,"Below Safety Stock",IF(E453&lt;=S453,"Reorder Now",IF(E453&gt;X453,"Excess","Healthy"))))</f>
        <v>Below Safety Stock</v>
      </c>
      <c r="AB453" s="48" t="n">
        <f aca="false">IF($A453="","",RANK(AF453,$AF$5:$AF$504,0)+COUNTIF($AF$5:AF453,AF453)-1)</f>
        <v>470</v>
      </c>
      <c r="AC453" s="44" t="str">
        <f aca="false">IF($A453="","",Weekly_Demand!B453)</f>
        <v>DOG BOWL CHASING BALL DESIGN</v>
      </c>
      <c r="AD453" s="59" t="n">
        <f aca="false">IF($A453="","",H453*SQRT(D453))</f>
        <v>208.36788371122</v>
      </c>
      <c r="AE453" s="53" t="n">
        <f aca="false">IF($A453="","",AD453*C453)</f>
        <v>468.827738350246</v>
      </c>
      <c r="AF453" s="53" t="n">
        <f aca="false">IF($A453="","",ROUND(J453,2))</f>
        <v>3044.25</v>
      </c>
    </row>
    <row r="454" customFormat="false" ht="15" hidden="false" customHeight="false" outlineLevel="0" collapsed="false">
      <c r="A454" s="44" t="str">
        <f aca="false">IF(Weekly_Demand!A454="","",Weekly_Demand!A454)</f>
        <v>23158</v>
      </c>
      <c r="B454" s="44" t="str">
        <f aca="false">IF($A454="","",Weekly_Demand!C454)</f>
        <v>Other</v>
      </c>
      <c r="C454" s="45" t="n">
        <f aca="false">IF($A454="","",Weekly_Demand!D454)</f>
        <v>1.248</v>
      </c>
      <c r="D454" s="46" t="n">
        <f aca="false">IF($A454="","",Weekly_Demand!E454+Assumptions!$B$19)</f>
        <v>6</v>
      </c>
      <c r="E454" s="46" t="n">
        <f aca="false">IF($A454="","",Weekly_Demand!F454)</f>
        <v>98</v>
      </c>
      <c r="F454" s="46" t="n">
        <f aca="false">IF($A454="","",SUM(Weekly_Demand!G454:BF454))</f>
        <v>2557</v>
      </c>
      <c r="G454" s="51" t="n">
        <f aca="false">IF($A454="","",IFERROR(F454/Assumptions!$B$6,0))</f>
        <v>49.1730769230769</v>
      </c>
      <c r="H454" s="51" t="n">
        <f aca="false">IF($A454="","",STDEV(Weekly_Demand!G454:BF454))</f>
        <v>55.7862591676081</v>
      </c>
      <c r="I454" s="52" t="n">
        <f aca="false">IF($A454="","",IFERROR(H454/G454,0))</f>
        <v>1.13448786731154</v>
      </c>
      <c r="J454" s="53" t="n">
        <f aca="false">IF($A454="","",F454*C454)</f>
        <v>3191.136</v>
      </c>
      <c r="K454" s="54" t="n">
        <f aca="false">IF($A454="","",IFERROR(J454/$J$505,0))</f>
        <v>0.000825713990838611</v>
      </c>
      <c r="L454" s="54" t="n">
        <f aca="false">IF($A454="","",IFERROR(SUMIFS($J$5:$J$504,$AB$5:$AB$504,"&lt;="&amp;AB454)/$J$505,0))</f>
        <v>0.965502373807404</v>
      </c>
      <c r="M454" s="55" t="str">
        <f aca="false">IF($A454="","",IF(L454&lt;=Assumptions!$B$7,"A",IF(L454&lt;=Assumptions!$B$8,"B","C")))</f>
        <v>C</v>
      </c>
      <c r="N454" s="55" t="str">
        <f aca="false">IF($A454="","",IF(I454&lt;=Assumptions!$B$9,"X",IF(I454&lt;=Assumptions!$B$10,"Y","Z")))</f>
        <v>Z</v>
      </c>
      <c r="O454" s="56" t="str">
        <f aca="false">IF($A454="","",M454&amp;N454)</f>
        <v>CZ</v>
      </c>
      <c r="P454" s="57" t="n">
        <f aca="false">IF($A454="","",INDEX(Assumptions!$B$35:$B$37,MATCH(M454,Assumptions!$A$35:$A$37,0)))</f>
        <v>0.9</v>
      </c>
      <c r="Q454" s="58" t="n">
        <f aca="false">IF($A454="","",NORMSINV(P454))</f>
        <v>1.2815515655446</v>
      </c>
      <c r="R454" s="48" t="n">
        <f aca="false">IF($A454="","",ROUNDUP(Q454*H454*SQRT(D454),0))</f>
        <v>176</v>
      </c>
      <c r="S454" s="48" t="n">
        <f aca="false">IF($A454="","",ROUNDUP(G454*D454+R454,0))</f>
        <v>472</v>
      </c>
      <c r="T454" s="46" t="n">
        <f aca="false">IF($A454="","",IFERROR(ROUND(SQRT(2*F454*Assumptions!$B$4/(Assumptions!$B$5*C454)),0),0))</f>
        <v>905</v>
      </c>
      <c r="U454" s="53" t="n">
        <f aca="false">IF($A454="","",R454*C454)</f>
        <v>219.648</v>
      </c>
      <c r="V454" s="53" t="n">
        <f aca="false">IF($A454="","",E454*C454)</f>
        <v>122.304</v>
      </c>
      <c r="W454" s="59" t="n">
        <f aca="false">IF($A454="","",IFERROR(E454/G454,0))</f>
        <v>1.99296050058663</v>
      </c>
      <c r="X454" s="48" t="n">
        <f aca="false">IF($A454="","",S454+T454)</f>
        <v>1377</v>
      </c>
      <c r="Y454" s="48" t="n">
        <f aca="false">IF($A454="","",MAX(0,E454-X454))</f>
        <v>0</v>
      </c>
      <c r="Z454" s="53" t="n">
        <f aca="false">IF($A454="","",Y454*C454)</f>
        <v>0</v>
      </c>
      <c r="AA454" s="56" t="str">
        <f aca="false">IF($A454="","",IF(E454&lt;=R454,"Below Safety Stock",IF(E454&lt;=S454,"Reorder Now",IF(E454&gt;X454,"Excess","Healthy"))))</f>
        <v>Below Safety Stock</v>
      </c>
      <c r="AB454" s="48" t="n">
        <f aca="false">IF($A454="","",RANK(AF454,$AF$5:$AF$504,0)+COUNTIF($AF$5:AF454,AF454)-1)</f>
        <v>455</v>
      </c>
      <c r="AC454" s="44" t="str">
        <f aca="false">IF($A454="","",Weekly_Demand!B454)</f>
        <v>SET OF 5 LUCKY CAT MAGNETS</v>
      </c>
      <c r="AD454" s="59" t="n">
        <f aca="false">IF($A454="","",H454*SQRT(D454))</f>
        <v>136.6478696193</v>
      </c>
      <c r="AE454" s="53" t="n">
        <f aca="false">IF($A454="","",AD454*C454)</f>
        <v>170.536541284886</v>
      </c>
      <c r="AF454" s="53" t="n">
        <f aca="false">IF($A454="","",ROUND(J454,2))</f>
        <v>3191.14</v>
      </c>
    </row>
    <row r="455" customFormat="false" ht="15" hidden="false" customHeight="false" outlineLevel="0" collapsed="false">
      <c r="A455" s="44" t="str">
        <f aca="false">IF(Weekly_Demand!A455="","",Weekly_Demand!A455)</f>
        <v>22297</v>
      </c>
      <c r="B455" s="44" t="str">
        <f aca="false">IF($A455="","",Weekly_Demand!C455)</f>
        <v>Other</v>
      </c>
      <c r="C455" s="45" t="n">
        <f aca="false">IF($A455="","",Weekly_Demand!D455)</f>
        <v>0.75</v>
      </c>
      <c r="D455" s="46" t="n">
        <f aca="false">IF($A455="","",Weekly_Demand!E455+Assumptions!$B$19)</f>
        <v>4</v>
      </c>
      <c r="E455" s="46" t="n">
        <f aca="false">IF($A455="","",Weekly_Demand!F455)</f>
        <v>466</v>
      </c>
      <c r="F455" s="46" t="n">
        <f aca="false">IF($A455="","",SUM(Weekly_Demand!G455:BF455))</f>
        <v>4042</v>
      </c>
      <c r="G455" s="51" t="n">
        <f aca="false">IF($A455="","",IFERROR(F455/Assumptions!$B$6,0))</f>
        <v>77.7307692307692</v>
      </c>
      <c r="H455" s="51" t="n">
        <f aca="false">IF($A455="","",STDEV(Weekly_Demand!G455:BF455))</f>
        <v>71.8255280918365</v>
      </c>
      <c r="I455" s="52" t="n">
        <f aca="false">IF($A455="","",IFERROR(H455/G455,0))</f>
        <v>0.924029554867763</v>
      </c>
      <c r="J455" s="53" t="n">
        <f aca="false">IF($A455="","",F455*C455)</f>
        <v>3031.5</v>
      </c>
      <c r="K455" s="54" t="n">
        <f aca="false">IF($A455="","",IFERROR(J455/$J$505,0))</f>
        <v>0.000784407798109278</v>
      </c>
      <c r="L455" s="54" t="n">
        <f aca="false">IF($A455="","",IFERROR(SUMIFS($J$5:$J$504,$AB$5:$AB$504,"&lt;="&amp;AB455)/$J$505,0))</f>
        <v>0.978363361051213</v>
      </c>
      <c r="M455" s="55" t="str">
        <f aca="false">IF($A455="","",IF(L455&lt;=Assumptions!$B$7,"A",IF(L455&lt;=Assumptions!$B$8,"B","C")))</f>
        <v>C</v>
      </c>
      <c r="N455" s="55" t="str">
        <f aca="false">IF($A455="","",IF(I455&lt;=Assumptions!$B$9,"X",IF(I455&lt;=Assumptions!$B$10,"Y","Z")))</f>
        <v>Y</v>
      </c>
      <c r="O455" s="56" t="str">
        <f aca="false">IF($A455="","",M455&amp;N455)</f>
        <v>CY</v>
      </c>
      <c r="P455" s="57" t="n">
        <f aca="false">IF($A455="","",INDEX(Assumptions!$B$35:$B$37,MATCH(M455,Assumptions!$A$35:$A$37,0)))</f>
        <v>0.9</v>
      </c>
      <c r="Q455" s="58" t="n">
        <f aca="false">IF($A455="","",NORMSINV(P455))</f>
        <v>1.2815515655446</v>
      </c>
      <c r="R455" s="48" t="n">
        <f aca="false">IF($A455="","",ROUNDUP(Q455*H455*SQRT(D455),0))</f>
        <v>185</v>
      </c>
      <c r="S455" s="48" t="n">
        <f aca="false">IF($A455="","",ROUNDUP(G455*D455+R455,0))</f>
        <v>496</v>
      </c>
      <c r="T455" s="46" t="n">
        <f aca="false">IF($A455="","",IFERROR(ROUND(SQRT(2*F455*Assumptions!$B$4/(Assumptions!$B$5*C455)),0),0))</f>
        <v>1468</v>
      </c>
      <c r="U455" s="53" t="n">
        <f aca="false">IF($A455="","",R455*C455)</f>
        <v>138.75</v>
      </c>
      <c r="V455" s="53" t="n">
        <f aca="false">IF($A455="","",E455*C455)</f>
        <v>349.5</v>
      </c>
      <c r="W455" s="59" t="n">
        <f aca="false">IF($A455="","",IFERROR(E455/G455,0))</f>
        <v>5.99505195447798</v>
      </c>
      <c r="X455" s="48" t="n">
        <f aca="false">IF($A455="","",S455+T455)</f>
        <v>1964</v>
      </c>
      <c r="Y455" s="48" t="n">
        <f aca="false">IF($A455="","",MAX(0,E455-X455))</f>
        <v>0</v>
      </c>
      <c r="Z455" s="53" t="n">
        <f aca="false">IF($A455="","",Y455*C455)</f>
        <v>0</v>
      </c>
      <c r="AA455" s="56" t="str">
        <f aca="false">IF($A455="","",IF(E455&lt;=R455,"Below Safety Stock",IF(E455&lt;=S455,"Reorder Now",IF(E455&gt;X455,"Excess","Healthy"))))</f>
        <v>Reorder Now</v>
      </c>
      <c r="AB455" s="48" t="n">
        <f aca="false">IF($A455="","",RANK(AF455,$AF$5:$AF$504,0)+COUNTIF($AF$5:AF455,AF455)-1)</f>
        <v>471</v>
      </c>
      <c r="AC455" s="44" t="str">
        <f aca="false">IF($A455="","",Weekly_Demand!B455)</f>
        <v>HEART IVORY TRELLIS SMALL</v>
      </c>
      <c r="AD455" s="59" t="n">
        <f aca="false">IF($A455="","",H455*SQRT(D455))</f>
        <v>143.651056183673</v>
      </c>
      <c r="AE455" s="53" t="n">
        <f aca="false">IF($A455="","",AD455*C455)</f>
        <v>107.738292137755</v>
      </c>
      <c r="AF455" s="53" t="n">
        <f aca="false">IF($A455="","",ROUND(J455,2))</f>
        <v>3031.5</v>
      </c>
    </row>
    <row r="456" customFormat="false" ht="15" hidden="false" customHeight="false" outlineLevel="0" collapsed="false">
      <c r="A456" s="44" t="str">
        <f aca="false">IF(Weekly_Demand!A456="","",Weekly_Demand!A456)</f>
        <v>22418</v>
      </c>
      <c r="B456" s="44" t="str">
        <f aca="false">IF($A456="","",Weekly_Demand!C456)</f>
        <v>Other</v>
      </c>
      <c r="C456" s="45" t="n">
        <f aca="false">IF($A456="","",Weekly_Demand!D456)</f>
        <v>0.51</v>
      </c>
      <c r="D456" s="46" t="n">
        <f aca="false">IF($A456="","",Weekly_Demand!E456+Assumptions!$B$19)</f>
        <v>6</v>
      </c>
      <c r="E456" s="46" t="n">
        <f aca="false">IF($A456="","",Weekly_Demand!F456)</f>
        <v>1923</v>
      </c>
      <c r="F456" s="46" t="n">
        <f aca="false">IF($A456="","",SUM(Weekly_Demand!G456:BF456))</f>
        <v>6249</v>
      </c>
      <c r="G456" s="51" t="n">
        <f aca="false">IF($A456="","",IFERROR(F456/Assumptions!$B$6,0))</f>
        <v>120.173076923077</v>
      </c>
      <c r="H456" s="51" t="n">
        <f aca="false">IF($A456="","",STDEV(Weekly_Demand!G456:BF456))</f>
        <v>91.8431572597815</v>
      </c>
      <c r="I456" s="52" t="n">
        <f aca="false">IF($A456="","",IFERROR(H456/G456,0))</f>
        <v>0.764257349577314</v>
      </c>
      <c r="J456" s="53" t="n">
        <f aca="false">IF($A456="","",F456*C456)</f>
        <v>3186.99</v>
      </c>
      <c r="K456" s="54" t="n">
        <f aca="false">IF($A456="","",IFERROR(J456/$J$505,0))</f>
        <v>0.000824641203528381</v>
      </c>
      <c r="L456" s="54" t="n">
        <f aca="false">IF($A456="","",IFERROR(SUMIFS($J$5:$J$504,$AB$5:$AB$504,"&lt;="&amp;AB456)/$J$505,0))</f>
        <v>0.966327015010932</v>
      </c>
      <c r="M456" s="55" t="str">
        <f aca="false">IF($A456="","",IF(L456&lt;=Assumptions!$B$7,"A",IF(L456&lt;=Assumptions!$B$8,"B","C")))</f>
        <v>C</v>
      </c>
      <c r="N456" s="55" t="str">
        <f aca="false">IF($A456="","",IF(I456&lt;=Assumptions!$B$9,"X",IF(I456&lt;=Assumptions!$B$10,"Y","Z")))</f>
        <v>Y</v>
      </c>
      <c r="O456" s="56" t="str">
        <f aca="false">IF($A456="","",M456&amp;N456)</f>
        <v>CY</v>
      </c>
      <c r="P456" s="57" t="n">
        <f aca="false">IF($A456="","",INDEX(Assumptions!$B$35:$B$37,MATCH(M456,Assumptions!$A$35:$A$37,0)))</f>
        <v>0.9</v>
      </c>
      <c r="Q456" s="58" t="n">
        <f aca="false">IF($A456="","",NORMSINV(P456))</f>
        <v>1.2815515655446</v>
      </c>
      <c r="R456" s="48" t="n">
        <f aca="false">IF($A456="","",ROUNDUP(Q456*H456*SQRT(D456),0))</f>
        <v>289</v>
      </c>
      <c r="S456" s="48" t="n">
        <f aca="false">IF($A456="","",ROUNDUP(G456*D456+R456,0))</f>
        <v>1011</v>
      </c>
      <c r="T456" s="46" t="n">
        <f aca="false">IF($A456="","",IFERROR(ROUND(SQRT(2*F456*Assumptions!$B$4/(Assumptions!$B$5*C456)),0),0))</f>
        <v>2214</v>
      </c>
      <c r="U456" s="53" t="n">
        <f aca="false">IF($A456="","",R456*C456)</f>
        <v>147.39</v>
      </c>
      <c r="V456" s="53" t="n">
        <f aca="false">IF($A456="","",E456*C456)</f>
        <v>980.73</v>
      </c>
      <c r="W456" s="59" t="n">
        <f aca="false">IF($A456="","",IFERROR(E456/G456,0))</f>
        <v>16.0019203072492</v>
      </c>
      <c r="X456" s="48" t="n">
        <f aca="false">IF($A456="","",S456+T456)</f>
        <v>3225</v>
      </c>
      <c r="Y456" s="48" t="n">
        <f aca="false">IF($A456="","",MAX(0,E456-X456))</f>
        <v>0</v>
      </c>
      <c r="Z456" s="53" t="n">
        <f aca="false">IF($A456="","",Y456*C456)</f>
        <v>0</v>
      </c>
      <c r="AA456" s="56" t="str">
        <f aca="false">IF($A456="","",IF(E456&lt;=R456,"Below Safety Stock",IF(E456&lt;=S456,"Reorder Now",IF(E456&gt;X456,"Excess","Healthy"))))</f>
        <v>Healthy</v>
      </c>
      <c r="AB456" s="48" t="n">
        <f aca="false">IF($A456="","",RANK(AF456,$AF$5:$AF$504,0)+COUNTIF($AF$5:AF456,AF456)-1)</f>
        <v>456</v>
      </c>
      <c r="AC456" s="44" t="str">
        <f aca="false">IF($A456="","",Weekly_Demand!B456)</f>
        <v>10 COLOUR SPACEBOY PEN</v>
      </c>
      <c r="AD456" s="59" t="n">
        <f aca="false">IF($A456="","",H456*SQRT(D456))</f>
        <v>224.968871652657</v>
      </c>
      <c r="AE456" s="53" t="n">
        <f aca="false">IF($A456="","",AD456*C456)</f>
        <v>114.734124542855</v>
      </c>
      <c r="AF456" s="53" t="n">
        <f aca="false">IF($A456="","",ROUND(J456,2))</f>
        <v>3186.99</v>
      </c>
    </row>
    <row r="457" customFormat="false" ht="15" hidden="false" customHeight="false" outlineLevel="0" collapsed="false">
      <c r="A457" s="44" t="str">
        <f aca="false">IF(Weekly_Demand!A457="","",Weekly_Demand!A457)</f>
        <v>22827</v>
      </c>
      <c r="B457" s="44" t="str">
        <f aca="false">IF($A457="","",Weekly_Demand!C457)</f>
        <v>Other</v>
      </c>
      <c r="C457" s="45" t="n">
        <f aca="false">IF($A457="","",Weekly_Demand!D457)</f>
        <v>99</v>
      </c>
      <c r="D457" s="46" t="n">
        <f aca="false">IF($A457="","",Weekly_Demand!E457+Assumptions!$B$19)</f>
        <v>8</v>
      </c>
      <c r="E457" s="46" t="n">
        <f aca="false">IF($A457="","",Weekly_Demand!F457)</f>
        <v>10</v>
      </c>
      <c r="F457" s="46" t="n">
        <f aca="false">IF($A457="","",SUM(Weekly_Demand!G457:BF457))</f>
        <v>34</v>
      </c>
      <c r="G457" s="51" t="n">
        <f aca="false">IF($A457="","",IFERROR(F457/Assumptions!$B$6,0))</f>
        <v>0.653846153846154</v>
      </c>
      <c r="H457" s="51" t="n">
        <f aca="false">IF($A457="","",STDEV(Weekly_Demand!G457:BF457))</f>
        <v>1.08256440979623</v>
      </c>
      <c r="I457" s="52" t="n">
        <f aca="false">IF($A457="","",IFERROR(H457/G457,0))</f>
        <v>1.65568674439424</v>
      </c>
      <c r="J457" s="53" t="n">
        <f aca="false">IF($A457="","",F457*C457)</f>
        <v>3366</v>
      </c>
      <c r="K457" s="54" t="n">
        <f aca="false">IF($A457="","",IFERROR(J457/$J$505,0))</f>
        <v>0.000870960464600307</v>
      </c>
      <c r="L457" s="54" t="n">
        <f aca="false">IF($A457="","",IFERROR(SUMIFS($J$5:$J$504,$AB$5:$AB$504,"&lt;="&amp;AB457)/$J$505,0))</f>
        <v>0.940184461322278</v>
      </c>
      <c r="M457" s="55" t="str">
        <f aca="false">IF($A457="","",IF(L457&lt;=Assumptions!$B$7,"A",IF(L457&lt;=Assumptions!$B$8,"B","C")))</f>
        <v>B</v>
      </c>
      <c r="N457" s="55" t="str">
        <f aca="false">IF($A457="","",IF(I457&lt;=Assumptions!$B$9,"X",IF(I457&lt;=Assumptions!$B$10,"Y","Z")))</f>
        <v>Z</v>
      </c>
      <c r="O457" s="56" t="str">
        <f aca="false">IF($A457="","",M457&amp;N457)</f>
        <v>BZ</v>
      </c>
      <c r="P457" s="57" t="n">
        <f aca="false">IF($A457="","",INDEX(Assumptions!$B$35:$B$37,MATCH(M457,Assumptions!$A$35:$A$37,0)))</f>
        <v>0.95</v>
      </c>
      <c r="Q457" s="58" t="n">
        <f aca="false">IF($A457="","",NORMSINV(P457))</f>
        <v>1.64485362695147</v>
      </c>
      <c r="R457" s="48" t="n">
        <f aca="false">IF($A457="","",ROUNDUP(Q457*H457*SQRT(D457),0))</f>
        <v>6</v>
      </c>
      <c r="S457" s="48" t="n">
        <f aca="false">IF($A457="","",ROUNDUP(G457*D457+R457,0))</f>
        <v>12</v>
      </c>
      <c r="T457" s="46" t="n">
        <f aca="false">IF($A457="","",IFERROR(ROUND(SQRT(2*F457*Assumptions!$B$4/(Assumptions!$B$5*C457)),0),0))</f>
        <v>12</v>
      </c>
      <c r="U457" s="53" t="n">
        <f aca="false">IF($A457="","",R457*C457)</f>
        <v>594</v>
      </c>
      <c r="V457" s="53" t="n">
        <f aca="false">IF($A457="","",E457*C457)</f>
        <v>990</v>
      </c>
      <c r="W457" s="59" t="n">
        <f aca="false">IF($A457="","",IFERROR(E457/G457,0))</f>
        <v>15.2941176470588</v>
      </c>
      <c r="X457" s="48" t="n">
        <f aca="false">IF($A457="","",S457+T457)</f>
        <v>24</v>
      </c>
      <c r="Y457" s="48" t="n">
        <f aca="false">IF($A457="","",MAX(0,E457-X457))</f>
        <v>0</v>
      </c>
      <c r="Z457" s="53" t="n">
        <f aca="false">IF($A457="","",Y457*C457)</f>
        <v>0</v>
      </c>
      <c r="AA457" s="56" t="str">
        <f aca="false">IF($A457="","",IF(E457&lt;=R457,"Below Safety Stock",IF(E457&lt;=S457,"Reorder Now",IF(E457&gt;X457,"Excess","Healthy"))))</f>
        <v>Reorder Now</v>
      </c>
      <c r="AB457" s="48" t="n">
        <f aca="false">IF($A457="","",RANK(AF457,$AF$5:$AF$504,0)+COUNTIF($AF$5:AF457,AF457)-1)</f>
        <v>425</v>
      </c>
      <c r="AC457" s="44" t="str">
        <f aca="false">IF($A457="","",Weekly_Demand!B457)</f>
        <v>RUSTIC  SEVENTEEN DRAWER SIDEBOARD</v>
      </c>
      <c r="AD457" s="59" t="n">
        <f aca="false">IF($A457="","",H457*SQRT(D457))</f>
        <v>3.06195454095252</v>
      </c>
      <c r="AE457" s="53" t="n">
        <f aca="false">IF($A457="","",AD457*C457)</f>
        <v>303.133499554299</v>
      </c>
      <c r="AF457" s="53" t="n">
        <f aca="false">IF($A457="","",ROUND(J457,2))</f>
        <v>3366</v>
      </c>
    </row>
    <row r="458" customFormat="false" ht="15" hidden="false" customHeight="false" outlineLevel="0" collapsed="false">
      <c r="A458" s="44" t="str">
        <f aca="false">IF(Weekly_Demand!A458="","",Weekly_Demand!A458)</f>
        <v>23526</v>
      </c>
      <c r="B458" s="44" t="str">
        <f aca="false">IF($A458="","",Weekly_Demand!C458)</f>
        <v>Other</v>
      </c>
      <c r="C458" s="45" t="n">
        <f aca="false">IF($A458="","",Weekly_Demand!D458)</f>
        <v>3.57</v>
      </c>
      <c r="D458" s="46" t="n">
        <f aca="false">IF($A458="","",Weekly_Demand!E458+Assumptions!$B$19)</f>
        <v>6</v>
      </c>
      <c r="E458" s="46" t="n">
        <f aca="false">IF($A458="","",Weekly_Demand!F458)</f>
        <v>33</v>
      </c>
      <c r="F458" s="46" t="n">
        <f aca="false">IF($A458="","",SUM(Weekly_Demand!G458:BF458))</f>
        <v>856</v>
      </c>
      <c r="G458" s="51" t="n">
        <f aca="false">IF($A458="","",IFERROR(F458/Assumptions!$B$6,0))</f>
        <v>16.4615384615385</v>
      </c>
      <c r="H458" s="51" t="n">
        <f aca="false">IF($A458="","",STDEV(Weekly_Demand!G458:BF458))</f>
        <v>57.1329586341597</v>
      </c>
      <c r="I458" s="52" t="n">
        <f aca="false">IF($A458="","",IFERROR(H458/G458,0))</f>
        <v>3.4706937488041</v>
      </c>
      <c r="J458" s="53" t="n">
        <f aca="false">IF($A458="","",F458*C458)</f>
        <v>3055.92</v>
      </c>
      <c r="K458" s="54" t="n">
        <f aca="false">IF($A458="","",IFERROR(J458/$J$505,0))</f>
        <v>0.000790726530891672</v>
      </c>
      <c r="L458" s="54" t="n">
        <f aca="false">IF($A458="","",IFERROR(SUMIFS($J$5:$J$504,$AB$5:$AB$504,"&lt;="&amp;AB458)/$J$505,0))</f>
        <v>0.97521285175351</v>
      </c>
      <c r="M458" s="55" t="str">
        <f aca="false">IF($A458="","",IF(L458&lt;=Assumptions!$B$7,"A",IF(L458&lt;=Assumptions!$B$8,"B","C")))</f>
        <v>C</v>
      </c>
      <c r="N458" s="55" t="str">
        <f aca="false">IF($A458="","",IF(I458&lt;=Assumptions!$B$9,"X",IF(I458&lt;=Assumptions!$B$10,"Y","Z")))</f>
        <v>Z</v>
      </c>
      <c r="O458" s="56" t="str">
        <f aca="false">IF($A458="","",M458&amp;N458)</f>
        <v>CZ</v>
      </c>
      <c r="P458" s="57" t="n">
        <f aca="false">IF($A458="","",INDEX(Assumptions!$B$35:$B$37,MATCH(M458,Assumptions!$A$35:$A$37,0)))</f>
        <v>0.9</v>
      </c>
      <c r="Q458" s="58" t="n">
        <f aca="false">IF($A458="","",NORMSINV(P458))</f>
        <v>1.2815515655446</v>
      </c>
      <c r="R458" s="48" t="n">
        <f aca="false">IF($A458="","",ROUNDUP(Q458*H458*SQRT(D458),0))</f>
        <v>180</v>
      </c>
      <c r="S458" s="48" t="n">
        <f aca="false">IF($A458="","",ROUNDUP(G458*D458+R458,0))</f>
        <v>279</v>
      </c>
      <c r="T458" s="46" t="n">
        <f aca="false">IF($A458="","",IFERROR(ROUND(SQRT(2*F458*Assumptions!$B$4/(Assumptions!$B$5*C458)),0),0))</f>
        <v>310</v>
      </c>
      <c r="U458" s="53" t="n">
        <f aca="false">IF($A458="","",R458*C458)</f>
        <v>642.6</v>
      </c>
      <c r="V458" s="53" t="n">
        <f aca="false">IF($A458="","",E458*C458)</f>
        <v>117.81</v>
      </c>
      <c r="W458" s="59" t="n">
        <f aca="false">IF($A458="","",IFERROR(E458/G458,0))</f>
        <v>2.00467289719626</v>
      </c>
      <c r="X458" s="48" t="n">
        <f aca="false">IF($A458="","",S458+T458)</f>
        <v>589</v>
      </c>
      <c r="Y458" s="48" t="n">
        <f aca="false">IF($A458="","",MAX(0,E458-X458))</f>
        <v>0</v>
      </c>
      <c r="Z458" s="53" t="n">
        <f aca="false">IF($A458="","",Y458*C458)</f>
        <v>0</v>
      </c>
      <c r="AA458" s="56" t="str">
        <f aca="false">IF($A458="","",IF(E458&lt;=R458,"Below Safety Stock",IF(E458&lt;=S458,"Reorder Now",IF(E458&gt;X458,"Excess","Healthy"))))</f>
        <v>Below Safety Stock</v>
      </c>
      <c r="AB458" s="48" t="n">
        <f aca="false">IF($A458="","",RANK(AF458,$AF$5:$AF$504,0)+COUNTIF($AF$5:AF458,AF458)-1)</f>
        <v>467</v>
      </c>
      <c r="AC458" s="44" t="str">
        <f aca="false">IF($A458="","",Weekly_Demand!B458)</f>
        <v>WALL ART DOG LICENCE</v>
      </c>
      <c r="AD458" s="59" t="n">
        <f aca="false">IF($A458="","",H458*SQRT(D458))</f>
        <v>139.94659614923</v>
      </c>
      <c r="AE458" s="53" t="n">
        <f aca="false">IF($A458="","",AD458*C458)</f>
        <v>499.609348252751</v>
      </c>
      <c r="AF458" s="53" t="n">
        <f aca="false">IF($A458="","",ROUND(J458,2))</f>
        <v>3055.92</v>
      </c>
    </row>
    <row r="459" customFormat="false" ht="15" hidden="false" customHeight="false" outlineLevel="0" collapsed="false">
      <c r="A459" s="44" t="str">
        <f aca="false">IF(Weekly_Demand!A459="","",Weekly_Demand!A459)</f>
        <v>22998</v>
      </c>
      <c r="B459" s="44" t="str">
        <f aca="false">IF($A459="","",Weekly_Demand!C459)</f>
        <v>Cards/Gifts</v>
      </c>
      <c r="C459" s="45" t="n">
        <f aca="false">IF($A459="","",Weekly_Demand!D459)</f>
        <v>0.252</v>
      </c>
      <c r="D459" s="46" t="n">
        <f aca="false">IF($A459="","",Weekly_Demand!E459+Assumptions!$B$19)</f>
        <v>6</v>
      </c>
      <c r="E459" s="46" t="n">
        <f aca="false">IF($A459="","",Weekly_Demand!F459)</f>
        <v>6166</v>
      </c>
      <c r="F459" s="46" t="n">
        <f aca="false">IF($A459="","",SUM(Weekly_Demand!G459:BF459))</f>
        <v>12332</v>
      </c>
      <c r="G459" s="51" t="n">
        <f aca="false">IF($A459="","",IFERROR(F459/Assumptions!$B$6,0))</f>
        <v>237.153846153846</v>
      </c>
      <c r="H459" s="51" t="n">
        <f aca="false">IF($A459="","",STDEV(Weekly_Demand!G459:BF459))</f>
        <v>231.774432653768</v>
      </c>
      <c r="I459" s="52" t="n">
        <f aca="false">IF($A459="","",IFERROR(H459/G459,0))</f>
        <v>0.977316777326948</v>
      </c>
      <c r="J459" s="53" t="n">
        <f aca="false">IF($A459="","",F459*C459)</f>
        <v>3107.664</v>
      </c>
      <c r="K459" s="54" t="n">
        <f aca="false">IF($A459="","",IFERROR(J459/$J$505,0))</f>
        <v>0.000804115413327881</v>
      </c>
      <c r="L459" s="54" t="n">
        <f aca="false">IF($A459="","",IFERROR(SUMIFS($J$5:$J$504,$AB$5:$AB$504,"&lt;="&amp;AB459)/$J$505,0))</f>
        <v>0.972828601362953</v>
      </c>
      <c r="M459" s="55" t="str">
        <f aca="false">IF($A459="","",IF(L459&lt;=Assumptions!$B$7,"A",IF(L459&lt;=Assumptions!$B$8,"B","C")))</f>
        <v>C</v>
      </c>
      <c r="N459" s="55" t="str">
        <f aca="false">IF($A459="","",IF(I459&lt;=Assumptions!$B$9,"X",IF(I459&lt;=Assumptions!$B$10,"Y","Z")))</f>
        <v>Y</v>
      </c>
      <c r="O459" s="56" t="str">
        <f aca="false">IF($A459="","",M459&amp;N459)</f>
        <v>CY</v>
      </c>
      <c r="P459" s="57" t="n">
        <f aca="false">IF($A459="","",INDEX(Assumptions!$B$35:$B$37,MATCH(M459,Assumptions!$A$35:$A$37,0)))</f>
        <v>0.9</v>
      </c>
      <c r="Q459" s="58" t="n">
        <f aca="false">IF($A459="","",NORMSINV(P459))</f>
        <v>1.2815515655446</v>
      </c>
      <c r="R459" s="48" t="n">
        <f aca="false">IF($A459="","",ROUNDUP(Q459*H459*SQRT(D459),0))</f>
        <v>728</v>
      </c>
      <c r="S459" s="48" t="n">
        <f aca="false">IF($A459="","",ROUNDUP(G459*D459+R459,0))</f>
        <v>2151</v>
      </c>
      <c r="T459" s="46" t="n">
        <f aca="false">IF($A459="","",IFERROR(ROUND(SQRT(2*F459*Assumptions!$B$4/(Assumptions!$B$5*C459)),0),0))</f>
        <v>4424</v>
      </c>
      <c r="U459" s="53" t="n">
        <f aca="false">IF($A459="","",R459*C459)</f>
        <v>183.456</v>
      </c>
      <c r="V459" s="53" t="n">
        <f aca="false">IF($A459="","",E459*C459)</f>
        <v>1553.832</v>
      </c>
      <c r="W459" s="59" t="n">
        <f aca="false">IF($A459="","",IFERROR(E459/G459,0))</f>
        <v>26</v>
      </c>
      <c r="X459" s="48" t="n">
        <f aca="false">IF($A459="","",S459+T459)</f>
        <v>6575</v>
      </c>
      <c r="Y459" s="48" t="n">
        <f aca="false">IF($A459="","",MAX(0,E459-X459))</f>
        <v>0</v>
      </c>
      <c r="Z459" s="53" t="n">
        <f aca="false">IF($A459="","",Y459*C459)</f>
        <v>0</v>
      </c>
      <c r="AA459" s="56" t="str">
        <f aca="false">IF($A459="","",IF(E459&lt;=R459,"Below Safety Stock",IF(E459&lt;=S459,"Reorder Now",IF(E459&gt;X459,"Excess","Healthy"))))</f>
        <v>Healthy</v>
      </c>
      <c r="AB459" s="48" t="n">
        <f aca="false">IF($A459="","",RANK(AF459,$AF$5:$AF$504,0)+COUNTIF($AF$5:AF459,AF459)-1)</f>
        <v>464</v>
      </c>
      <c r="AC459" s="44" t="str">
        <f aca="false">IF($A459="","",Weekly_Demand!B459)</f>
        <v>TRAVEL CARD WALLET KEEP CALM</v>
      </c>
      <c r="AD459" s="59" t="n">
        <f aca="false">IF($A459="","",H459*SQRT(D459))</f>
        <v>567.729095424794</v>
      </c>
      <c r="AE459" s="53" t="n">
        <f aca="false">IF($A459="","",AD459*C459)</f>
        <v>143.067732047048</v>
      </c>
      <c r="AF459" s="53" t="n">
        <f aca="false">IF($A459="","",ROUND(J459,2))</f>
        <v>3107.66</v>
      </c>
    </row>
    <row r="460" customFormat="false" ht="15" hidden="false" customHeight="false" outlineLevel="0" collapsed="false">
      <c r="A460" s="44" t="str">
        <f aca="false">IF(Weekly_Demand!A460="","",Weekly_Demand!A460)</f>
        <v>21172</v>
      </c>
      <c r="B460" s="44" t="str">
        <f aca="false">IF($A460="","",Weekly_Demand!C460)</f>
        <v>Other</v>
      </c>
      <c r="C460" s="45" t="n">
        <f aca="false">IF($A460="","",Weekly_Demand!D460)</f>
        <v>0.87</v>
      </c>
      <c r="D460" s="46" t="n">
        <f aca="false">IF($A460="","",Weekly_Demand!E460+Assumptions!$B$19)</f>
        <v>2</v>
      </c>
      <c r="E460" s="46" t="n">
        <f aca="false">IF($A460="","",Weekly_Demand!F460)</f>
        <v>263</v>
      </c>
      <c r="F460" s="46" t="n">
        <f aca="false">IF($A460="","",SUM(Weekly_Demand!G460:BF460))</f>
        <v>3416</v>
      </c>
      <c r="G460" s="51" t="n">
        <f aca="false">IF($A460="","",IFERROR(F460/Assumptions!$B$6,0))</f>
        <v>65.6923076923077</v>
      </c>
      <c r="H460" s="51" t="n">
        <f aca="false">IF($A460="","",STDEV(Weekly_Demand!G460:BF460))</f>
        <v>57.0330273979734</v>
      </c>
      <c r="I460" s="52" t="n">
        <f aca="false">IF($A460="","",IFERROR(H460/G460,0))</f>
        <v>0.868184257814583</v>
      </c>
      <c r="J460" s="53" t="n">
        <f aca="false">IF($A460="","",F460*C460)</f>
        <v>2971.92</v>
      </c>
      <c r="K460" s="54" t="n">
        <f aca="false">IF($A460="","",IFERROR(J460/$J$505,0))</f>
        <v>0.000768991332131593</v>
      </c>
      <c r="L460" s="54" t="n">
        <f aca="false">IF($A460="","",IFERROR(SUMIFS($J$5:$J$504,$AB$5:$AB$504,"&lt;="&amp;AB460)/$J$505,0))</f>
        <v>0.984573588616369</v>
      </c>
      <c r="M460" s="55" t="str">
        <f aca="false">IF($A460="","",IF(L460&lt;=Assumptions!$B$7,"A",IF(L460&lt;=Assumptions!$B$8,"B","C")))</f>
        <v>C</v>
      </c>
      <c r="N460" s="55" t="str">
        <f aca="false">IF($A460="","",IF(I460&lt;=Assumptions!$B$9,"X",IF(I460&lt;=Assumptions!$B$10,"Y","Z")))</f>
        <v>Y</v>
      </c>
      <c r="O460" s="56" t="str">
        <f aca="false">IF($A460="","",M460&amp;N460)</f>
        <v>CY</v>
      </c>
      <c r="P460" s="57" t="n">
        <f aca="false">IF($A460="","",INDEX(Assumptions!$B$35:$B$37,MATCH(M460,Assumptions!$A$35:$A$37,0)))</f>
        <v>0.9</v>
      </c>
      <c r="Q460" s="58" t="n">
        <f aca="false">IF($A460="","",NORMSINV(P460))</f>
        <v>1.2815515655446</v>
      </c>
      <c r="R460" s="48" t="n">
        <f aca="false">IF($A460="","",ROUNDUP(Q460*H460*SQRT(D460),0))</f>
        <v>104</v>
      </c>
      <c r="S460" s="48" t="n">
        <f aca="false">IF($A460="","",ROUNDUP(G460*D460+R460,0))</f>
        <v>236</v>
      </c>
      <c r="T460" s="46" t="n">
        <f aca="false">IF($A460="","",IFERROR(ROUND(SQRT(2*F460*Assumptions!$B$4/(Assumptions!$B$5*C460)),0),0))</f>
        <v>1253</v>
      </c>
      <c r="U460" s="53" t="n">
        <f aca="false">IF($A460="","",R460*C460)</f>
        <v>90.48</v>
      </c>
      <c r="V460" s="53" t="n">
        <f aca="false">IF($A460="","",E460*C460)</f>
        <v>228.81</v>
      </c>
      <c r="W460" s="59" t="n">
        <f aca="false">IF($A460="","",IFERROR(E460/G460,0))</f>
        <v>4.00351288056206</v>
      </c>
      <c r="X460" s="48" t="n">
        <f aca="false">IF($A460="","",S460+T460)</f>
        <v>1489</v>
      </c>
      <c r="Y460" s="48" t="n">
        <f aca="false">IF($A460="","",MAX(0,E460-X460))</f>
        <v>0</v>
      </c>
      <c r="Z460" s="53" t="n">
        <f aca="false">IF($A460="","",Y460*C460)</f>
        <v>0</v>
      </c>
      <c r="AA460" s="56" t="str">
        <f aca="false">IF($A460="","",IF(E460&lt;=R460,"Below Safety Stock",IF(E460&lt;=S460,"Reorder Now",IF(E460&gt;X460,"Excess","Healthy"))))</f>
        <v>Healthy</v>
      </c>
      <c r="AB460" s="48" t="n">
        <f aca="false">IF($A460="","",RANK(AF460,$AF$5:$AF$504,0)+COUNTIF($AF$5:AF460,AF460)-1)</f>
        <v>479</v>
      </c>
      <c r="AC460" s="44" t="str">
        <f aca="false">IF($A460="","",Weekly_Demand!B460)</f>
        <v>PARTY METAL SIGN</v>
      </c>
      <c r="AD460" s="59" t="n">
        <f aca="false">IF($A460="","",H460*SQRT(D460))</f>
        <v>80.6568808494102</v>
      </c>
      <c r="AE460" s="53" t="n">
        <f aca="false">IF($A460="","",AD460*C460)</f>
        <v>70.1714863389869</v>
      </c>
      <c r="AF460" s="53" t="n">
        <f aca="false">IF($A460="","",ROUND(J460,2))</f>
        <v>2971.92</v>
      </c>
    </row>
    <row r="461" customFormat="false" ht="15" hidden="false" customHeight="false" outlineLevel="0" collapsed="false">
      <c r="A461" s="44" t="str">
        <f aca="false">IF(Weekly_Demand!A461="","",Weekly_Demand!A461)</f>
        <v>22207</v>
      </c>
      <c r="B461" s="44" t="str">
        <f aca="false">IF($A461="","",Weekly_Demand!C461)</f>
        <v>Other</v>
      </c>
      <c r="C461" s="45" t="n">
        <f aca="false">IF($A461="","",Weekly_Demand!D461)</f>
        <v>2.55</v>
      </c>
      <c r="D461" s="46" t="n">
        <f aca="false">IF($A461="","",Weekly_Demand!E461+Assumptions!$B$19)</f>
        <v>8</v>
      </c>
      <c r="E461" s="46" t="n">
        <f aca="false">IF($A461="","",Weekly_Demand!F461)</f>
        <v>68</v>
      </c>
      <c r="F461" s="46" t="n">
        <f aca="false">IF($A461="","",SUM(Weekly_Demand!G461:BF461))</f>
        <v>1186</v>
      </c>
      <c r="G461" s="51" t="n">
        <f aca="false">IF($A461="","",IFERROR(F461/Assumptions!$B$6,0))</f>
        <v>22.8076923076923</v>
      </c>
      <c r="H461" s="51" t="n">
        <f aca="false">IF($A461="","",STDEV(Weekly_Demand!G461:BF461))</f>
        <v>28.1202170392556</v>
      </c>
      <c r="I461" s="52" t="n">
        <f aca="false">IF($A461="","",IFERROR(H461/G461,0))</f>
        <v>1.23292688536365</v>
      </c>
      <c r="J461" s="53" t="n">
        <f aca="false">IF($A461="","",F461*C461)</f>
        <v>3024.3</v>
      </c>
      <c r="K461" s="54" t="n">
        <f aca="false">IF($A461="","",IFERROR(J461/$J$505,0))</f>
        <v>0.0007825447810727</v>
      </c>
      <c r="L461" s="54" t="n">
        <f aca="false">IF($A461="","",IFERROR(SUMIFS($J$5:$J$504,$AB$5:$AB$504,"&lt;="&amp;AB461)/$J$505,0))</f>
        <v>0.979930026415269</v>
      </c>
      <c r="M461" s="55" t="str">
        <f aca="false">IF($A461="","",IF(L461&lt;=Assumptions!$B$7,"A",IF(L461&lt;=Assumptions!$B$8,"B","C")))</f>
        <v>C</v>
      </c>
      <c r="N461" s="55" t="str">
        <f aca="false">IF($A461="","",IF(I461&lt;=Assumptions!$B$9,"X",IF(I461&lt;=Assumptions!$B$10,"Y","Z")))</f>
        <v>Z</v>
      </c>
      <c r="O461" s="56" t="str">
        <f aca="false">IF($A461="","",M461&amp;N461)</f>
        <v>CZ</v>
      </c>
      <c r="P461" s="57" t="n">
        <f aca="false">IF($A461="","",INDEX(Assumptions!$B$35:$B$37,MATCH(M461,Assumptions!$A$35:$A$37,0)))</f>
        <v>0.9</v>
      </c>
      <c r="Q461" s="58" t="n">
        <f aca="false">IF($A461="","",NORMSINV(P461))</f>
        <v>1.2815515655446</v>
      </c>
      <c r="R461" s="48" t="n">
        <f aca="false">IF($A461="","",ROUNDUP(Q461*H461*SQRT(D461),0))</f>
        <v>102</v>
      </c>
      <c r="S461" s="48" t="n">
        <f aca="false">IF($A461="","",ROUNDUP(G461*D461+R461,0))</f>
        <v>285</v>
      </c>
      <c r="T461" s="46" t="n">
        <f aca="false">IF($A461="","",IFERROR(ROUND(SQRT(2*F461*Assumptions!$B$4/(Assumptions!$B$5*C461)),0),0))</f>
        <v>431</v>
      </c>
      <c r="U461" s="53" t="n">
        <f aca="false">IF($A461="","",R461*C461)</f>
        <v>260.1</v>
      </c>
      <c r="V461" s="53" t="n">
        <f aca="false">IF($A461="","",E461*C461)</f>
        <v>173.4</v>
      </c>
      <c r="W461" s="59" t="n">
        <f aca="false">IF($A461="","",IFERROR(E461/G461,0))</f>
        <v>2.9814502529511</v>
      </c>
      <c r="X461" s="48" t="n">
        <f aca="false">IF($A461="","",S461+T461)</f>
        <v>716</v>
      </c>
      <c r="Y461" s="48" t="n">
        <f aca="false">IF($A461="","",MAX(0,E461-X461))</f>
        <v>0</v>
      </c>
      <c r="Z461" s="53" t="n">
        <f aca="false">IF($A461="","",Y461*C461)</f>
        <v>0</v>
      </c>
      <c r="AA461" s="56" t="str">
        <f aca="false">IF($A461="","",IF(E461&lt;=R461,"Below Safety Stock",IF(E461&lt;=S461,"Reorder Now",IF(E461&gt;X461,"Excess","Healthy"))))</f>
        <v>Below Safety Stock</v>
      </c>
      <c r="AB461" s="48" t="n">
        <f aca="false">IF($A461="","",RANK(AF461,$AF$5:$AF$504,0)+COUNTIF($AF$5:AF461,AF461)-1)</f>
        <v>473</v>
      </c>
      <c r="AC461" s="44" t="str">
        <f aca="false">IF($A461="","",Weekly_Demand!B461)</f>
        <v>FRYING PAN UNION FLAG</v>
      </c>
      <c r="AD461" s="59" t="n">
        <f aca="false">IF($A461="","",H461*SQRT(D461))</f>
        <v>79.5359846275806</v>
      </c>
      <c r="AE461" s="53" t="n">
        <f aca="false">IF($A461="","",AD461*C461)</f>
        <v>202.81676080033</v>
      </c>
      <c r="AF461" s="53" t="n">
        <f aca="false">IF($A461="","",ROUND(J461,2))</f>
        <v>3024.3</v>
      </c>
    </row>
    <row r="462" customFormat="false" ht="15" hidden="false" customHeight="false" outlineLevel="0" collapsed="false">
      <c r="A462" s="44" t="str">
        <f aca="false">IF(Weekly_Demand!A462="","",Weekly_Demand!A462)</f>
        <v>22845</v>
      </c>
      <c r="B462" s="44" t="str">
        <f aca="false">IF($A462="","",Weekly_Demand!C462)</f>
        <v>Other</v>
      </c>
      <c r="C462" s="45" t="n">
        <f aca="false">IF($A462="","",Weekly_Demand!D462)</f>
        <v>3.81</v>
      </c>
      <c r="D462" s="46" t="n">
        <f aca="false">IF($A462="","",Weekly_Demand!E462+Assumptions!$B$19)</f>
        <v>4</v>
      </c>
      <c r="E462" s="46" t="n">
        <f aca="false">IF($A462="","",Weekly_Demand!F462)</f>
        <v>223</v>
      </c>
      <c r="F462" s="46" t="n">
        <f aca="false">IF($A462="","",SUM(Weekly_Demand!G462:BF462))</f>
        <v>774</v>
      </c>
      <c r="G462" s="51" t="n">
        <f aca="false">IF($A462="","",IFERROR(F462/Assumptions!$B$6,0))</f>
        <v>14.8846153846154</v>
      </c>
      <c r="H462" s="51" t="n">
        <f aca="false">IF($A462="","",STDEV(Weekly_Demand!G462:BF462))</f>
        <v>13.1501939837386</v>
      </c>
      <c r="I462" s="52" t="n">
        <f aca="false">IF($A462="","",IFERROR(H462/G462,0))</f>
        <v>0.883475564798975</v>
      </c>
      <c r="J462" s="53" t="n">
        <f aca="false">IF($A462="","",F462*C462)</f>
        <v>2948.94</v>
      </c>
      <c r="K462" s="54" t="n">
        <f aca="false">IF($A462="","",IFERROR(J462/$J$505,0))</f>
        <v>0.000763045202756514</v>
      </c>
      <c r="L462" s="54" t="n">
        <f aca="false">IF($A462="","",IFERROR(SUMIFS($J$5:$J$504,$AB$5:$AB$504,"&lt;="&amp;AB462)/$J$505,0))</f>
        <v>0.987636986342469</v>
      </c>
      <c r="M462" s="55" t="str">
        <f aca="false">IF($A462="","",IF(L462&lt;=Assumptions!$B$7,"A",IF(L462&lt;=Assumptions!$B$8,"B","C")))</f>
        <v>C</v>
      </c>
      <c r="N462" s="55" t="str">
        <f aca="false">IF($A462="","",IF(I462&lt;=Assumptions!$B$9,"X",IF(I462&lt;=Assumptions!$B$10,"Y","Z")))</f>
        <v>Y</v>
      </c>
      <c r="O462" s="56" t="str">
        <f aca="false">IF($A462="","",M462&amp;N462)</f>
        <v>CY</v>
      </c>
      <c r="P462" s="57" t="n">
        <f aca="false">IF($A462="","",INDEX(Assumptions!$B$35:$B$37,MATCH(M462,Assumptions!$A$35:$A$37,0)))</f>
        <v>0.9</v>
      </c>
      <c r="Q462" s="58" t="n">
        <f aca="false">IF($A462="","",NORMSINV(P462))</f>
        <v>1.2815515655446</v>
      </c>
      <c r="R462" s="48" t="n">
        <f aca="false">IF($A462="","",ROUNDUP(Q462*H462*SQRT(D462),0))</f>
        <v>34</v>
      </c>
      <c r="S462" s="48" t="n">
        <f aca="false">IF($A462="","",ROUNDUP(G462*D462+R462,0))</f>
        <v>94</v>
      </c>
      <c r="T462" s="46" t="n">
        <f aca="false">IF($A462="","",IFERROR(ROUND(SQRT(2*F462*Assumptions!$B$4/(Assumptions!$B$5*C462)),0),0))</f>
        <v>285</v>
      </c>
      <c r="U462" s="53" t="n">
        <f aca="false">IF($A462="","",R462*C462)</f>
        <v>129.54</v>
      </c>
      <c r="V462" s="53" t="n">
        <f aca="false">IF($A462="","",E462*C462)</f>
        <v>849.63</v>
      </c>
      <c r="W462" s="59" t="n">
        <f aca="false">IF($A462="","",IFERROR(E462/G462,0))</f>
        <v>14.9819121447028</v>
      </c>
      <c r="X462" s="48" t="n">
        <f aca="false">IF($A462="","",S462+T462)</f>
        <v>379</v>
      </c>
      <c r="Y462" s="48" t="n">
        <f aca="false">IF($A462="","",MAX(0,E462-X462))</f>
        <v>0</v>
      </c>
      <c r="Z462" s="53" t="n">
        <f aca="false">IF($A462="","",Y462*C462)</f>
        <v>0</v>
      </c>
      <c r="AA462" s="56" t="str">
        <f aca="false">IF($A462="","",IF(E462&lt;=R462,"Below Safety Stock",IF(E462&lt;=S462,"Reorder Now",IF(E462&gt;X462,"Excess","Healthy"))))</f>
        <v>Healthy</v>
      </c>
      <c r="AB462" s="48" t="n">
        <f aca="false">IF($A462="","",RANK(AF462,$AF$5:$AF$504,0)+COUNTIF($AF$5:AF462,AF462)-1)</f>
        <v>483</v>
      </c>
      <c r="AC462" s="44" t="str">
        <f aca="false">IF($A462="","",Weekly_Demand!B462)</f>
        <v>VINTAGE CREAM CAT FOOD CONTAINER</v>
      </c>
      <c r="AD462" s="59" t="n">
        <f aca="false">IF($A462="","",H462*SQRT(D462))</f>
        <v>26.3003879674772</v>
      </c>
      <c r="AE462" s="53" t="n">
        <f aca="false">IF($A462="","",AD462*C462)</f>
        <v>100.204478156088</v>
      </c>
      <c r="AF462" s="53" t="n">
        <f aca="false">IF($A462="","",ROUND(J462,2))</f>
        <v>2948.94</v>
      </c>
    </row>
    <row r="463" customFormat="false" ht="15" hidden="false" customHeight="false" outlineLevel="0" collapsed="false">
      <c r="A463" s="44" t="str">
        <f aca="false">IF(Weekly_Demand!A463="","",Weekly_Demand!A463)</f>
        <v>22646</v>
      </c>
      <c r="B463" s="44" t="str">
        <f aca="false">IF($A463="","",Weekly_Demand!C463)</f>
        <v>Kitchen</v>
      </c>
      <c r="C463" s="45" t="n">
        <f aca="false">IF($A463="","",Weekly_Demand!D463)</f>
        <v>0.87</v>
      </c>
      <c r="D463" s="46" t="n">
        <f aca="false">IF($A463="","",Weekly_Demand!E463+Assumptions!$B$19)</f>
        <v>6</v>
      </c>
      <c r="E463" s="46" t="n">
        <f aca="false">IF($A463="","",Weekly_Demand!F463)</f>
        <v>528</v>
      </c>
      <c r="F463" s="46" t="n">
        <f aca="false">IF($A463="","",SUM(Weekly_Demand!G463:BF463))</f>
        <v>3434</v>
      </c>
      <c r="G463" s="51" t="n">
        <f aca="false">IF($A463="","",IFERROR(F463/Assumptions!$B$6,0))</f>
        <v>66.0384615384615</v>
      </c>
      <c r="H463" s="51" t="n">
        <f aca="false">IF($A463="","",STDEV(Weekly_Demand!G463:BF463))</f>
        <v>73.1828120660887</v>
      </c>
      <c r="I463" s="52" t="n">
        <f aca="false">IF($A463="","",IFERROR(H463/G463,0))</f>
        <v>1.1081846905756</v>
      </c>
      <c r="J463" s="53" t="n">
        <f aca="false">IF($A463="","",F463*C463)</f>
        <v>2987.58</v>
      </c>
      <c r="K463" s="54" t="n">
        <f aca="false">IF($A463="","",IFERROR(J463/$J$505,0))</f>
        <v>0.000773043394186151</v>
      </c>
      <c r="L463" s="54" t="n">
        <f aca="false">IF($A463="","",IFERROR(SUMIFS($J$5:$J$504,$AB$5:$AB$504,"&lt;="&amp;AB463)/$J$505,0))</f>
        <v>0.982262008310351</v>
      </c>
      <c r="M463" s="55" t="str">
        <f aca="false">IF($A463="","",IF(L463&lt;=Assumptions!$B$7,"A",IF(L463&lt;=Assumptions!$B$8,"B","C")))</f>
        <v>C</v>
      </c>
      <c r="N463" s="55" t="str">
        <f aca="false">IF($A463="","",IF(I463&lt;=Assumptions!$B$9,"X",IF(I463&lt;=Assumptions!$B$10,"Y","Z")))</f>
        <v>Z</v>
      </c>
      <c r="O463" s="56" t="str">
        <f aca="false">IF($A463="","",M463&amp;N463)</f>
        <v>CZ</v>
      </c>
      <c r="P463" s="57" t="n">
        <f aca="false">IF($A463="","",INDEX(Assumptions!$B$35:$B$37,MATCH(M463,Assumptions!$A$35:$A$37,0)))</f>
        <v>0.9</v>
      </c>
      <c r="Q463" s="58" t="n">
        <f aca="false">IF($A463="","",NORMSINV(P463))</f>
        <v>1.2815515655446</v>
      </c>
      <c r="R463" s="48" t="n">
        <f aca="false">IF($A463="","",ROUNDUP(Q463*H463*SQRT(D463),0))</f>
        <v>230</v>
      </c>
      <c r="S463" s="48" t="n">
        <f aca="false">IF($A463="","",ROUNDUP(G463*D463+R463,0))</f>
        <v>627</v>
      </c>
      <c r="T463" s="46" t="n">
        <f aca="false">IF($A463="","",IFERROR(ROUND(SQRT(2*F463*Assumptions!$B$4/(Assumptions!$B$5*C463)),0),0))</f>
        <v>1257</v>
      </c>
      <c r="U463" s="53" t="n">
        <f aca="false">IF($A463="","",R463*C463)</f>
        <v>200.1</v>
      </c>
      <c r="V463" s="53" t="n">
        <f aca="false">IF($A463="","",E463*C463)</f>
        <v>459.36</v>
      </c>
      <c r="W463" s="59" t="n">
        <f aca="false">IF($A463="","",IFERROR(E463/G463,0))</f>
        <v>7.99534071054164</v>
      </c>
      <c r="X463" s="48" t="n">
        <f aca="false">IF($A463="","",S463+T463)</f>
        <v>1884</v>
      </c>
      <c r="Y463" s="48" t="n">
        <f aca="false">IF($A463="","",MAX(0,E463-X463))</f>
        <v>0</v>
      </c>
      <c r="Z463" s="53" t="n">
        <f aca="false">IF($A463="","",Y463*C463)</f>
        <v>0</v>
      </c>
      <c r="AA463" s="56" t="str">
        <f aca="false">IF($A463="","",IF(E463&lt;=R463,"Below Safety Stock",IF(E463&lt;=S463,"Reorder Now",IF(E463&gt;X463,"Excess","Healthy"))))</f>
        <v>Reorder Now</v>
      </c>
      <c r="AB463" s="48" t="n">
        <f aca="false">IF($A463="","",RANK(AF463,$AF$5:$AF$504,0)+COUNTIF($AF$5:AF463,AF463)-1)</f>
        <v>476</v>
      </c>
      <c r="AC463" s="44" t="str">
        <f aca="false">IF($A463="","",Weekly_Demand!B463)</f>
        <v>CERAMIC STRAWBERRY CAKE MONEY BANK</v>
      </c>
      <c r="AD463" s="59" t="n">
        <f aca="false">IF($A463="","",H463*SQRT(D463))</f>
        <v>179.260547503913</v>
      </c>
      <c r="AE463" s="53" t="n">
        <f aca="false">IF($A463="","",AD463*C463)</f>
        <v>155.956676328404</v>
      </c>
      <c r="AF463" s="53" t="n">
        <f aca="false">IF($A463="","",ROUND(J463,2))</f>
        <v>2987.58</v>
      </c>
    </row>
    <row r="464" customFormat="false" ht="15" hidden="false" customHeight="false" outlineLevel="0" collapsed="false">
      <c r="A464" s="44" t="str">
        <f aca="false">IF(Weekly_Demand!A464="","",Weekly_Demand!A464)</f>
        <v>23132</v>
      </c>
      <c r="B464" s="44" t="str">
        <f aca="false">IF($A464="","",Weekly_Demand!C464)</f>
        <v>Other</v>
      </c>
      <c r="C464" s="45" t="n">
        <f aca="false">IF($A464="","",Weekly_Demand!D464)</f>
        <v>3.45</v>
      </c>
      <c r="D464" s="46" t="n">
        <f aca="false">IF($A464="","",Weekly_Demand!E464+Assumptions!$B$19)</f>
        <v>2</v>
      </c>
      <c r="E464" s="46" t="n">
        <f aca="false">IF($A464="","",Weekly_Demand!F464)</f>
        <v>238</v>
      </c>
      <c r="F464" s="46" t="n">
        <f aca="false">IF($A464="","",SUM(Weekly_Demand!G464:BF464))</f>
        <v>1031</v>
      </c>
      <c r="G464" s="51" t="n">
        <f aca="false">IF($A464="","",IFERROR(F464/Assumptions!$B$6,0))</f>
        <v>19.8269230769231</v>
      </c>
      <c r="H464" s="51" t="n">
        <f aca="false">IF($A464="","",STDEV(Weekly_Demand!G464:BF464))</f>
        <v>34.5126979495761</v>
      </c>
      <c r="I464" s="52" t="n">
        <f aca="false">IF($A464="","",IFERROR(H464/G464,0))</f>
        <v>1.74069863567212</v>
      </c>
      <c r="J464" s="53" t="n">
        <f aca="false">IF($A464="","",F464*C464)</f>
        <v>3556.95</v>
      </c>
      <c r="K464" s="54" t="n">
        <f aca="false">IF($A464="","",IFERROR(J464/$J$505,0))</f>
        <v>0.000920369228924557</v>
      </c>
      <c r="L464" s="54" t="n">
        <f aca="false">IF($A464="","",IFERROR(SUMIFS($J$5:$J$504,$AB$5:$AB$504,"&lt;="&amp;AB464)/$J$505,0))</f>
        <v>0.923265964251594</v>
      </c>
      <c r="M464" s="55" t="str">
        <f aca="false">IF($A464="","",IF(L464&lt;=Assumptions!$B$7,"A",IF(L464&lt;=Assumptions!$B$8,"B","C")))</f>
        <v>B</v>
      </c>
      <c r="N464" s="55" t="str">
        <f aca="false">IF($A464="","",IF(I464&lt;=Assumptions!$B$9,"X",IF(I464&lt;=Assumptions!$B$10,"Y","Z")))</f>
        <v>Z</v>
      </c>
      <c r="O464" s="56" t="str">
        <f aca="false">IF($A464="","",M464&amp;N464)</f>
        <v>BZ</v>
      </c>
      <c r="P464" s="57" t="n">
        <f aca="false">IF($A464="","",INDEX(Assumptions!$B$35:$B$37,MATCH(M464,Assumptions!$A$35:$A$37,0)))</f>
        <v>0.95</v>
      </c>
      <c r="Q464" s="58" t="n">
        <f aca="false">IF($A464="","",NORMSINV(P464))</f>
        <v>1.64485362695147</v>
      </c>
      <c r="R464" s="48" t="n">
        <f aca="false">IF($A464="","",ROUNDUP(Q464*H464*SQRT(D464),0))</f>
        <v>81</v>
      </c>
      <c r="S464" s="48" t="n">
        <f aca="false">IF($A464="","",ROUNDUP(G464*D464+R464,0))</f>
        <v>121</v>
      </c>
      <c r="T464" s="46" t="n">
        <f aca="false">IF($A464="","",IFERROR(ROUND(SQRT(2*F464*Assumptions!$B$4/(Assumptions!$B$5*C464)),0),0))</f>
        <v>346</v>
      </c>
      <c r="U464" s="53" t="n">
        <f aca="false">IF($A464="","",R464*C464)</f>
        <v>279.45</v>
      </c>
      <c r="V464" s="53" t="n">
        <f aca="false">IF($A464="","",E464*C464)</f>
        <v>821.1</v>
      </c>
      <c r="W464" s="59" t="n">
        <f aca="false">IF($A464="","",IFERROR(E464/G464,0))</f>
        <v>12.003879728419</v>
      </c>
      <c r="X464" s="48" t="n">
        <f aca="false">IF($A464="","",S464+T464)</f>
        <v>467</v>
      </c>
      <c r="Y464" s="48" t="n">
        <f aca="false">IF($A464="","",MAX(0,E464-X464))</f>
        <v>0</v>
      </c>
      <c r="Z464" s="53" t="n">
        <f aca="false">IF($A464="","",Y464*C464)</f>
        <v>0</v>
      </c>
      <c r="AA464" s="56" t="str">
        <f aca="false">IF($A464="","",IF(E464&lt;=R464,"Below Safety Stock",IF(E464&lt;=S464,"Reorder Now",IF(E464&gt;X464,"Excess","Healthy"))))</f>
        <v>Healthy</v>
      </c>
      <c r="AB464" s="48" t="n">
        <f aca="false">IF($A464="","",RANK(AF464,$AF$5:$AF$504,0)+COUNTIF($AF$5:AF464,AF464)-1)</f>
        <v>406</v>
      </c>
      <c r="AC464" s="44" t="str">
        <f aca="false">IF($A464="","",Weekly_Demand!B464)</f>
        <v>SMALL IVORY HEART WALL ORGANISER</v>
      </c>
      <c r="AD464" s="59" t="n">
        <f aca="false">IF($A464="","",H464*SQRT(D464))</f>
        <v>48.8083255143766</v>
      </c>
      <c r="AE464" s="53" t="n">
        <f aca="false">IF($A464="","",AD464*C464)</f>
        <v>168.388723024599</v>
      </c>
      <c r="AF464" s="53" t="n">
        <f aca="false">IF($A464="","",ROUND(J464,2))</f>
        <v>3556.95</v>
      </c>
    </row>
    <row r="465" customFormat="false" ht="15" hidden="false" customHeight="false" outlineLevel="0" collapsed="false">
      <c r="A465" s="44" t="str">
        <f aca="false">IF(Weekly_Demand!A465="","",Weekly_Demand!A465)</f>
        <v>22120</v>
      </c>
      <c r="B465" s="44" t="str">
        <f aca="false">IF($A465="","",Weekly_Demand!C465)</f>
        <v>Other</v>
      </c>
      <c r="C465" s="45" t="n">
        <f aca="false">IF($A465="","",Weekly_Demand!D465)</f>
        <v>5.97</v>
      </c>
      <c r="D465" s="46" t="n">
        <f aca="false">IF($A465="","",Weekly_Demand!E465+Assumptions!$B$19)</f>
        <v>2</v>
      </c>
      <c r="E465" s="46" t="n">
        <f aca="false">IF($A465="","",Weekly_Demand!F465)</f>
        <v>398</v>
      </c>
      <c r="F465" s="46" t="n">
        <f aca="false">IF($A465="","",SUM(Weekly_Demand!G465:BF465))</f>
        <v>518</v>
      </c>
      <c r="G465" s="51" t="n">
        <f aca="false">IF($A465="","",IFERROR(F465/Assumptions!$B$6,0))</f>
        <v>9.96153846153846</v>
      </c>
      <c r="H465" s="51" t="n">
        <f aca="false">IF($A465="","",STDEV(Weekly_Demand!G465:BF465))</f>
        <v>8.65223883179453</v>
      </c>
      <c r="I465" s="52" t="n">
        <f aca="false">IF($A465="","",IFERROR(H465/G465,0))</f>
        <v>0.868564515933042</v>
      </c>
      <c r="J465" s="53" t="n">
        <f aca="false">IF($A465="","",F465*C465)</f>
        <v>3092.46</v>
      </c>
      <c r="K465" s="54" t="n">
        <f aca="false">IF($A465="","",IFERROR(J465/$J$505,0))</f>
        <v>0.000800181342352307</v>
      </c>
      <c r="L465" s="54" t="n">
        <f aca="false">IF($A465="","",IFERROR(SUMIFS($J$5:$J$504,$AB$5:$AB$504,"&lt;="&amp;AB465)/$J$505,0))</f>
        <v>0.973628782705305</v>
      </c>
      <c r="M465" s="55" t="str">
        <f aca="false">IF($A465="","",IF(L465&lt;=Assumptions!$B$7,"A",IF(L465&lt;=Assumptions!$B$8,"B","C")))</f>
        <v>C</v>
      </c>
      <c r="N465" s="55" t="str">
        <f aca="false">IF($A465="","",IF(I465&lt;=Assumptions!$B$9,"X",IF(I465&lt;=Assumptions!$B$10,"Y","Z")))</f>
        <v>Y</v>
      </c>
      <c r="O465" s="56" t="str">
        <f aca="false">IF($A465="","",M465&amp;N465)</f>
        <v>CY</v>
      </c>
      <c r="P465" s="57" t="n">
        <f aca="false">IF($A465="","",INDEX(Assumptions!$B$35:$B$37,MATCH(M465,Assumptions!$A$35:$A$37,0)))</f>
        <v>0.9</v>
      </c>
      <c r="Q465" s="58" t="n">
        <f aca="false">IF($A465="","",NORMSINV(P465))</f>
        <v>1.2815515655446</v>
      </c>
      <c r="R465" s="48" t="n">
        <f aca="false">IF($A465="","",ROUNDUP(Q465*H465*SQRT(D465),0))</f>
        <v>16</v>
      </c>
      <c r="S465" s="48" t="n">
        <f aca="false">IF($A465="","",ROUNDUP(G465*D465+R465,0))</f>
        <v>36</v>
      </c>
      <c r="T465" s="46" t="n">
        <f aca="false">IF($A465="","",IFERROR(ROUND(SQRT(2*F465*Assumptions!$B$4/(Assumptions!$B$5*C465)),0),0))</f>
        <v>186</v>
      </c>
      <c r="U465" s="53" t="n">
        <f aca="false">IF($A465="","",R465*C465)</f>
        <v>95.52</v>
      </c>
      <c r="V465" s="53" t="n">
        <f aca="false">IF($A465="","",E465*C465)</f>
        <v>2376.06</v>
      </c>
      <c r="W465" s="59" t="n">
        <f aca="false">IF($A465="","",IFERROR(E465/G465,0))</f>
        <v>39.953667953668</v>
      </c>
      <c r="X465" s="48" t="n">
        <f aca="false">IF($A465="","",S465+T465)</f>
        <v>222</v>
      </c>
      <c r="Y465" s="48" t="n">
        <f aca="false">IF($A465="","",MAX(0,E465-X465))</f>
        <v>176</v>
      </c>
      <c r="Z465" s="53" t="n">
        <f aca="false">IF($A465="","",Y465*C465)</f>
        <v>1050.72</v>
      </c>
      <c r="AA465" s="56" t="str">
        <f aca="false">IF($A465="","",IF(E465&lt;=R465,"Below Safety Stock",IF(E465&lt;=S465,"Reorder Now",IF(E465&gt;X465,"Excess","Healthy"))))</f>
        <v>Excess</v>
      </c>
      <c r="AB465" s="48" t="n">
        <f aca="false">IF($A465="","",RANK(AF465,$AF$5:$AF$504,0)+COUNTIF($AF$5:AF465,AF465)-1)</f>
        <v>465</v>
      </c>
      <c r="AC465" s="44" t="str">
        <f aca="false">IF($A465="","",Weekly_Demand!B465)</f>
        <v>WELCOME  WOODEN BLOCK LETTERS</v>
      </c>
      <c r="AD465" s="59" t="n">
        <f aca="false">IF($A465="","",H465*SQRT(D465))</f>
        <v>12.236113500815</v>
      </c>
      <c r="AE465" s="53" t="n">
        <f aca="false">IF($A465="","",AD465*C465)</f>
        <v>73.0495975998654</v>
      </c>
      <c r="AF465" s="53" t="n">
        <f aca="false">IF($A465="","",ROUND(J465,2))</f>
        <v>3092.46</v>
      </c>
    </row>
    <row r="466" customFormat="false" ht="15" hidden="false" customHeight="false" outlineLevel="0" collapsed="false">
      <c r="A466" s="44" t="str">
        <f aca="false">IF(Weekly_Demand!A466="","",Weekly_Demand!A466)</f>
        <v>22689</v>
      </c>
      <c r="B466" s="44" t="str">
        <f aca="false">IF($A466="","",Weekly_Demand!C466)</f>
        <v>Other</v>
      </c>
      <c r="C466" s="45" t="n">
        <f aca="false">IF($A466="","",Weekly_Demand!D466)</f>
        <v>4.95</v>
      </c>
      <c r="D466" s="46" t="n">
        <f aca="false">IF($A466="","",Weekly_Demand!E466+Assumptions!$B$19)</f>
        <v>4</v>
      </c>
      <c r="E466" s="46" t="n">
        <f aca="false">IF($A466="","",Weekly_Demand!F466)</f>
        <v>129</v>
      </c>
      <c r="F466" s="46" t="n">
        <f aca="false">IF($A466="","",SUM(Weekly_Demand!G466:BF466))</f>
        <v>673</v>
      </c>
      <c r="G466" s="51" t="n">
        <f aca="false">IF($A466="","",IFERROR(F466/Assumptions!$B$6,0))</f>
        <v>12.9423076923077</v>
      </c>
      <c r="H466" s="51" t="n">
        <f aca="false">IF($A466="","",STDEV(Weekly_Demand!G466:BF466))</f>
        <v>33.6343740262661</v>
      </c>
      <c r="I466" s="52" t="n">
        <f aca="false">IF($A466="","",IFERROR(H466/G466,0))</f>
        <v>2.59879264393141</v>
      </c>
      <c r="J466" s="53" t="n">
        <f aca="false">IF($A466="","",F466*C466)</f>
        <v>3331.35</v>
      </c>
      <c r="K466" s="54" t="n">
        <f aca="false">IF($A466="","",IFERROR(J466/$J$505,0))</f>
        <v>0.000861994695111774</v>
      </c>
      <c r="L466" s="54" t="n">
        <f aca="false">IF($A466="","",IFERROR(SUMIFS($J$5:$J$504,$AB$5:$AB$504,"&lt;="&amp;AB466)/$J$505,0))</f>
        <v>0.944513848987873</v>
      </c>
      <c r="M466" s="55" t="str">
        <f aca="false">IF($A466="","",IF(L466&lt;=Assumptions!$B$7,"A",IF(L466&lt;=Assumptions!$B$8,"B","C")))</f>
        <v>B</v>
      </c>
      <c r="N466" s="55" t="str">
        <f aca="false">IF($A466="","",IF(I466&lt;=Assumptions!$B$9,"X",IF(I466&lt;=Assumptions!$B$10,"Y","Z")))</f>
        <v>Z</v>
      </c>
      <c r="O466" s="56" t="str">
        <f aca="false">IF($A466="","",M466&amp;N466)</f>
        <v>BZ</v>
      </c>
      <c r="P466" s="57" t="n">
        <f aca="false">IF($A466="","",INDEX(Assumptions!$B$35:$B$37,MATCH(M466,Assumptions!$A$35:$A$37,0)))</f>
        <v>0.95</v>
      </c>
      <c r="Q466" s="58" t="n">
        <f aca="false">IF($A466="","",NORMSINV(P466))</f>
        <v>1.64485362695147</v>
      </c>
      <c r="R466" s="48" t="n">
        <f aca="false">IF($A466="","",ROUNDUP(Q466*H466*SQRT(D466),0))</f>
        <v>111</v>
      </c>
      <c r="S466" s="48" t="n">
        <f aca="false">IF($A466="","",ROUNDUP(G466*D466+R466,0))</f>
        <v>163</v>
      </c>
      <c r="T466" s="46" t="n">
        <f aca="false">IF($A466="","",IFERROR(ROUND(SQRT(2*F466*Assumptions!$B$4/(Assumptions!$B$5*C466)),0),0))</f>
        <v>233</v>
      </c>
      <c r="U466" s="53" t="n">
        <f aca="false">IF($A466="","",R466*C466)</f>
        <v>549.45</v>
      </c>
      <c r="V466" s="53" t="n">
        <f aca="false">IF($A466="","",E466*C466)</f>
        <v>638.55</v>
      </c>
      <c r="W466" s="59" t="n">
        <f aca="false">IF($A466="","",IFERROR(E466/G466,0))</f>
        <v>9.96731054977712</v>
      </c>
      <c r="X466" s="48" t="n">
        <f aca="false">IF($A466="","",S466+T466)</f>
        <v>396</v>
      </c>
      <c r="Y466" s="48" t="n">
        <f aca="false">IF($A466="","",MAX(0,E466-X466))</f>
        <v>0</v>
      </c>
      <c r="Z466" s="53" t="n">
        <f aca="false">IF($A466="","",Y466*C466)</f>
        <v>0</v>
      </c>
      <c r="AA466" s="56" t="str">
        <f aca="false">IF($A466="","",IF(E466&lt;=R466,"Below Safety Stock",IF(E466&lt;=S466,"Reorder Now",IF(E466&gt;X466,"Excess","Healthy"))))</f>
        <v>Reorder Now</v>
      </c>
      <c r="AB466" s="48" t="n">
        <f aca="false">IF($A466="","",RANK(AF466,$AF$5:$AF$504,0)+COUNTIF($AF$5:AF466,AF466)-1)</f>
        <v>430</v>
      </c>
      <c r="AC466" s="44" t="str">
        <f aca="false">IF($A466="","",Weekly_Demand!B466)</f>
        <v>DOORMAT MERRY CHRISTMAS RED</v>
      </c>
      <c r="AD466" s="59" t="n">
        <f aca="false">IF($A466="","",H466*SQRT(D466))</f>
        <v>67.2687480525322</v>
      </c>
      <c r="AE466" s="53" t="n">
        <f aca="false">IF($A466="","",AD466*C466)</f>
        <v>332.980302860034</v>
      </c>
      <c r="AF466" s="53" t="n">
        <f aca="false">IF($A466="","",ROUND(J466,2))</f>
        <v>3331.35</v>
      </c>
    </row>
    <row r="467" customFormat="false" ht="15" hidden="false" customHeight="false" outlineLevel="0" collapsed="false">
      <c r="A467" s="44" t="str">
        <f aca="false">IF(Weekly_Demand!A467="","",Weekly_Demand!A467)</f>
        <v>23157</v>
      </c>
      <c r="B467" s="44" t="str">
        <f aca="false">IF($A467="","",Weekly_Demand!C467)</f>
        <v>Other</v>
      </c>
      <c r="C467" s="45" t="n">
        <f aca="false">IF($A467="","",Weekly_Demand!D467)</f>
        <v>1.248</v>
      </c>
      <c r="D467" s="46" t="n">
        <f aca="false">IF($A467="","",Weekly_Demand!E467+Assumptions!$B$19)</f>
        <v>4</v>
      </c>
      <c r="E467" s="46" t="n">
        <f aca="false">IF($A467="","",Weekly_Demand!F467)</f>
        <v>741</v>
      </c>
      <c r="F467" s="46" t="n">
        <f aca="false">IF($A467="","",SUM(Weekly_Demand!G467:BF467))</f>
        <v>2569</v>
      </c>
      <c r="G467" s="51" t="n">
        <f aca="false">IF($A467="","",IFERROR(F467/Assumptions!$B$6,0))</f>
        <v>49.4038461538462</v>
      </c>
      <c r="H467" s="51" t="n">
        <f aca="false">IF($A467="","",STDEV(Weekly_Demand!G467:BF467))</f>
        <v>95.2096262259942</v>
      </c>
      <c r="I467" s="52" t="n">
        <f aca="false">IF($A467="","",IFERROR(H467/G467,0))</f>
        <v>1.92717032454328</v>
      </c>
      <c r="J467" s="53" t="n">
        <f aca="false">IF($A467="","",F467*C467)</f>
        <v>3206.112</v>
      </c>
      <c r="K467" s="54" t="n">
        <f aca="false">IF($A467="","",IFERROR(J467/$J$505,0))</f>
        <v>0.000829589066274693</v>
      </c>
      <c r="L467" s="54" t="n">
        <f aca="false">IF($A467="","",IFERROR(SUMIFS($J$5:$J$504,$AB$5:$AB$504,"&lt;="&amp;AB467)/$J$505,0))</f>
        <v>0.96302462945938</v>
      </c>
      <c r="M467" s="55" t="str">
        <f aca="false">IF($A467="","",IF(L467&lt;=Assumptions!$B$7,"A",IF(L467&lt;=Assumptions!$B$8,"B","C")))</f>
        <v>C</v>
      </c>
      <c r="N467" s="55" t="str">
        <f aca="false">IF($A467="","",IF(I467&lt;=Assumptions!$B$9,"X",IF(I467&lt;=Assumptions!$B$10,"Y","Z")))</f>
        <v>Z</v>
      </c>
      <c r="O467" s="56" t="str">
        <f aca="false">IF($A467="","",M467&amp;N467)</f>
        <v>CZ</v>
      </c>
      <c r="P467" s="57" t="n">
        <f aca="false">IF($A467="","",INDEX(Assumptions!$B$35:$B$37,MATCH(M467,Assumptions!$A$35:$A$37,0)))</f>
        <v>0.9</v>
      </c>
      <c r="Q467" s="58" t="n">
        <f aca="false">IF($A467="","",NORMSINV(P467))</f>
        <v>1.2815515655446</v>
      </c>
      <c r="R467" s="48" t="n">
        <f aca="false">IF($A467="","",ROUNDUP(Q467*H467*SQRT(D467),0))</f>
        <v>245</v>
      </c>
      <c r="S467" s="48" t="n">
        <f aca="false">IF($A467="","",ROUNDUP(G467*D467+R467,0))</f>
        <v>443</v>
      </c>
      <c r="T467" s="46" t="n">
        <f aca="false">IF($A467="","",IFERROR(ROUND(SQRT(2*F467*Assumptions!$B$4/(Assumptions!$B$5*C467)),0),0))</f>
        <v>907</v>
      </c>
      <c r="U467" s="53" t="n">
        <f aca="false">IF($A467="","",R467*C467)</f>
        <v>305.76</v>
      </c>
      <c r="V467" s="53" t="n">
        <f aca="false">IF($A467="","",E467*C467)</f>
        <v>924.768</v>
      </c>
      <c r="W467" s="59" t="n">
        <f aca="false">IF($A467="","",IFERROR(E467/G467,0))</f>
        <v>14.9988322304399</v>
      </c>
      <c r="X467" s="48" t="n">
        <f aca="false">IF($A467="","",S467+T467)</f>
        <v>1350</v>
      </c>
      <c r="Y467" s="48" t="n">
        <f aca="false">IF($A467="","",MAX(0,E467-X467))</f>
        <v>0</v>
      </c>
      <c r="Z467" s="53" t="n">
        <f aca="false">IF($A467="","",Y467*C467)</f>
        <v>0</v>
      </c>
      <c r="AA467" s="56" t="str">
        <f aca="false">IF($A467="","",IF(E467&lt;=R467,"Below Safety Stock",IF(E467&lt;=S467,"Reorder Now",IF(E467&gt;X467,"Excess","Healthy"))))</f>
        <v>Healthy</v>
      </c>
      <c r="AB467" s="48" t="n">
        <f aca="false">IF($A467="","",RANK(AF467,$AF$5:$AF$504,0)+COUNTIF($AF$5:AF467,AF467)-1)</f>
        <v>452</v>
      </c>
      <c r="AC467" s="44" t="str">
        <f aca="false">IF($A467="","",Weekly_Demand!B467)</f>
        <v>SET OF 6 NATIVITY MAGNETS</v>
      </c>
      <c r="AD467" s="59" t="n">
        <f aca="false">IF($A467="","",H467*SQRT(D467))</f>
        <v>190.419252451988</v>
      </c>
      <c r="AE467" s="53" t="n">
        <f aca="false">IF($A467="","",AD467*C467)</f>
        <v>237.643227060081</v>
      </c>
      <c r="AF467" s="53" t="n">
        <f aca="false">IF($A467="","",ROUND(J467,2))</f>
        <v>3206.11</v>
      </c>
    </row>
    <row r="468" customFormat="false" ht="15" hidden="false" customHeight="false" outlineLevel="0" collapsed="false">
      <c r="A468" s="44" t="str">
        <f aca="false">IF(Weekly_Demand!A468="","",Weekly_Demand!A468)</f>
        <v>22964</v>
      </c>
      <c r="B468" s="44" t="str">
        <f aca="false">IF($A468="","",Weekly_Demand!C468)</f>
        <v>Other</v>
      </c>
      <c r="C468" s="45" t="n">
        <f aca="false">IF($A468="","",Weekly_Demand!D468)</f>
        <v>1.26</v>
      </c>
      <c r="D468" s="46" t="n">
        <f aca="false">IF($A468="","",Weekly_Demand!E468+Assumptions!$B$19)</f>
        <v>2</v>
      </c>
      <c r="E468" s="46" t="n">
        <f aca="false">IF($A468="","",Weekly_Demand!F468)</f>
        <v>333</v>
      </c>
      <c r="F468" s="46" t="n">
        <f aca="false">IF($A468="","",SUM(Weekly_Demand!G468:BF468))</f>
        <v>2473</v>
      </c>
      <c r="G468" s="51" t="n">
        <f aca="false">IF($A468="","",IFERROR(F468/Assumptions!$B$6,0))</f>
        <v>47.5576923076923</v>
      </c>
      <c r="H468" s="51" t="n">
        <f aca="false">IF($A468="","",STDEV(Weekly_Demand!G468:BF468))</f>
        <v>58.4862690309304</v>
      </c>
      <c r="I468" s="52" t="n">
        <f aca="false">IF($A468="","",IFERROR(H468/G468,0))</f>
        <v>1.22979619474662</v>
      </c>
      <c r="J468" s="53" t="n">
        <f aca="false">IF($A468="","",F468*C468)</f>
        <v>3115.98</v>
      </c>
      <c r="K468" s="54" t="n">
        <f aca="false">IF($A468="","",IFERROR(J468/$J$505,0))</f>
        <v>0.000806267198005129</v>
      </c>
      <c r="L468" s="54" t="n">
        <f aca="false">IF($A468="","",IFERROR(SUMIFS($J$5:$J$504,$AB$5:$AB$504,"&lt;="&amp;AB468)/$J$505,0))</f>
        <v>0.971218335190184</v>
      </c>
      <c r="M468" s="55" t="str">
        <f aca="false">IF($A468="","",IF(L468&lt;=Assumptions!$B$7,"A",IF(L468&lt;=Assumptions!$B$8,"B","C")))</f>
        <v>C</v>
      </c>
      <c r="N468" s="55" t="str">
        <f aca="false">IF($A468="","",IF(I468&lt;=Assumptions!$B$9,"X",IF(I468&lt;=Assumptions!$B$10,"Y","Z")))</f>
        <v>Z</v>
      </c>
      <c r="O468" s="56" t="str">
        <f aca="false">IF($A468="","",M468&amp;N468)</f>
        <v>CZ</v>
      </c>
      <c r="P468" s="57" t="n">
        <f aca="false">IF($A468="","",INDEX(Assumptions!$B$35:$B$37,MATCH(M468,Assumptions!$A$35:$A$37,0)))</f>
        <v>0.9</v>
      </c>
      <c r="Q468" s="58" t="n">
        <f aca="false">IF($A468="","",NORMSINV(P468))</f>
        <v>1.2815515655446</v>
      </c>
      <c r="R468" s="48" t="n">
        <f aca="false">IF($A468="","",ROUNDUP(Q468*H468*SQRT(D468),0))</f>
        <v>106</v>
      </c>
      <c r="S468" s="48" t="n">
        <f aca="false">IF($A468="","",ROUNDUP(G468*D468+R468,0))</f>
        <v>202</v>
      </c>
      <c r="T468" s="46" t="n">
        <f aca="false">IF($A468="","",IFERROR(ROUND(SQRT(2*F468*Assumptions!$B$4/(Assumptions!$B$5*C468)),0),0))</f>
        <v>886</v>
      </c>
      <c r="U468" s="53" t="n">
        <f aca="false">IF($A468="","",R468*C468)</f>
        <v>133.56</v>
      </c>
      <c r="V468" s="53" t="n">
        <f aca="false">IF($A468="","",E468*C468)</f>
        <v>419.58</v>
      </c>
      <c r="W468" s="59" t="n">
        <f aca="false">IF($A468="","",IFERROR(E468/G468,0))</f>
        <v>7.00202183582693</v>
      </c>
      <c r="X468" s="48" t="n">
        <f aca="false">IF($A468="","",S468+T468)</f>
        <v>1088</v>
      </c>
      <c r="Y468" s="48" t="n">
        <f aca="false">IF($A468="","",MAX(0,E468-X468))</f>
        <v>0</v>
      </c>
      <c r="Z468" s="53" t="n">
        <f aca="false">IF($A468="","",Y468*C468)</f>
        <v>0</v>
      </c>
      <c r="AA468" s="56" t="str">
        <f aca="false">IF($A468="","",IF(E468&lt;=R468,"Below Safety Stock",IF(E468&lt;=S468,"Reorder Now",IF(E468&gt;X468,"Excess","Healthy"))))</f>
        <v>Healthy</v>
      </c>
      <c r="AB468" s="48" t="n">
        <f aca="false">IF($A468="","",RANK(AF468,$AF$5:$AF$504,0)+COUNTIF($AF$5:AF468,AF468)-1)</f>
        <v>462</v>
      </c>
      <c r="AC468" s="44" t="str">
        <f aca="false">IF($A468="","",Weekly_Demand!B468)</f>
        <v>3 PIECE SPACEBOY COOKIE CUTTER SET</v>
      </c>
      <c r="AD468" s="59" t="n">
        <f aca="false">IF($A468="","",H468*SQRT(D468))</f>
        <v>82.7120748761434</v>
      </c>
      <c r="AE468" s="53" t="n">
        <f aca="false">IF($A468="","",AD468*C468)</f>
        <v>104.217214343941</v>
      </c>
      <c r="AF468" s="53" t="n">
        <f aca="false">IF($A468="","",ROUND(J468,2))</f>
        <v>3115.98</v>
      </c>
    </row>
    <row r="469" customFormat="false" ht="15" hidden="false" customHeight="false" outlineLevel="0" collapsed="false">
      <c r="A469" s="44" t="str">
        <f aca="false">IF(Weekly_Demand!A469="","",Weekly_Demand!A469)</f>
        <v>22296</v>
      </c>
      <c r="B469" s="44" t="str">
        <f aca="false">IF($A469="","",Weekly_Demand!C469)</f>
        <v>Other</v>
      </c>
      <c r="C469" s="45" t="n">
        <f aca="false">IF($A469="","",Weekly_Demand!D469)</f>
        <v>0.99</v>
      </c>
      <c r="D469" s="46" t="n">
        <f aca="false">IF($A469="","",Weekly_Demand!E469+Assumptions!$B$19)</f>
        <v>2</v>
      </c>
      <c r="E469" s="46" t="n">
        <f aca="false">IF($A469="","",Weekly_Demand!F469)</f>
        <v>237</v>
      </c>
      <c r="F469" s="46" t="n">
        <f aca="false">IF($A469="","",SUM(Weekly_Demand!G469:BF469))</f>
        <v>3078</v>
      </c>
      <c r="G469" s="51" t="n">
        <f aca="false">IF($A469="","",IFERROR(F469/Assumptions!$B$6,0))</f>
        <v>59.1923076923077</v>
      </c>
      <c r="H469" s="51" t="n">
        <f aca="false">IF($A469="","",STDEV(Weekly_Demand!G469:BF469))</f>
        <v>52.0380850205823</v>
      </c>
      <c r="I469" s="52" t="n">
        <f aca="false">IF($A469="","",IFERROR(H469/G469,0))</f>
        <v>0.879135939269097</v>
      </c>
      <c r="J469" s="53" t="n">
        <f aca="false">IF($A469="","",F469*C469)</f>
        <v>3047.22</v>
      </c>
      <c r="K469" s="54" t="n">
        <f aca="false">IF($A469="","",IFERROR(J469/$J$505,0))</f>
        <v>0.000788475385305807</v>
      </c>
      <c r="L469" s="54" t="n">
        <f aca="false">IF($A469="","",IFERROR(SUMIFS($J$5:$J$504,$AB$5:$AB$504,"&lt;="&amp;AB469)/$J$505,0))</f>
        <v>0.976791246362325</v>
      </c>
      <c r="M469" s="55" t="str">
        <f aca="false">IF($A469="","",IF(L469&lt;=Assumptions!$B$7,"A",IF(L469&lt;=Assumptions!$B$8,"B","C")))</f>
        <v>C</v>
      </c>
      <c r="N469" s="55" t="str">
        <f aca="false">IF($A469="","",IF(I469&lt;=Assumptions!$B$9,"X",IF(I469&lt;=Assumptions!$B$10,"Y","Z")))</f>
        <v>Y</v>
      </c>
      <c r="O469" s="56" t="str">
        <f aca="false">IF($A469="","",M469&amp;N469)</f>
        <v>CY</v>
      </c>
      <c r="P469" s="57" t="n">
        <f aca="false">IF($A469="","",INDEX(Assumptions!$B$35:$B$37,MATCH(M469,Assumptions!$A$35:$A$37,0)))</f>
        <v>0.9</v>
      </c>
      <c r="Q469" s="58" t="n">
        <f aca="false">IF($A469="","",NORMSINV(P469))</f>
        <v>1.2815515655446</v>
      </c>
      <c r="R469" s="48" t="n">
        <f aca="false">IF($A469="","",ROUNDUP(Q469*H469*SQRT(D469),0))</f>
        <v>95</v>
      </c>
      <c r="S469" s="48" t="n">
        <f aca="false">IF($A469="","",ROUNDUP(G469*D469+R469,0))</f>
        <v>214</v>
      </c>
      <c r="T469" s="46" t="n">
        <f aca="false">IF($A469="","",IFERROR(ROUND(SQRT(2*F469*Assumptions!$B$4/(Assumptions!$B$5*C469)),0),0))</f>
        <v>1115</v>
      </c>
      <c r="U469" s="53" t="n">
        <f aca="false">IF($A469="","",R469*C469)</f>
        <v>94.05</v>
      </c>
      <c r="V469" s="53" t="n">
        <f aca="false">IF($A469="","",E469*C469)</f>
        <v>234.63</v>
      </c>
      <c r="W469" s="59" t="n">
        <f aca="false">IF($A469="","",IFERROR(E469/G469,0))</f>
        <v>4.00389863547758</v>
      </c>
      <c r="X469" s="48" t="n">
        <f aca="false">IF($A469="","",S469+T469)</f>
        <v>1329</v>
      </c>
      <c r="Y469" s="48" t="n">
        <f aca="false">IF($A469="","",MAX(0,E469-X469))</f>
        <v>0</v>
      </c>
      <c r="Z469" s="53" t="n">
        <f aca="false">IF($A469="","",Y469*C469)</f>
        <v>0</v>
      </c>
      <c r="AA469" s="56" t="str">
        <f aca="false">IF($A469="","",IF(E469&lt;=R469,"Below Safety Stock",IF(E469&lt;=S469,"Reorder Now",IF(E469&gt;X469,"Excess","Healthy"))))</f>
        <v>Healthy</v>
      </c>
      <c r="AB469" s="48" t="n">
        <f aca="false">IF($A469="","",RANK(AF469,$AF$5:$AF$504,0)+COUNTIF($AF$5:AF469,AF469)-1)</f>
        <v>469</v>
      </c>
      <c r="AC469" s="44" t="str">
        <f aca="false">IF($A469="","",Weekly_Demand!B469)</f>
        <v>HEART IVORY TRELLIS LARGE</v>
      </c>
      <c r="AD469" s="59" t="n">
        <f aca="false">IF($A469="","",H469*SQRT(D469))</f>
        <v>73.5929655960317</v>
      </c>
      <c r="AE469" s="53" t="n">
        <f aca="false">IF($A469="","",AD469*C469)</f>
        <v>72.8570359400714</v>
      </c>
      <c r="AF469" s="53" t="n">
        <f aca="false">IF($A469="","",ROUND(J469,2))</f>
        <v>3047.22</v>
      </c>
    </row>
    <row r="470" customFormat="false" ht="15" hidden="false" customHeight="false" outlineLevel="0" collapsed="false">
      <c r="A470" s="44" t="str">
        <f aca="false">IF(Weekly_Demand!A470="","",Weekly_Demand!A470)</f>
        <v>23162</v>
      </c>
      <c r="B470" s="44" t="str">
        <f aca="false">IF($A470="","",Weekly_Demand!C470)</f>
        <v>Other</v>
      </c>
      <c r="C470" s="45" t="n">
        <f aca="false">IF($A470="","",Weekly_Demand!D470)</f>
        <v>2.25</v>
      </c>
      <c r="D470" s="46" t="n">
        <f aca="false">IF($A470="","",Weekly_Demand!E470+Assumptions!$B$19)</f>
        <v>6</v>
      </c>
      <c r="E470" s="46" t="n">
        <f aca="false">IF($A470="","",Weekly_Demand!F470)</f>
        <v>297</v>
      </c>
      <c r="F470" s="46" t="n">
        <f aca="false">IF($A470="","",SUM(Weekly_Demand!G470:BF470))</f>
        <v>1406</v>
      </c>
      <c r="G470" s="51" t="n">
        <f aca="false">IF($A470="","",IFERROR(F470/Assumptions!$B$6,0))</f>
        <v>27.0384615384615</v>
      </c>
      <c r="H470" s="51" t="n">
        <f aca="false">IF($A470="","",STDEV(Weekly_Demand!G470:BF470))</f>
        <v>35.7929566619794</v>
      </c>
      <c r="I470" s="52" t="n">
        <f aca="false">IF($A470="","",IFERROR(H470/G470,0))</f>
        <v>1.32377933600493</v>
      </c>
      <c r="J470" s="53" t="n">
        <f aca="false">IF($A470="","",F470*C470)</f>
        <v>3163.5</v>
      </c>
      <c r="K470" s="54" t="n">
        <f aca="false">IF($A470="","",IFERROR(J470/$J$505,0))</f>
        <v>0.000818563110446545</v>
      </c>
      <c r="L470" s="54" t="n">
        <f aca="false">IF($A470="","",IFERROR(SUMIFS($J$5:$J$504,$AB$5:$AB$504,"&lt;="&amp;AB470)/$J$505,0))</f>
        <v>0.967966609729399</v>
      </c>
      <c r="M470" s="55" t="str">
        <f aca="false">IF($A470="","",IF(L470&lt;=Assumptions!$B$7,"A",IF(L470&lt;=Assumptions!$B$8,"B","C")))</f>
        <v>C</v>
      </c>
      <c r="N470" s="55" t="str">
        <f aca="false">IF($A470="","",IF(I470&lt;=Assumptions!$B$9,"X",IF(I470&lt;=Assumptions!$B$10,"Y","Z")))</f>
        <v>Z</v>
      </c>
      <c r="O470" s="56" t="str">
        <f aca="false">IF($A470="","",M470&amp;N470)</f>
        <v>CZ</v>
      </c>
      <c r="P470" s="57" t="n">
        <f aca="false">IF($A470="","",INDEX(Assumptions!$B$35:$B$37,MATCH(M470,Assumptions!$A$35:$A$37,0)))</f>
        <v>0.9</v>
      </c>
      <c r="Q470" s="58" t="n">
        <f aca="false">IF($A470="","",NORMSINV(P470))</f>
        <v>1.2815515655446</v>
      </c>
      <c r="R470" s="48" t="n">
        <f aca="false">IF($A470="","",ROUNDUP(Q470*H470*SQRT(D470),0))</f>
        <v>113</v>
      </c>
      <c r="S470" s="48" t="n">
        <f aca="false">IF($A470="","",ROUNDUP(G470*D470+R470,0))</f>
        <v>276</v>
      </c>
      <c r="T470" s="46" t="n">
        <f aca="false">IF($A470="","",IFERROR(ROUND(SQRT(2*F470*Assumptions!$B$4/(Assumptions!$B$5*C470)),0),0))</f>
        <v>500</v>
      </c>
      <c r="U470" s="53" t="n">
        <f aca="false">IF($A470="","",R470*C470)</f>
        <v>254.25</v>
      </c>
      <c r="V470" s="53" t="n">
        <f aca="false">IF($A470="","",E470*C470)</f>
        <v>668.25</v>
      </c>
      <c r="W470" s="59" t="n">
        <f aca="false">IF($A470="","",IFERROR(E470/G470,0))</f>
        <v>10.9843527738265</v>
      </c>
      <c r="X470" s="48" t="n">
        <f aca="false">IF($A470="","",S470+T470)</f>
        <v>776</v>
      </c>
      <c r="Y470" s="48" t="n">
        <f aca="false">IF($A470="","",MAX(0,E470-X470))</f>
        <v>0</v>
      </c>
      <c r="Z470" s="53" t="n">
        <f aca="false">IF($A470="","",Y470*C470)</f>
        <v>0</v>
      </c>
      <c r="AA470" s="56" t="str">
        <f aca="false">IF($A470="","",IF(E470&lt;=R470,"Below Safety Stock",IF(E470&lt;=S470,"Reorder Now",IF(E470&gt;X470,"Excess","Healthy"))))</f>
        <v>Healthy</v>
      </c>
      <c r="AB470" s="48" t="n">
        <f aca="false">IF($A470="","",RANK(AF470,$AF$5:$AF$504,0)+COUNTIF($AF$5:AF470,AF470)-1)</f>
        <v>458</v>
      </c>
      <c r="AC470" s="44" t="str">
        <f aca="false">IF($A470="","",Weekly_Demand!B470)</f>
        <v>REGENCY TEA STRAINER</v>
      </c>
      <c r="AD470" s="59" t="n">
        <f aca="false">IF($A470="","",H470*SQRT(D470))</f>
        <v>87.6744802074013</v>
      </c>
      <c r="AE470" s="53" t="n">
        <f aca="false">IF($A470="","",AD470*C470)</f>
        <v>197.267580466653</v>
      </c>
      <c r="AF470" s="53" t="n">
        <f aca="false">IF($A470="","",ROUND(J470,2))</f>
        <v>3163.5</v>
      </c>
    </row>
    <row r="471" customFormat="false" ht="15" hidden="false" customHeight="false" outlineLevel="0" collapsed="false">
      <c r="A471" s="44" t="str">
        <f aca="false">IF(Weekly_Demand!A471="","",Weekly_Demand!A471)</f>
        <v>22772</v>
      </c>
      <c r="B471" s="44" t="str">
        <f aca="false">IF($A471="","",Weekly_Demand!C471)</f>
        <v>Other</v>
      </c>
      <c r="C471" s="45" t="n">
        <f aca="false">IF($A471="","",Weekly_Demand!D471)</f>
        <v>0.75</v>
      </c>
      <c r="D471" s="46" t="n">
        <f aca="false">IF($A471="","",Weekly_Demand!E471+Assumptions!$B$19)</f>
        <v>2</v>
      </c>
      <c r="E471" s="46" t="n">
        <f aca="false">IF($A471="","",Weekly_Demand!F471)</f>
        <v>290</v>
      </c>
      <c r="F471" s="46" t="n">
        <f aca="false">IF($A471="","",SUM(Weekly_Demand!G471:BF471))</f>
        <v>3776</v>
      </c>
      <c r="G471" s="51" t="n">
        <f aca="false">IF($A471="","",IFERROR(F471/Assumptions!$B$6,0))</f>
        <v>72.6153846153846</v>
      </c>
      <c r="H471" s="51" t="n">
        <f aca="false">IF($A471="","",STDEV(Weekly_Demand!G471:BF471))</f>
        <v>65.3056625614829</v>
      </c>
      <c r="I471" s="52" t="n">
        <f aca="false">IF($A471="","",IFERROR(H471/G471,0))</f>
        <v>0.899336454766184</v>
      </c>
      <c r="J471" s="53" t="n">
        <f aca="false">IF($A471="","",F471*C471)</f>
        <v>2832</v>
      </c>
      <c r="K471" s="54" t="n">
        <f aca="false">IF($A471="","",IFERROR(J471/$J$505,0))</f>
        <v>0.00073278670105409</v>
      </c>
      <c r="L471" s="54" t="n">
        <f aca="false">IF($A471="","",IFERROR(SUMIFS($J$5:$J$504,$AB$5:$AB$504,"&lt;="&amp;AB471)/$J$505,0))</f>
        <v>0.994374255217216</v>
      </c>
      <c r="M471" s="55" t="str">
        <f aca="false">IF($A471="","",IF(L471&lt;=Assumptions!$B$7,"A",IF(L471&lt;=Assumptions!$B$8,"B","C")))</f>
        <v>C</v>
      </c>
      <c r="N471" s="55" t="str">
        <f aca="false">IF($A471="","",IF(I471&lt;=Assumptions!$B$9,"X",IF(I471&lt;=Assumptions!$B$10,"Y","Z")))</f>
        <v>Y</v>
      </c>
      <c r="O471" s="56" t="str">
        <f aca="false">IF($A471="","",M471&amp;N471)</f>
        <v>CY</v>
      </c>
      <c r="P471" s="57" t="n">
        <f aca="false">IF($A471="","",INDEX(Assumptions!$B$35:$B$37,MATCH(M471,Assumptions!$A$35:$A$37,0)))</f>
        <v>0.9</v>
      </c>
      <c r="Q471" s="58" t="n">
        <f aca="false">IF($A471="","",NORMSINV(P471))</f>
        <v>1.2815515655446</v>
      </c>
      <c r="R471" s="48" t="n">
        <f aca="false">IF($A471="","",ROUNDUP(Q471*H471*SQRT(D471),0))</f>
        <v>119</v>
      </c>
      <c r="S471" s="48" t="n">
        <f aca="false">IF($A471="","",ROUNDUP(G471*D471+R471,0))</f>
        <v>265</v>
      </c>
      <c r="T471" s="46" t="n">
        <f aca="false">IF($A471="","",IFERROR(ROUND(SQRT(2*F471*Assumptions!$B$4/(Assumptions!$B$5*C471)),0),0))</f>
        <v>1419</v>
      </c>
      <c r="U471" s="53" t="n">
        <f aca="false">IF($A471="","",R471*C471)</f>
        <v>89.25</v>
      </c>
      <c r="V471" s="53" t="n">
        <f aca="false">IF($A471="","",E471*C471)</f>
        <v>217.5</v>
      </c>
      <c r="W471" s="59" t="n">
        <f aca="false">IF($A471="","",IFERROR(E471/G471,0))</f>
        <v>3.99364406779661</v>
      </c>
      <c r="X471" s="48" t="n">
        <f aca="false">IF($A471="","",S471+T471)</f>
        <v>1684</v>
      </c>
      <c r="Y471" s="48" t="n">
        <f aca="false">IF($A471="","",MAX(0,E471-X471))</f>
        <v>0</v>
      </c>
      <c r="Z471" s="53" t="n">
        <f aca="false">IF($A471="","",Y471*C471)</f>
        <v>0</v>
      </c>
      <c r="AA471" s="56" t="str">
        <f aca="false">IF($A471="","",IF(E471&lt;=R471,"Below Safety Stock",IF(E471&lt;=S471,"Reorder Now",IF(E471&gt;X471,"Excess","Healthy"))))</f>
        <v>Healthy</v>
      </c>
      <c r="AB471" s="48" t="n">
        <f aca="false">IF($A471="","",RANK(AF471,$AF$5:$AF$504,0)+COUNTIF($AF$5:AF471,AF471)-1)</f>
        <v>492</v>
      </c>
      <c r="AC471" s="44" t="str">
        <f aca="false">IF($A471="","",Weekly_Demand!B471)</f>
        <v>PINK DRAWER KNOB ACRYLIC EDWARDIAN</v>
      </c>
      <c r="AD471" s="59" t="n">
        <f aca="false">IF($A471="","",H471*SQRT(D471))</f>
        <v>92.35615369421</v>
      </c>
      <c r="AE471" s="53" t="n">
        <f aca="false">IF($A471="","",AD471*C471)</f>
        <v>69.2671152706575</v>
      </c>
      <c r="AF471" s="53" t="n">
        <f aca="false">IF($A471="","",ROUND(J471,2))</f>
        <v>2832</v>
      </c>
    </row>
    <row r="472" customFormat="false" ht="15" hidden="false" customHeight="false" outlineLevel="0" collapsed="false">
      <c r="A472" s="44" t="str">
        <f aca="false">IF(Weekly_Demand!A472="","",Weekly_Demand!A472)</f>
        <v>22623</v>
      </c>
      <c r="B472" s="44" t="str">
        <f aca="false">IF($A472="","",Weekly_Demand!C472)</f>
        <v>Other</v>
      </c>
      <c r="C472" s="45" t="n">
        <f aca="false">IF($A472="","",Weekly_Demand!D472)</f>
        <v>3.57</v>
      </c>
      <c r="D472" s="46" t="n">
        <f aca="false">IF($A472="","",Weekly_Demand!E472+Assumptions!$B$19)</f>
        <v>8</v>
      </c>
      <c r="E472" s="46" t="n">
        <f aca="false">IF($A472="","",Weekly_Demand!F472)</f>
        <v>52</v>
      </c>
      <c r="F472" s="46" t="n">
        <f aca="false">IF($A472="","",SUM(Weekly_Demand!G472:BF472))</f>
        <v>908</v>
      </c>
      <c r="G472" s="51" t="n">
        <f aca="false">IF($A472="","",IFERROR(F472/Assumptions!$B$6,0))</f>
        <v>17.4615384615385</v>
      </c>
      <c r="H472" s="51" t="n">
        <f aca="false">IF($A472="","",STDEV(Weekly_Demand!G472:BF472))</f>
        <v>17.0839467571874</v>
      </c>
      <c r="I472" s="52" t="n">
        <f aca="false">IF($A472="","",IFERROR(H472/G472,0))</f>
        <v>0.978375805477692</v>
      </c>
      <c r="J472" s="53" t="n">
        <f aca="false">IF($A472="","",F472*C472)</f>
        <v>3241.56</v>
      </c>
      <c r="K472" s="54" t="n">
        <f aca="false">IF($A472="","",IFERROR(J472/$J$505,0))</f>
        <v>0.000838761320151447</v>
      </c>
      <c r="L472" s="54" t="n">
        <f aca="false">IF($A472="","",IFERROR(SUMIFS($J$5:$J$504,$AB$5:$AB$504,"&lt;="&amp;AB472)/$J$505,0))</f>
        <v>0.953019998200854</v>
      </c>
      <c r="M472" s="55" t="str">
        <f aca="false">IF($A472="","",IF(L472&lt;=Assumptions!$B$7,"A",IF(L472&lt;=Assumptions!$B$8,"B","C")))</f>
        <v>C</v>
      </c>
      <c r="N472" s="55" t="str">
        <f aca="false">IF($A472="","",IF(I472&lt;=Assumptions!$B$9,"X",IF(I472&lt;=Assumptions!$B$10,"Y","Z")))</f>
        <v>Y</v>
      </c>
      <c r="O472" s="56" t="str">
        <f aca="false">IF($A472="","",M472&amp;N472)</f>
        <v>CY</v>
      </c>
      <c r="P472" s="57" t="n">
        <f aca="false">IF($A472="","",INDEX(Assumptions!$B$35:$B$37,MATCH(M472,Assumptions!$A$35:$A$37,0)))</f>
        <v>0.9</v>
      </c>
      <c r="Q472" s="58" t="n">
        <f aca="false">IF($A472="","",NORMSINV(P472))</f>
        <v>1.2815515655446</v>
      </c>
      <c r="R472" s="48" t="n">
        <f aca="false">IF($A472="","",ROUNDUP(Q472*H472*SQRT(D472),0))</f>
        <v>62</v>
      </c>
      <c r="S472" s="48" t="n">
        <f aca="false">IF($A472="","",ROUNDUP(G472*D472+R472,0))</f>
        <v>202</v>
      </c>
      <c r="T472" s="46" t="n">
        <f aca="false">IF($A472="","",IFERROR(ROUND(SQRT(2*F472*Assumptions!$B$4/(Assumptions!$B$5*C472)),0),0))</f>
        <v>319</v>
      </c>
      <c r="U472" s="53" t="n">
        <f aca="false">IF($A472="","",R472*C472)</f>
        <v>221.34</v>
      </c>
      <c r="V472" s="53" t="n">
        <f aca="false">IF($A472="","",E472*C472)</f>
        <v>185.64</v>
      </c>
      <c r="W472" s="59" t="n">
        <f aca="false">IF($A472="","",IFERROR(E472/G472,0))</f>
        <v>2.97797356828194</v>
      </c>
      <c r="X472" s="48" t="n">
        <f aca="false">IF($A472="","",S472+T472)</f>
        <v>521</v>
      </c>
      <c r="Y472" s="48" t="n">
        <f aca="false">IF($A472="","",MAX(0,E472-X472))</f>
        <v>0</v>
      </c>
      <c r="Z472" s="53" t="n">
        <f aca="false">IF($A472="","",Y472*C472)</f>
        <v>0</v>
      </c>
      <c r="AA472" s="56" t="str">
        <f aca="false">IF($A472="","",IF(E472&lt;=R472,"Below Safety Stock",IF(E472&lt;=S472,"Reorder Now",IF(E472&gt;X472,"Excess","Healthy"))))</f>
        <v>Below Safety Stock</v>
      </c>
      <c r="AB472" s="48" t="n">
        <f aca="false">IF($A472="","",RANK(AF472,$AF$5:$AF$504,0)+COUNTIF($AF$5:AF472,AF472)-1)</f>
        <v>440</v>
      </c>
      <c r="AC472" s="44" t="str">
        <f aca="false">IF($A472="","",Weekly_Demand!B472)</f>
        <v>BOX OF VINTAGE JIGSAW BLOCKS</v>
      </c>
      <c r="AD472" s="59" t="n">
        <f aca="false">IF($A472="","",H472*SQRT(D472))</f>
        <v>48.3206984057485</v>
      </c>
      <c r="AE472" s="53" t="n">
        <f aca="false">IF($A472="","",AD472*C472)</f>
        <v>172.504893308522</v>
      </c>
      <c r="AF472" s="53" t="n">
        <f aca="false">IF($A472="","",ROUND(J472,2))</f>
        <v>3241.56</v>
      </c>
    </row>
    <row r="473" customFormat="false" ht="15" hidden="false" customHeight="false" outlineLevel="0" collapsed="false">
      <c r="A473" s="44" t="str">
        <f aca="false">IF(Weekly_Demand!A473="","",Weekly_Demand!A473)</f>
        <v>22665</v>
      </c>
      <c r="B473" s="44" t="str">
        <f aca="false">IF($A473="","",Weekly_Demand!C473)</f>
        <v>Other</v>
      </c>
      <c r="C473" s="45" t="n">
        <f aca="false">IF($A473="","",Weekly_Demand!D473)</f>
        <v>1.77</v>
      </c>
      <c r="D473" s="46" t="n">
        <f aca="false">IF($A473="","",Weekly_Demand!E473+Assumptions!$B$19)</f>
        <v>4</v>
      </c>
      <c r="E473" s="46" t="n">
        <f aca="false">IF($A473="","",Weekly_Demand!F473)</f>
        <v>314</v>
      </c>
      <c r="F473" s="46" t="n">
        <f aca="false">IF($A473="","",SUM(Weekly_Demand!G473:BF473))</f>
        <v>1482</v>
      </c>
      <c r="G473" s="51" t="n">
        <f aca="false">IF($A473="","",IFERROR(F473/Assumptions!$B$6,0))</f>
        <v>28.5</v>
      </c>
      <c r="H473" s="51" t="n">
        <f aca="false">IF($A473="","",STDEV(Weekly_Demand!G473:BF473))</f>
        <v>30.4241261333895</v>
      </c>
      <c r="I473" s="52" t="n">
        <f aca="false">IF($A473="","",IFERROR(H473/G473,0))</f>
        <v>1.06751319766279</v>
      </c>
      <c r="J473" s="53" t="n">
        <f aca="false">IF($A473="","",F473*C473)</f>
        <v>2623.14</v>
      </c>
      <c r="K473" s="54" t="n">
        <f aca="false">IF($A473="","",IFERROR(J473/$J$505,0))</f>
        <v>0.000678743681851351</v>
      </c>
      <c r="L473" s="54" t="n">
        <f aca="false">IF($A473="","",IFERROR(SUMIFS($J$5:$J$504,$AB$5:$AB$504,"&lt;="&amp;AB473)/$J$505,0))</f>
        <v>0.999325005639935</v>
      </c>
      <c r="M473" s="55" t="str">
        <f aca="false">IF($A473="","",IF(L473&lt;=Assumptions!$B$7,"A",IF(L473&lt;=Assumptions!$B$8,"B","C")))</f>
        <v>C</v>
      </c>
      <c r="N473" s="55" t="str">
        <f aca="false">IF($A473="","",IF(I473&lt;=Assumptions!$B$9,"X",IF(I473&lt;=Assumptions!$B$10,"Y","Z")))</f>
        <v>Z</v>
      </c>
      <c r="O473" s="56" t="str">
        <f aca="false">IF($A473="","",M473&amp;N473)</f>
        <v>CZ</v>
      </c>
      <c r="P473" s="57" t="n">
        <f aca="false">IF($A473="","",INDEX(Assumptions!$B$35:$B$37,MATCH(M473,Assumptions!$A$35:$A$37,0)))</f>
        <v>0.9</v>
      </c>
      <c r="Q473" s="58" t="n">
        <f aca="false">IF($A473="","",NORMSINV(P473))</f>
        <v>1.2815515655446</v>
      </c>
      <c r="R473" s="48" t="n">
        <f aca="false">IF($A473="","",ROUNDUP(Q473*H473*SQRT(D473),0))</f>
        <v>78</v>
      </c>
      <c r="S473" s="48" t="n">
        <f aca="false">IF($A473="","",ROUNDUP(G473*D473+R473,0))</f>
        <v>192</v>
      </c>
      <c r="T473" s="46" t="n">
        <f aca="false">IF($A473="","",IFERROR(ROUND(SQRT(2*F473*Assumptions!$B$4/(Assumptions!$B$5*C473)),0),0))</f>
        <v>579</v>
      </c>
      <c r="U473" s="53" t="n">
        <f aca="false">IF($A473="","",R473*C473)</f>
        <v>138.06</v>
      </c>
      <c r="V473" s="53" t="n">
        <f aca="false">IF($A473="","",E473*C473)</f>
        <v>555.78</v>
      </c>
      <c r="W473" s="59" t="n">
        <f aca="false">IF($A473="","",IFERROR(E473/G473,0))</f>
        <v>11.0175438596491</v>
      </c>
      <c r="X473" s="48" t="n">
        <f aca="false">IF($A473="","",S473+T473)</f>
        <v>771</v>
      </c>
      <c r="Y473" s="48" t="n">
        <f aca="false">IF($A473="","",MAX(0,E473-X473))</f>
        <v>0</v>
      </c>
      <c r="Z473" s="53" t="n">
        <f aca="false">IF($A473="","",Y473*C473)</f>
        <v>0</v>
      </c>
      <c r="AA473" s="56" t="str">
        <f aca="false">IF($A473="","",IF(E473&lt;=R473,"Below Safety Stock",IF(E473&lt;=S473,"Reorder Now",IF(E473&gt;X473,"Excess","Healthy"))))</f>
        <v>Healthy</v>
      </c>
      <c r="AB473" s="48" t="n">
        <f aca="false">IF($A473="","",RANK(AF473,$AF$5:$AF$504,0)+COUNTIF($AF$5:AF473,AF473)-1)</f>
        <v>499</v>
      </c>
      <c r="AC473" s="44" t="str">
        <f aca="false">IF($A473="","",Weekly_Demand!B473)</f>
        <v>RECIPE BOX BLUE SKETCHBOOK DESIGN</v>
      </c>
      <c r="AD473" s="59" t="n">
        <f aca="false">IF($A473="","",H473*SQRT(D473))</f>
        <v>60.8482522667789</v>
      </c>
      <c r="AE473" s="53" t="n">
        <f aca="false">IF($A473="","",AD473*C473)</f>
        <v>107.701406512199</v>
      </c>
      <c r="AF473" s="53" t="n">
        <f aca="false">IF($A473="","",ROUND(J473,2))</f>
        <v>2623.14</v>
      </c>
    </row>
    <row r="474" customFormat="false" ht="15" hidden="false" customHeight="false" outlineLevel="0" collapsed="false">
      <c r="A474" s="44" t="str">
        <f aca="false">IF(Weekly_Demand!A474="","",Weekly_Demand!A474)</f>
        <v>22464</v>
      </c>
      <c r="B474" s="44" t="str">
        <f aca="false">IF($A474="","",Weekly_Demand!C474)</f>
        <v>Other</v>
      </c>
      <c r="C474" s="45" t="n">
        <f aca="false">IF($A474="","",Weekly_Demand!D474)</f>
        <v>0.99</v>
      </c>
      <c r="D474" s="46" t="n">
        <f aca="false">IF($A474="","",Weekly_Demand!E474+Assumptions!$B$19)</f>
        <v>2</v>
      </c>
      <c r="E474" s="46" t="n">
        <f aca="false">IF($A474="","",Weekly_Demand!F474)</f>
        <v>393</v>
      </c>
      <c r="F474" s="46" t="n">
        <f aca="false">IF($A474="","",SUM(Weekly_Demand!G474:BF474))</f>
        <v>2917</v>
      </c>
      <c r="G474" s="51" t="n">
        <f aca="false">IF($A474="","",IFERROR(F474/Assumptions!$B$6,0))</f>
        <v>56.0961538461539</v>
      </c>
      <c r="H474" s="51" t="n">
        <f aca="false">IF($A474="","",STDEV(Weekly_Demand!G474:BF474))</f>
        <v>31.0863816191583</v>
      </c>
      <c r="I474" s="52" t="n">
        <f aca="false">IF($A474="","",IFERROR(H474/G474,0))</f>
        <v>0.554162442302446</v>
      </c>
      <c r="J474" s="53" t="n">
        <f aca="false">IF($A474="","",F474*C474)</f>
        <v>2887.83</v>
      </c>
      <c r="K474" s="54" t="n">
        <f aca="false">IF($A474="","",IFERROR(J474/$J$505,0))</f>
        <v>0.000747232845658557</v>
      </c>
      <c r="L474" s="54" t="n">
        <f aca="false">IF($A474="","",IFERROR(SUMIFS($J$5:$J$504,$AB$5:$AB$504,"&lt;="&amp;AB474)/$J$505,0))</f>
        <v>0.992150300364999</v>
      </c>
      <c r="M474" s="55" t="str">
        <f aca="false">IF($A474="","",IF(L474&lt;=Assumptions!$B$7,"A",IF(L474&lt;=Assumptions!$B$8,"B","C")))</f>
        <v>C</v>
      </c>
      <c r="N474" s="55" t="str">
        <f aca="false">IF($A474="","",IF(I474&lt;=Assumptions!$B$9,"X",IF(I474&lt;=Assumptions!$B$10,"Y","Z")))</f>
        <v>Y</v>
      </c>
      <c r="O474" s="56" t="str">
        <f aca="false">IF($A474="","",M474&amp;N474)</f>
        <v>CY</v>
      </c>
      <c r="P474" s="57" t="n">
        <f aca="false">IF($A474="","",INDEX(Assumptions!$B$35:$B$37,MATCH(M474,Assumptions!$A$35:$A$37,0)))</f>
        <v>0.9</v>
      </c>
      <c r="Q474" s="58" t="n">
        <f aca="false">IF($A474="","",NORMSINV(P474))</f>
        <v>1.2815515655446</v>
      </c>
      <c r="R474" s="48" t="n">
        <f aca="false">IF($A474="","",ROUNDUP(Q474*H474*SQRT(D474),0))</f>
        <v>57</v>
      </c>
      <c r="S474" s="48" t="n">
        <f aca="false">IF($A474="","",ROUNDUP(G474*D474+R474,0))</f>
        <v>170</v>
      </c>
      <c r="T474" s="46" t="n">
        <f aca="false">IF($A474="","",IFERROR(ROUND(SQRT(2*F474*Assumptions!$B$4/(Assumptions!$B$5*C474)),0),0))</f>
        <v>1086</v>
      </c>
      <c r="U474" s="53" t="n">
        <f aca="false">IF($A474="","",R474*C474)</f>
        <v>56.43</v>
      </c>
      <c r="V474" s="53" t="n">
        <f aca="false">IF($A474="","",E474*C474)</f>
        <v>389.07</v>
      </c>
      <c r="W474" s="59" t="n">
        <f aca="false">IF($A474="","",IFERROR(E474/G474,0))</f>
        <v>7.00582790538224</v>
      </c>
      <c r="X474" s="48" t="n">
        <f aca="false">IF($A474="","",S474+T474)</f>
        <v>1256</v>
      </c>
      <c r="Y474" s="48" t="n">
        <f aca="false">IF($A474="","",MAX(0,E474-X474))</f>
        <v>0</v>
      </c>
      <c r="Z474" s="53" t="n">
        <f aca="false">IF($A474="","",Y474*C474)</f>
        <v>0</v>
      </c>
      <c r="AA474" s="56" t="str">
        <f aca="false">IF($A474="","",IF(E474&lt;=R474,"Below Safety Stock",IF(E474&lt;=S474,"Reorder Now",IF(E474&gt;X474,"Excess","Healthy"))))</f>
        <v>Healthy</v>
      </c>
      <c r="AB474" s="48" t="n">
        <f aca="false">IF($A474="","",RANK(AF474,$AF$5:$AF$504,0)+COUNTIF($AF$5:AF474,AF474)-1)</f>
        <v>489</v>
      </c>
      <c r="AC474" s="44" t="str">
        <f aca="false">IF($A474="","",Weekly_Demand!B474)</f>
        <v>HANGING METAL HEART LANTERN</v>
      </c>
      <c r="AD474" s="59" t="n">
        <f aca="false">IF($A474="","",H474*SQRT(D474))</f>
        <v>43.9627824909194</v>
      </c>
      <c r="AE474" s="53" t="n">
        <f aca="false">IF($A474="","",AD474*C474)</f>
        <v>43.5231546660102</v>
      </c>
      <c r="AF474" s="53" t="n">
        <f aca="false">IF($A474="","",ROUND(J474,2))</f>
        <v>2887.83</v>
      </c>
    </row>
    <row r="475" customFormat="false" ht="15" hidden="false" customHeight="false" outlineLevel="0" collapsed="false">
      <c r="A475" s="44" t="str">
        <f aca="false">IF(Weekly_Demand!A475="","",Weekly_Demand!A475)</f>
        <v>21844</v>
      </c>
      <c r="B475" s="44" t="str">
        <f aca="false">IF($A475="","",Weekly_Demand!C475)</f>
        <v>Kitchen</v>
      </c>
      <c r="C475" s="45" t="n">
        <f aca="false">IF($A475="","",Weekly_Demand!D475)</f>
        <v>1.77</v>
      </c>
      <c r="D475" s="46" t="n">
        <f aca="false">IF($A475="","",Weekly_Demand!E475+Assumptions!$B$19)</f>
        <v>2</v>
      </c>
      <c r="E475" s="46" t="n">
        <f aca="false">IF($A475="","",Weekly_Demand!F475)</f>
        <v>977</v>
      </c>
      <c r="F475" s="46" t="n">
        <f aca="false">IF($A475="","",SUM(Weekly_Demand!G475:BF475))</f>
        <v>1814</v>
      </c>
      <c r="G475" s="51" t="n">
        <f aca="false">IF($A475="","",IFERROR(F475/Assumptions!$B$6,0))</f>
        <v>34.8846153846154</v>
      </c>
      <c r="H475" s="51" t="n">
        <f aca="false">IF($A475="","",STDEV(Weekly_Demand!G475:BF475))</f>
        <v>50.8221249666293</v>
      </c>
      <c r="I475" s="52" t="n">
        <f aca="false">IF($A475="","",IFERROR(H475/G475,0))</f>
        <v>1.45686356023413</v>
      </c>
      <c r="J475" s="53" t="n">
        <f aca="false">IF($A475="","",F475*C475)</f>
        <v>3210.78</v>
      </c>
      <c r="K475" s="54" t="n">
        <f aca="false">IF($A475="","",IFERROR(J475/$J$505,0))</f>
        <v>0.000830796922320075</v>
      </c>
      <c r="L475" s="54" t="n">
        <f aca="false">IF($A475="","",IFERROR(SUMIFS($J$5:$J$504,$AB$5:$AB$504,"&lt;="&amp;AB475)/$J$505,0))</f>
        <v>0.961365066303309</v>
      </c>
      <c r="M475" s="55" t="str">
        <f aca="false">IF($A475="","",IF(L475&lt;=Assumptions!$B$7,"A",IF(L475&lt;=Assumptions!$B$8,"B","C")))</f>
        <v>C</v>
      </c>
      <c r="N475" s="55" t="str">
        <f aca="false">IF($A475="","",IF(I475&lt;=Assumptions!$B$9,"X",IF(I475&lt;=Assumptions!$B$10,"Y","Z")))</f>
        <v>Z</v>
      </c>
      <c r="O475" s="56" t="str">
        <f aca="false">IF($A475="","",M475&amp;N475)</f>
        <v>CZ</v>
      </c>
      <c r="P475" s="57" t="n">
        <f aca="false">IF($A475="","",INDEX(Assumptions!$B$35:$B$37,MATCH(M475,Assumptions!$A$35:$A$37,0)))</f>
        <v>0.9</v>
      </c>
      <c r="Q475" s="58" t="n">
        <f aca="false">IF($A475="","",NORMSINV(P475))</f>
        <v>1.2815515655446</v>
      </c>
      <c r="R475" s="48" t="n">
        <f aca="false">IF($A475="","",ROUNDUP(Q475*H475*SQRT(D475),0))</f>
        <v>93</v>
      </c>
      <c r="S475" s="48" t="n">
        <f aca="false">IF($A475="","",ROUNDUP(G475*D475+R475,0))</f>
        <v>163</v>
      </c>
      <c r="T475" s="46" t="n">
        <f aca="false">IF($A475="","",IFERROR(ROUND(SQRT(2*F475*Assumptions!$B$4/(Assumptions!$B$5*C475)),0),0))</f>
        <v>640</v>
      </c>
      <c r="U475" s="53" t="n">
        <f aca="false">IF($A475="","",R475*C475)</f>
        <v>164.61</v>
      </c>
      <c r="V475" s="53" t="n">
        <f aca="false">IF($A475="","",E475*C475)</f>
        <v>1729.29</v>
      </c>
      <c r="W475" s="59" t="n">
        <f aca="false">IF($A475="","",IFERROR(E475/G475,0))</f>
        <v>28.0066152149945</v>
      </c>
      <c r="X475" s="48" t="n">
        <f aca="false">IF($A475="","",S475+T475)</f>
        <v>803</v>
      </c>
      <c r="Y475" s="48" t="n">
        <f aca="false">IF($A475="","",MAX(0,E475-X475))</f>
        <v>174</v>
      </c>
      <c r="Z475" s="53" t="n">
        <f aca="false">IF($A475="","",Y475*C475)</f>
        <v>307.98</v>
      </c>
      <c r="AA475" s="56" t="str">
        <f aca="false">IF($A475="","",IF(E475&lt;=R475,"Below Safety Stock",IF(E475&lt;=S475,"Reorder Now",IF(E475&gt;X475,"Excess","Healthy"))))</f>
        <v>Excess</v>
      </c>
      <c r="AB475" s="48" t="n">
        <f aca="false">IF($A475="","",RANK(AF475,$AF$5:$AF$504,0)+COUNTIF($AF$5:AF475,AF475)-1)</f>
        <v>450</v>
      </c>
      <c r="AC475" s="44" t="str">
        <f aca="false">IF($A475="","",Weekly_Demand!B475)</f>
        <v>RED RETROSPOT MUG</v>
      </c>
      <c r="AD475" s="59" t="n">
        <f aca="false">IF($A475="","",H475*SQRT(D475))</f>
        <v>71.8733383964274</v>
      </c>
      <c r="AE475" s="53" t="n">
        <f aca="false">IF($A475="","",AD475*C475)</f>
        <v>127.215808961676</v>
      </c>
      <c r="AF475" s="53" t="n">
        <f aca="false">IF($A475="","",ROUND(J475,2))</f>
        <v>3210.78</v>
      </c>
    </row>
    <row r="476" customFormat="false" ht="15" hidden="false" customHeight="false" outlineLevel="0" collapsed="false">
      <c r="A476" s="44" t="str">
        <f aca="false">IF(Weekly_Demand!A476="","",Weekly_Demand!A476)</f>
        <v>22848</v>
      </c>
      <c r="B476" s="44" t="str">
        <f aca="false">IF($A476="","",Weekly_Demand!C476)</f>
        <v>Other</v>
      </c>
      <c r="C476" s="45" t="n">
        <f aca="false">IF($A476="","",Weekly_Demand!D476)</f>
        <v>10.17</v>
      </c>
      <c r="D476" s="46" t="n">
        <f aca="false">IF($A476="","",Weekly_Demand!E476+Assumptions!$B$19)</f>
        <v>2</v>
      </c>
      <c r="E476" s="46" t="n">
        <f aca="false">IF($A476="","",Weekly_Demand!F476)</f>
        <v>90</v>
      </c>
      <c r="F476" s="46" t="n">
        <f aca="false">IF($A476="","",SUM(Weekly_Demand!G476:BF476))</f>
        <v>312</v>
      </c>
      <c r="G476" s="51" t="n">
        <f aca="false">IF($A476="","",IFERROR(F476/Assumptions!$B$6,0))</f>
        <v>6</v>
      </c>
      <c r="H476" s="51" t="n">
        <f aca="false">IF($A476="","",STDEV(Weekly_Demand!G476:BF476))</f>
        <v>7.3963424983529</v>
      </c>
      <c r="I476" s="52" t="n">
        <f aca="false">IF($A476="","",IFERROR(H476/G476,0))</f>
        <v>1.23272374972548</v>
      </c>
      <c r="J476" s="53" t="n">
        <f aca="false">IF($A476="","",F476*C476)</f>
        <v>3173.04</v>
      </c>
      <c r="K476" s="54" t="n">
        <f aca="false">IF($A476="","",IFERROR(J476/$J$505,0))</f>
        <v>0.000821031608020011</v>
      </c>
      <c r="L476" s="54" t="n">
        <f aca="false">IF($A476="","",IFERROR(SUMIFS($J$5:$J$504,$AB$5:$AB$504,"&lt;="&amp;AB476)/$J$505,0))</f>
        <v>0.967148046618952</v>
      </c>
      <c r="M476" s="55" t="str">
        <f aca="false">IF($A476="","",IF(L476&lt;=Assumptions!$B$7,"A",IF(L476&lt;=Assumptions!$B$8,"B","C")))</f>
        <v>C</v>
      </c>
      <c r="N476" s="55" t="str">
        <f aca="false">IF($A476="","",IF(I476&lt;=Assumptions!$B$9,"X",IF(I476&lt;=Assumptions!$B$10,"Y","Z")))</f>
        <v>Z</v>
      </c>
      <c r="O476" s="56" t="str">
        <f aca="false">IF($A476="","",M476&amp;N476)</f>
        <v>CZ</v>
      </c>
      <c r="P476" s="57" t="n">
        <f aca="false">IF($A476="","",INDEX(Assumptions!$B$35:$B$37,MATCH(M476,Assumptions!$A$35:$A$37,0)))</f>
        <v>0.9</v>
      </c>
      <c r="Q476" s="58" t="n">
        <f aca="false">IF($A476="","",NORMSINV(P476))</f>
        <v>1.2815515655446</v>
      </c>
      <c r="R476" s="48" t="n">
        <f aca="false">IF($A476="","",ROUNDUP(Q476*H476*SQRT(D476),0))</f>
        <v>14</v>
      </c>
      <c r="S476" s="48" t="n">
        <f aca="false">IF($A476="","",ROUNDUP(G476*D476+R476,0))</f>
        <v>26</v>
      </c>
      <c r="T476" s="46" t="n">
        <f aca="false">IF($A476="","",IFERROR(ROUND(SQRT(2*F476*Assumptions!$B$4/(Assumptions!$B$5*C476)),0),0))</f>
        <v>111</v>
      </c>
      <c r="U476" s="53" t="n">
        <f aca="false">IF($A476="","",R476*C476)</f>
        <v>142.38</v>
      </c>
      <c r="V476" s="53" t="n">
        <f aca="false">IF($A476="","",E476*C476)</f>
        <v>915.3</v>
      </c>
      <c r="W476" s="59" t="n">
        <f aca="false">IF($A476="","",IFERROR(E476/G476,0))</f>
        <v>15</v>
      </c>
      <c r="X476" s="48" t="n">
        <f aca="false">IF($A476="","",S476+T476)</f>
        <v>137</v>
      </c>
      <c r="Y476" s="48" t="n">
        <f aca="false">IF($A476="","",MAX(0,E476-X476))</f>
        <v>0</v>
      </c>
      <c r="Z476" s="53" t="n">
        <f aca="false">IF($A476="","",Y476*C476)</f>
        <v>0</v>
      </c>
      <c r="AA476" s="56" t="str">
        <f aca="false">IF($A476="","",IF(E476&lt;=R476,"Below Safety Stock",IF(E476&lt;=S476,"Reorder Now",IF(E476&gt;X476,"Excess","Healthy"))))</f>
        <v>Healthy</v>
      </c>
      <c r="AB476" s="48" t="n">
        <f aca="false">IF($A476="","",RANK(AF476,$AF$5:$AF$504,0)+COUNTIF($AF$5:AF476,AF476)-1)</f>
        <v>457</v>
      </c>
      <c r="AC476" s="44" t="str">
        <f aca="false">IF($A476="","",Weekly_Demand!B476)</f>
        <v>BREAD BIN DINER STYLE PINK</v>
      </c>
      <c r="AD476" s="59" t="n">
        <f aca="false">IF($A476="","",H476*SQRT(D476))</f>
        <v>10.4600078731272</v>
      </c>
      <c r="AE476" s="53" t="n">
        <f aca="false">IF($A476="","",AD476*C476)</f>
        <v>106.378280069703</v>
      </c>
      <c r="AF476" s="53" t="n">
        <f aca="false">IF($A476="","",ROUND(J476,2))</f>
        <v>3173.04</v>
      </c>
    </row>
    <row r="477" customFormat="false" ht="15" hidden="false" customHeight="false" outlineLevel="0" collapsed="false">
      <c r="A477" s="44" t="str">
        <f aca="false">IF(Weekly_Demand!A477="","",Weekly_Demand!A477)</f>
        <v>22798</v>
      </c>
      <c r="B477" s="44" t="str">
        <f aca="false">IF($A477="","",Weekly_Demand!C477)</f>
        <v>Other</v>
      </c>
      <c r="C477" s="45" t="n">
        <f aca="false">IF($A477="","",Weekly_Demand!D477)</f>
        <v>1.77</v>
      </c>
      <c r="D477" s="46" t="n">
        <f aca="false">IF($A477="","",Weekly_Demand!E477+Assumptions!$B$19)</f>
        <v>6</v>
      </c>
      <c r="E477" s="46" t="n">
        <f aca="false">IF($A477="","",Weekly_Demand!F477)</f>
        <v>819</v>
      </c>
      <c r="F477" s="46" t="n">
        <f aca="false">IF($A477="","",SUM(Weekly_Demand!G477:BF477))</f>
        <v>1638</v>
      </c>
      <c r="G477" s="51" t="n">
        <f aca="false">IF($A477="","",IFERROR(F477/Assumptions!$B$6,0))</f>
        <v>31.5</v>
      </c>
      <c r="H477" s="51" t="n">
        <f aca="false">IF($A477="","",STDEV(Weekly_Demand!G477:BF477))</f>
        <v>27.8930028473655</v>
      </c>
      <c r="I477" s="52" t="n">
        <f aca="false">IF($A477="","",IFERROR(H477/G477,0))</f>
        <v>0.885492153884618</v>
      </c>
      <c r="J477" s="53" t="n">
        <f aca="false">IF($A477="","",F477*C477)</f>
        <v>2899.26</v>
      </c>
      <c r="K477" s="54" t="n">
        <f aca="false">IF($A477="","",IFERROR(J477/$J$505,0))</f>
        <v>0.000750190385204125</v>
      </c>
      <c r="L477" s="54" t="n">
        <f aca="false">IF($A477="","",IFERROR(SUMIFS($J$5:$J$504,$AB$5:$AB$504,"&lt;="&amp;AB477)/$J$505,0))</f>
        <v>0.991403067519341</v>
      </c>
      <c r="M477" s="55" t="str">
        <f aca="false">IF($A477="","",IF(L477&lt;=Assumptions!$B$7,"A",IF(L477&lt;=Assumptions!$B$8,"B","C")))</f>
        <v>C</v>
      </c>
      <c r="N477" s="55" t="str">
        <f aca="false">IF($A477="","",IF(I477&lt;=Assumptions!$B$9,"X",IF(I477&lt;=Assumptions!$B$10,"Y","Z")))</f>
        <v>Y</v>
      </c>
      <c r="O477" s="56" t="str">
        <f aca="false">IF($A477="","",M477&amp;N477)</f>
        <v>CY</v>
      </c>
      <c r="P477" s="57" t="n">
        <f aca="false">IF($A477="","",INDEX(Assumptions!$B$35:$B$37,MATCH(M477,Assumptions!$A$35:$A$37,0)))</f>
        <v>0.9</v>
      </c>
      <c r="Q477" s="58" t="n">
        <f aca="false">IF($A477="","",NORMSINV(P477))</f>
        <v>1.2815515655446</v>
      </c>
      <c r="R477" s="48" t="n">
        <f aca="false">IF($A477="","",ROUNDUP(Q477*H477*SQRT(D477),0))</f>
        <v>88</v>
      </c>
      <c r="S477" s="48" t="n">
        <f aca="false">IF($A477="","",ROUNDUP(G477*D477+R477,0))</f>
        <v>277</v>
      </c>
      <c r="T477" s="46" t="n">
        <f aca="false">IF($A477="","",IFERROR(ROUND(SQRT(2*F477*Assumptions!$B$4/(Assumptions!$B$5*C477)),0),0))</f>
        <v>608</v>
      </c>
      <c r="U477" s="53" t="n">
        <f aca="false">IF($A477="","",R477*C477)</f>
        <v>155.76</v>
      </c>
      <c r="V477" s="53" t="n">
        <f aca="false">IF($A477="","",E477*C477)</f>
        <v>1449.63</v>
      </c>
      <c r="W477" s="59" t="n">
        <f aca="false">IF($A477="","",IFERROR(E477/G477,0))</f>
        <v>26</v>
      </c>
      <c r="X477" s="48" t="n">
        <f aca="false">IF($A477="","",S477+T477)</f>
        <v>885</v>
      </c>
      <c r="Y477" s="48" t="n">
        <f aca="false">IF($A477="","",MAX(0,E477-X477))</f>
        <v>0</v>
      </c>
      <c r="Z477" s="53" t="n">
        <f aca="false">IF($A477="","",Y477*C477)</f>
        <v>0</v>
      </c>
      <c r="AA477" s="56" t="str">
        <f aca="false">IF($A477="","",IF(E477&lt;=R477,"Below Safety Stock",IF(E477&lt;=S477,"Reorder Now",IF(E477&gt;X477,"Excess","Healthy"))))</f>
        <v>Healthy</v>
      </c>
      <c r="AB477" s="48" t="n">
        <f aca="false">IF($A477="","",RANK(AF477,$AF$5:$AF$504,0)+COUNTIF($AF$5:AF477,AF477)-1)</f>
        <v>488</v>
      </c>
      <c r="AC477" s="44" t="str">
        <f aca="false">IF($A477="","",Weekly_Demand!B477)</f>
        <v>ANTIQUE GLASS DRESSING TABLE POT</v>
      </c>
      <c r="AD477" s="59" t="n">
        <f aca="false">IF($A477="","",H477*SQRT(D477))</f>
        <v>68.3236243700437</v>
      </c>
      <c r="AE477" s="53" t="n">
        <f aca="false">IF($A477="","",AD477*C477)</f>
        <v>120.932815134977</v>
      </c>
      <c r="AF477" s="53" t="n">
        <f aca="false">IF($A477="","",ROUND(J477,2))</f>
        <v>2899.26</v>
      </c>
    </row>
    <row r="478" customFormat="false" ht="15" hidden="false" customHeight="false" outlineLevel="0" collapsed="false">
      <c r="A478" s="44" t="str">
        <f aca="false">IF(Weekly_Demand!A478="","",Weekly_Demand!A478)</f>
        <v>22779</v>
      </c>
      <c r="B478" s="44" t="str">
        <f aca="false">IF($A478="","",Weekly_Demand!C478)</f>
        <v>Lighting</v>
      </c>
      <c r="C478" s="45" t="n">
        <f aca="false">IF($A478="","",Weekly_Demand!D478)</f>
        <v>2.55</v>
      </c>
      <c r="D478" s="46" t="n">
        <f aca="false">IF($A478="","",Weekly_Demand!E478+Assumptions!$B$19)</f>
        <v>8</v>
      </c>
      <c r="E478" s="46" t="n">
        <f aca="false">IF($A478="","",Weekly_Demand!F478)</f>
        <v>1266</v>
      </c>
      <c r="F478" s="46" t="n">
        <f aca="false">IF($A478="","",SUM(Weekly_Demand!G478:BF478))</f>
        <v>1317</v>
      </c>
      <c r="G478" s="51" t="n">
        <f aca="false">IF($A478="","",IFERROR(F478/Assumptions!$B$6,0))</f>
        <v>25.3269230769231</v>
      </c>
      <c r="H478" s="51" t="n">
        <f aca="false">IF($A478="","",STDEV(Weekly_Demand!G478:BF478))</f>
        <v>38.1867039553607</v>
      </c>
      <c r="I478" s="52" t="n">
        <f aca="false">IF($A478="","",IFERROR(H478/G478,0))</f>
        <v>1.50775140901956</v>
      </c>
      <c r="J478" s="53" t="n">
        <f aca="false">IF($A478="","",F478*C478)</f>
        <v>3358.35</v>
      </c>
      <c r="K478" s="54" t="n">
        <f aca="false">IF($A478="","",IFERROR(J478/$J$505,0))</f>
        <v>0.000868981008998942</v>
      </c>
      <c r="L478" s="54" t="n">
        <f aca="false">IF($A478="","",IFERROR(SUMIFS($J$5:$J$504,$AB$5:$AB$504,"&lt;="&amp;AB478)/$J$505,0))</f>
        <v>0.941053442331277</v>
      </c>
      <c r="M478" s="55" t="str">
        <f aca="false">IF($A478="","",IF(L478&lt;=Assumptions!$B$7,"A",IF(L478&lt;=Assumptions!$B$8,"B","C")))</f>
        <v>B</v>
      </c>
      <c r="N478" s="55" t="str">
        <f aca="false">IF($A478="","",IF(I478&lt;=Assumptions!$B$9,"X",IF(I478&lt;=Assumptions!$B$10,"Y","Z")))</f>
        <v>Z</v>
      </c>
      <c r="O478" s="56" t="str">
        <f aca="false">IF($A478="","",M478&amp;N478)</f>
        <v>BZ</v>
      </c>
      <c r="P478" s="57" t="n">
        <f aca="false">IF($A478="","",INDEX(Assumptions!$B$35:$B$37,MATCH(M478,Assumptions!$A$35:$A$37,0)))</f>
        <v>0.95</v>
      </c>
      <c r="Q478" s="58" t="n">
        <f aca="false">IF($A478="","",NORMSINV(P478))</f>
        <v>1.64485362695147</v>
      </c>
      <c r="R478" s="48" t="n">
        <f aca="false">IF($A478="","",ROUNDUP(Q478*H478*SQRT(D478),0))</f>
        <v>178</v>
      </c>
      <c r="S478" s="48" t="n">
        <f aca="false">IF($A478="","",ROUNDUP(G478*D478+R478,0))</f>
        <v>381</v>
      </c>
      <c r="T478" s="46" t="n">
        <f aca="false">IF($A478="","",IFERROR(ROUND(SQRT(2*F478*Assumptions!$B$4/(Assumptions!$B$5*C478)),0),0))</f>
        <v>455</v>
      </c>
      <c r="U478" s="53" t="n">
        <f aca="false">IF($A478="","",R478*C478)</f>
        <v>453.9</v>
      </c>
      <c r="V478" s="53" t="n">
        <f aca="false">IF($A478="","",E478*C478)</f>
        <v>3228.3</v>
      </c>
      <c r="W478" s="59" t="n">
        <f aca="false">IF($A478="","",IFERROR(E478/G478,0))</f>
        <v>49.9863325740319</v>
      </c>
      <c r="X478" s="48" t="n">
        <f aca="false">IF($A478="","",S478+T478)</f>
        <v>836</v>
      </c>
      <c r="Y478" s="48" t="n">
        <f aca="false">IF($A478="","",MAX(0,E478-X478))</f>
        <v>430</v>
      </c>
      <c r="Z478" s="53" t="n">
        <f aca="false">IF($A478="","",Y478*C478)</f>
        <v>1096.5</v>
      </c>
      <c r="AA478" s="56" t="str">
        <f aca="false">IF($A478="","",IF(E478&lt;=R478,"Below Safety Stock",IF(E478&lt;=S478,"Reorder Now",IF(E478&gt;X478,"Excess","Healthy"))))</f>
        <v>Excess</v>
      </c>
      <c r="AB478" s="48" t="n">
        <f aca="false">IF($A478="","",RANK(AF478,$AF$5:$AF$504,0)+COUNTIF($AF$5:AF478,AF478)-1)</f>
        <v>426</v>
      </c>
      <c r="AC478" s="44" t="str">
        <f aca="false">IF($A478="","",Weekly_Demand!B478)</f>
        <v>WOODEN OWLS LIGHT GARLAND</v>
      </c>
      <c r="AD478" s="59" t="n">
        <f aca="false">IF($A478="","",H478*SQRT(D478))</f>
        <v>108.008309271995</v>
      </c>
      <c r="AE478" s="53" t="n">
        <f aca="false">IF($A478="","",AD478*C478)</f>
        <v>275.421188643587</v>
      </c>
      <c r="AF478" s="53" t="n">
        <f aca="false">IF($A478="","",ROUND(J478,2))</f>
        <v>3358.35</v>
      </c>
    </row>
    <row r="479" customFormat="false" ht="15" hidden="false" customHeight="false" outlineLevel="0" collapsed="false">
      <c r="A479" s="44" t="str">
        <f aca="false">IF(Weekly_Demand!A479="","",Weekly_Demand!A479)</f>
        <v>22957</v>
      </c>
      <c r="B479" s="44" t="str">
        <f aca="false">IF($A479="","",Weekly_Demand!C479)</f>
        <v>Other</v>
      </c>
      <c r="C479" s="45" t="n">
        <f aca="false">IF($A479="","",Weekly_Demand!D479)</f>
        <v>1.77</v>
      </c>
      <c r="D479" s="46" t="n">
        <f aca="false">IF($A479="","",Weekly_Demand!E479+Assumptions!$B$19)</f>
        <v>4</v>
      </c>
      <c r="E479" s="46" t="n">
        <f aca="false">IF($A479="","",Weekly_Demand!F479)</f>
        <v>513</v>
      </c>
      <c r="F479" s="46" t="n">
        <f aca="false">IF($A479="","",SUM(Weekly_Demand!G479:BF479))</f>
        <v>1778</v>
      </c>
      <c r="G479" s="51" t="n">
        <f aca="false">IF($A479="","",IFERROR(F479/Assumptions!$B$6,0))</f>
        <v>34.1923076923077</v>
      </c>
      <c r="H479" s="51" t="n">
        <f aca="false">IF($A479="","",STDEV(Weekly_Demand!G479:BF479))</f>
        <v>62.1450038884513</v>
      </c>
      <c r="I479" s="52" t="n">
        <f aca="false">IF($A479="","",IFERROR(H479/G479,0))</f>
        <v>1.81751417446539</v>
      </c>
      <c r="J479" s="53" t="n">
        <f aca="false">IF($A479="","",F479*C479)</f>
        <v>3147.06</v>
      </c>
      <c r="K479" s="54" t="n">
        <f aca="false">IF($A479="","",IFERROR(J479/$J$505,0))</f>
        <v>0.000814309221546358</v>
      </c>
      <c r="L479" s="54" t="n">
        <f aca="false">IF($A479="","",IFERROR(SUMIFS($J$5:$J$504,$AB$5:$AB$504,"&lt;="&amp;AB479)/$J$505,0))</f>
        <v>0.969598511740019</v>
      </c>
      <c r="M479" s="55" t="str">
        <f aca="false">IF($A479="","",IF(L479&lt;=Assumptions!$B$7,"A",IF(L479&lt;=Assumptions!$B$8,"B","C")))</f>
        <v>C</v>
      </c>
      <c r="N479" s="55" t="str">
        <f aca="false">IF($A479="","",IF(I479&lt;=Assumptions!$B$9,"X",IF(I479&lt;=Assumptions!$B$10,"Y","Z")))</f>
        <v>Z</v>
      </c>
      <c r="O479" s="56" t="str">
        <f aca="false">IF($A479="","",M479&amp;N479)</f>
        <v>CZ</v>
      </c>
      <c r="P479" s="57" t="n">
        <f aca="false">IF($A479="","",INDEX(Assumptions!$B$35:$B$37,MATCH(M479,Assumptions!$A$35:$A$37,0)))</f>
        <v>0.9</v>
      </c>
      <c r="Q479" s="58" t="n">
        <f aca="false">IF($A479="","",NORMSINV(P479))</f>
        <v>1.2815515655446</v>
      </c>
      <c r="R479" s="48" t="n">
        <f aca="false">IF($A479="","",ROUNDUP(Q479*H479*SQRT(D479),0))</f>
        <v>160</v>
      </c>
      <c r="S479" s="48" t="n">
        <f aca="false">IF($A479="","",ROUNDUP(G479*D479+R479,0))</f>
        <v>297</v>
      </c>
      <c r="T479" s="46" t="n">
        <f aca="false">IF($A479="","",IFERROR(ROUND(SQRT(2*F479*Assumptions!$B$4/(Assumptions!$B$5*C479)),0),0))</f>
        <v>634</v>
      </c>
      <c r="U479" s="53" t="n">
        <f aca="false">IF($A479="","",R479*C479)</f>
        <v>283.2</v>
      </c>
      <c r="V479" s="53" t="n">
        <f aca="false">IF($A479="","",E479*C479)</f>
        <v>908.01</v>
      </c>
      <c r="W479" s="59" t="n">
        <f aca="false">IF($A479="","",IFERROR(E479/G479,0))</f>
        <v>15.0033745781777</v>
      </c>
      <c r="X479" s="48" t="n">
        <f aca="false">IF($A479="","",S479+T479)</f>
        <v>931</v>
      </c>
      <c r="Y479" s="48" t="n">
        <f aca="false">IF($A479="","",MAX(0,E479-X479))</f>
        <v>0</v>
      </c>
      <c r="Z479" s="53" t="n">
        <f aca="false">IF($A479="","",Y479*C479)</f>
        <v>0</v>
      </c>
      <c r="AA479" s="56" t="str">
        <f aca="false">IF($A479="","",IF(E479&lt;=R479,"Below Safety Stock",IF(E479&lt;=S479,"Reorder Now",IF(E479&gt;X479,"Excess","Healthy"))))</f>
        <v>Healthy</v>
      </c>
      <c r="AB479" s="48" t="n">
        <f aca="false">IF($A479="","",RANK(AF479,$AF$5:$AF$504,0)+COUNTIF($AF$5:AF479,AF479)-1)</f>
        <v>460</v>
      </c>
      <c r="AC479" s="44" t="str">
        <f aca="false">IF($A479="","",Weekly_Demand!B479)</f>
        <v>SET 3 PAPER VINTAGE CHICK PAPER EGG</v>
      </c>
      <c r="AD479" s="59" t="n">
        <f aca="false">IF($A479="","",H479*SQRT(D479))</f>
        <v>124.290007776903</v>
      </c>
      <c r="AE479" s="53" t="n">
        <f aca="false">IF($A479="","",AD479*C479)</f>
        <v>219.993313765118</v>
      </c>
      <c r="AF479" s="53" t="n">
        <f aca="false">IF($A479="","",ROUND(J479,2))</f>
        <v>3147.06</v>
      </c>
    </row>
    <row r="480" customFormat="false" ht="15" hidden="false" customHeight="false" outlineLevel="0" collapsed="false">
      <c r="A480" s="44" t="str">
        <f aca="false">IF(Weekly_Demand!A480="","",Weekly_Demand!A480)</f>
        <v>22302</v>
      </c>
      <c r="B480" s="44" t="str">
        <f aca="false">IF($A480="","",Weekly_Demand!C480)</f>
        <v>Kitchen</v>
      </c>
      <c r="C480" s="45" t="n">
        <f aca="false">IF($A480="","",Weekly_Demand!D480)</f>
        <v>1.53</v>
      </c>
      <c r="D480" s="46" t="n">
        <f aca="false">IF($A480="","",Weekly_Demand!E480+Assumptions!$B$19)</f>
        <v>6</v>
      </c>
      <c r="E480" s="46" t="n">
        <f aca="false">IF($A480="","",Weekly_Demand!F480)</f>
        <v>571</v>
      </c>
      <c r="F480" s="46" t="n">
        <f aca="false">IF($A480="","",SUM(Weekly_Demand!G480:BF480))</f>
        <v>2284</v>
      </c>
      <c r="G480" s="51" t="n">
        <f aca="false">IF($A480="","",IFERROR(F480/Assumptions!$B$6,0))</f>
        <v>43.9230769230769</v>
      </c>
      <c r="H480" s="51" t="n">
        <f aca="false">IF($A480="","",STDEV(Weekly_Demand!G480:BF480))</f>
        <v>61.9948910462556</v>
      </c>
      <c r="I480" s="52" t="n">
        <f aca="false">IF($A480="","",IFERROR(H480/G480,0))</f>
        <v>1.41144235306712</v>
      </c>
      <c r="J480" s="53" t="n">
        <f aca="false">IF($A480="","",F480*C480)</f>
        <v>3494.52</v>
      </c>
      <c r="K480" s="54" t="n">
        <f aca="false">IF($A480="","",IFERROR(J480/$J$505,0))</f>
        <v>0.000904215318703227</v>
      </c>
      <c r="L480" s="54" t="n">
        <f aca="false">IF($A480="","",IFERROR(SUMIFS($J$5:$J$504,$AB$5:$AB$504,"&lt;="&amp;AB480)/$J$505,0))</f>
        <v>0.926904607300593</v>
      </c>
      <c r="M480" s="55" t="str">
        <f aca="false">IF($A480="","",IF(L480&lt;=Assumptions!$B$7,"A",IF(L480&lt;=Assumptions!$B$8,"B","C")))</f>
        <v>B</v>
      </c>
      <c r="N480" s="55" t="str">
        <f aca="false">IF($A480="","",IF(I480&lt;=Assumptions!$B$9,"X",IF(I480&lt;=Assumptions!$B$10,"Y","Z")))</f>
        <v>Z</v>
      </c>
      <c r="O480" s="56" t="str">
        <f aca="false">IF($A480="","",M480&amp;N480)</f>
        <v>BZ</v>
      </c>
      <c r="P480" s="57" t="n">
        <f aca="false">IF($A480="","",INDEX(Assumptions!$B$35:$B$37,MATCH(M480,Assumptions!$A$35:$A$37,0)))</f>
        <v>0.95</v>
      </c>
      <c r="Q480" s="58" t="n">
        <f aca="false">IF($A480="","",NORMSINV(P480))</f>
        <v>1.64485362695147</v>
      </c>
      <c r="R480" s="48" t="n">
        <f aca="false">IF($A480="","",ROUNDUP(Q480*H480*SQRT(D480),0))</f>
        <v>250</v>
      </c>
      <c r="S480" s="48" t="n">
        <f aca="false">IF($A480="","",ROUNDUP(G480*D480+R480,0))</f>
        <v>514</v>
      </c>
      <c r="T480" s="46" t="n">
        <f aca="false">IF($A480="","",IFERROR(ROUND(SQRT(2*F480*Assumptions!$B$4/(Assumptions!$B$5*C480)),0),0))</f>
        <v>773</v>
      </c>
      <c r="U480" s="53" t="n">
        <f aca="false">IF($A480="","",R480*C480)</f>
        <v>382.5</v>
      </c>
      <c r="V480" s="53" t="n">
        <f aca="false">IF($A480="","",E480*C480)</f>
        <v>873.63</v>
      </c>
      <c r="W480" s="59" t="n">
        <f aca="false">IF($A480="","",IFERROR(E480/G480,0))</f>
        <v>13</v>
      </c>
      <c r="X480" s="48" t="n">
        <f aca="false">IF($A480="","",S480+T480)</f>
        <v>1287</v>
      </c>
      <c r="Y480" s="48" t="n">
        <f aca="false">IF($A480="","",MAX(0,E480-X480))</f>
        <v>0</v>
      </c>
      <c r="Z480" s="53" t="n">
        <f aca="false">IF($A480="","",Y480*C480)</f>
        <v>0</v>
      </c>
      <c r="AA480" s="56" t="str">
        <f aca="false">IF($A480="","",IF(E480&lt;=R480,"Below Safety Stock",IF(E480&lt;=S480,"Reorder Now",IF(E480&gt;X480,"Excess","Healthy"))))</f>
        <v>Healthy</v>
      </c>
      <c r="AB480" s="48" t="n">
        <f aca="false">IF($A480="","",RANK(AF480,$AF$5:$AF$504,0)+COUNTIF($AF$5:AF480,AF480)-1)</f>
        <v>410</v>
      </c>
      <c r="AC480" s="44" t="str">
        <f aca="false">IF($A480="","",Weekly_Demand!B480)</f>
        <v>COFFEE MUG PEARS  DESIGN</v>
      </c>
      <c r="AD480" s="59" t="n">
        <f aca="false">IF($A480="","",H480*SQRT(D480))</f>
        <v>151.855849722764</v>
      </c>
      <c r="AE480" s="53" t="n">
        <f aca="false">IF($A480="","",AD480*C480)</f>
        <v>232.339450075829</v>
      </c>
      <c r="AF480" s="53" t="n">
        <f aca="false">IF($A480="","",ROUND(J480,2))</f>
        <v>3494.52</v>
      </c>
    </row>
    <row r="481" customFormat="false" ht="15" hidden="false" customHeight="false" outlineLevel="0" collapsed="false">
      <c r="A481" s="44" t="str">
        <f aca="false">IF(Weekly_Demand!A481="","",Weekly_Demand!A481)</f>
        <v>23583</v>
      </c>
      <c r="B481" s="44" t="str">
        <f aca="false">IF($A481="","",Weekly_Demand!C481)</f>
        <v>Bags</v>
      </c>
      <c r="C481" s="45" t="n">
        <f aca="false">IF($A481="","",Weekly_Demand!D481)</f>
        <v>0.99</v>
      </c>
      <c r="D481" s="46" t="n">
        <f aca="false">IF($A481="","",Weekly_Demand!E481+Assumptions!$B$19)</f>
        <v>8</v>
      </c>
      <c r="E481" s="46" t="n">
        <f aca="false">IF($A481="","",Weekly_Demand!F481)</f>
        <v>596</v>
      </c>
      <c r="F481" s="46" t="n">
        <f aca="false">IF($A481="","",SUM(Weekly_Demand!G481:BF481))</f>
        <v>3097</v>
      </c>
      <c r="G481" s="51" t="n">
        <f aca="false">IF($A481="","",IFERROR(F481/Assumptions!$B$6,0))</f>
        <v>59.5576923076923</v>
      </c>
      <c r="H481" s="51" t="n">
        <f aca="false">IF($A481="","",STDEV(Weekly_Demand!G481:BF481))</f>
        <v>177.766801799496</v>
      </c>
      <c r="I481" s="52" t="n">
        <f aca="false">IF($A481="","",IFERROR(H481/G481,0))</f>
        <v>2.98478323977196</v>
      </c>
      <c r="J481" s="53" t="n">
        <f aca="false">IF($A481="","",F481*C481)</f>
        <v>3066.03</v>
      </c>
      <c r="K481" s="54" t="n">
        <f aca="false">IF($A481="","",IFERROR(J481/$J$505,0))</f>
        <v>0.000793342517313867</v>
      </c>
      <c r="L481" s="54" t="n">
        <f aca="false">IF($A481="","",IFERROR(SUMIFS($J$5:$J$504,$AB$5:$AB$504,"&lt;="&amp;AB481)/$J$505,0))</f>
        <v>0.974422125222619</v>
      </c>
      <c r="M481" s="55" t="str">
        <f aca="false">IF($A481="","",IF(L481&lt;=Assumptions!$B$7,"A",IF(L481&lt;=Assumptions!$B$8,"B","C")))</f>
        <v>C</v>
      </c>
      <c r="N481" s="55" t="str">
        <f aca="false">IF($A481="","",IF(I481&lt;=Assumptions!$B$9,"X",IF(I481&lt;=Assumptions!$B$10,"Y","Z")))</f>
        <v>Z</v>
      </c>
      <c r="O481" s="56" t="str">
        <f aca="false">IF($A481="","",M481&amp;N481)</f>
        <v>CZ</v>
      </c>
      <c r="P481" s="57" t="n">
        <f aca="false">IF($A481="","",INDEX(Assumptions!$B$35:$B$37,MATCH(M481,Assumptions!$A$35:$A$37,0)))</f>
        <v>0.9</v>
      </c>
      <c r="Q481" s="58" t="n">
        <f aca="false">IF($A481="","",NORMSINV(P481))</f>
        <v>1.2815515655446</v>
      </c>
      <c r="R481" s="48" t="n">
        <f aca="false">IF($A481="","",ROUNDUP(Q481*H481*SQRT(D481),0))</f>
        <v>645</v>
      </c>
      <c r="S481" s="48" t="n">
        <f aca="false">IF($A481="","",ROUNDUP(G481*D481+R481,0))</f>
        <v>1122</v>
      </c>
      <c r="T481" s="46" t="n">
        <f aca="false">IF($A481="","",IFERROR(ROUND(SQRT(2*F481*Assumptions!$B$4/(Assumptions!$B$5*C481)),0),0))</f>
        <v>1119</v>
      </c>
      <c r="U481" s="53" t="n">
        <f aca="false">IF($A481="","",R481*C481)</f>
        <v>638.55</v>
      </c>
      <c r="V481" s="53" t="n">
        <f aca="false">IF($A481="","",E481*C481)</f>
        <v>590.04</v>
      </c>
      <c r="W481" s="59" t="n">
        <f aca="false">IF($A481="","",IFERROR(E481/G481,0))</f>
        <v>10.0071036486923</v>
      </c>
      <c r="X481" s="48" t="n">
        <f aca="false">IF($A481="","",S481+T481)</f>
        <v>2241</v>
      </c>
      <c r="Y481" s="48" t="n">
        <f aca="false">IF($A481="","",MAX(0,E481-X481))</f>
        <v>0</v>
      </c>
      <c r="Z481" s="53" t="n">
        <f aca="false">IF($A481="","",Y481*C481)</f>
        <v>0</v>
      </c>
      <c r="AA481" s="56" t="str">
        <f aca="false">IF($A481="","",IF(E481&lt;=R481,"Below Safety Stock",IF(E481&lt;=S481,"Reorder Now",IF(E481&gt;X481,"Excess","Healthy"))))</f>
        <v>Below Safety Stock</v>
      </c>
      <c r="AB481" s="48" t="n">
        <f aca="false">IF($A481="","",RANK(AF481,$AF$5:$AF$504,0)+COUNTIF($AF$5:AF481,AF481)-1)</f>
        <v>466</v>
      </c>
      <c r="AC481" s="44" t="str">
        <f aca="false">IF($A481="","",Weekly_Demand!B481)</f>
        <v>LUNCH BAG PAISLEY PARK</v>
      </c>
      <c r="AD481" s="59" t="n">
        <f aca="false">IF($A481="","",H481*SQRT(D481))</f>
        <v>502.800444089073</v>
      </c>
      <c r="AE481" s="53" t="n">
        <f aca="false">IF($A481="","",AD481*C481)</f>
        <v>497.772439648182</v>
      </c>
      <c r="AF481" s="53" t="n">
        <f aca="false">IF($A481="","",ROUND(J481,2))</f>
        <v>3066.03</v>
      </c>
    </row>
    <row r="482" customFormat="false" ht="15" hidden="false" customHeight="false" outlineLevel="0" collapsed="false">
      <c r="A482" s="44" t="str">
        <f aca="false">IF(Weekly_Demand!A482="","",Weekly_Demand!A482)</f>
        <v>22781</v>
      </c>
      <c r="B482" s="44" t="str">
        <f aca="false">IF($A482="","",Weekly_Demand!C482)</f>
        <v>Other</v>
      </c>
      <c r="C482" s="45" t="n">
        <f aca="false">IF($A482="","",Weekly_Demand!D482)</f>
        <v>4.59</v>
      </c>
      <c r="D482" s="46" t="n">
        <f aca="false">IF($A482="","",Weekly_Demand!E482+Assumptions!$B$19)</f>
        <v>4</v>
      </c>
      <c r="E482" s="46" t="n">
        <f aca="false">IF($A482="","",Weekly_Demand!F482)</f>
        <v>162</v>
      </c>
      <c r="F482" s="46" t="n">
        <f aca="false">IF($A482="","",SUM(Weekly_Demand!G482:BF482))</f>
        <v>602</v>
      </c>
      <c r="G482" s="51" t="n">
        <f aca="false">IF($A482="","",IFERROR(F482/Assumptions!$B$6,0))</f>
        <v>11.5769230769231</v>
      </c>
      <c r="H482" s="51" t="n">
        <f aca="false">IF($A482="","",STDEV(Weekly_Demand!G482:BF482))</f>
        <v>9.14447471415873</v>
      </c>
      <c r="I482" s="52" t="n">
        <f aca="false">IF($A482="","",IFERROR(H482/G482,0))</f>
        <v>0.789888181289458</v>
      </c>
      <c r="J482" s="53" t="n">
        <f aca="false">IF($A482="","",F482*C482)</f>
        <v>2763.18</v>
      </c>
      <c r="K482" s="54" t="n">
        <f aca="false">IF($A482="","",IFERROR(J482/$J$505,0))</f>
        <v>0.000714979363212797</v>
      </c>
      <c r="L482" s="54" t="n">
        <f aca="false">IF($A482="","",IFERROR(SUMIFS($J$5:$J$504,$AB$5:$AB$504,"&lt;="&amp;AB482)/$J$505,0))</f>
        <v>0.996541029419037</v>
      </c>
      <c r="M482" s="55" t="str">
        <f aca="false">IF($A482="","",IF(L482&lt;=Assumptions!$B$7,"A",IF(L482&lt;=Assumptions!$B$8,"B","C")))</f>
        <v>C</v>
      </c>
      <c r="N482" s="55" t="str">
        <f aca="false">IF($A482="","",IF(I482&lt;=Assumptions!$B$9,"X",IF(I482&lt;=Assumptions!$B$10,"Y","Z")))</f>
        <v>Y</v>
      </c>
      <c r="O482" s="56" t="str">
        <f aca="false">IF($A482="","",M482&amp;N482)</f>
        <v>CY</v>
      </c>
      <c r="P482" s="57" t="n">
        <f aca="false">IF($A482="","",INDEX(Assumptions!$B$35:$B$37,MATCH(M482,Assumptions!$A$35:$A$37,0)))</f>
        <v>0.9</v>
      </c>
      <c r="Q482" s="58" t="n">
        <f aca="false">IF($A482="","",NORMSINV(P482))</f>
        <v>1.2815515655446</v>
      </c>
      <c r="R482" s="48" t="n">
        <f aca="false">IF($A482="","",ROUNDUP(Q482*H482*SQRT(D482),0))</f>
        <v>24</v>
      </c>
      <c r="S482" s="48" t="n">
        <f aca="false">IF($A482="","",ROUNDUP(G482*D482+R482,0))</f>
        <v>71</v>
      </c>
      <c r="T482" s="46" t="n">
        <f aca="false">IF($A482="","",IFERROR(ROUND(SQRT(2*F482*Assumptions!$B$4/(Assumptions!$B$5*C482)),0),0))</f>
        <v>229</v>
      </c>
      <c r="U482" s="53" t="n">
        <f aca="false">IF($A482="","",R482*C482)</f>
        <v>110.16</v>
      </c>
      <c r="V482" s="53" t="n">
        <f aca="false">IF($A482="","",E482*C482)</f>
        <v>743.58</v>
      </c>
      <c r="W482" s="59" t="n">
        <f aca="false">IF($A482="","",IFERROR(E482/G482,0))</f>
        <v>13.9933554817276</v>
      </c>
      <c r="X482" s="48" t="n">
        <f aca="false">IF($A482="","",S482+T482)</f>
        <v>300</v>
      </c>
      <c r="Y482" s="48" t="n">
        <f aca="false">IF($A482="","",MAX(0,E482-X482))</f>
        <v>0</v>
      </c>
      <c r="Z482" s="53" t="n">
        <f aca="false">IF($A482="","",Y482*C482)</f>
        <v>0</v>
      </c>
      <c r="AA482" s="56" t="str">
        <f aca="false">IF($A482="","",IF(E482&lt;=R482,"Below Safety Stock",IF(E482&lt;=S482,"Reorder Now",IF(E482&gt;X482,"Excess","Healthy"))))</f>
        <v>Healthy</v>
      </c>
      <c r="AB482" s="48" t="n">
        <f aca="false">IF($A482="","",RANK(AF482,$AF$5:$AF$504,0)+COUNTIF($AF$5:AF482,AF482)-1)</f>
        <v>495</v>
      </c>
      <c r="AC482" s="44" t="str">
        <f aca="false">IF($A482="","",Weekly_Demand!B482)</f>
        <v>GUMBALL MAGAZINE RACK</v>
      </c>
      <c r="AD482" s="59" t="n">
        <f aca="false">IF($A482="","",H482*SQRT(D482))</f>
        <v>18.2889494283175</v>
      </c>
      <c r="AE482" s="53" t="n">
        <f aca="false">IF($A482="","",AD482*C482)</f>
        <v>83.9462778759771</v>
      </c>
      <c r="AF482" s="53" t="n">
        <f aca="false">IF($A482="","",ROUND(J482,2))</f>
        <v>2763.18</v>
      </c>
    </row>
    <row r="483" customFormat="false" ht="15" hidden="false" customHeight="false" outlineLevel="0" collapsed="false">
      <c r="A483" s="44" t="str">
        <f aca="false">IF(Weekly_Demand!A483="","",Weekly_Demand!A483)</f>
        <v>23295</v>
      </c>
      <c r="B483" s="44" t="str">
        <f aca="false">IF($A483="","",Weekly_Demand!C483)</f>
        <v>Other</v>
      </c>
      <c r="C483" s="45" t="n">
        <f aca="false">IF($A483="","",Weekly_Demand!D483)</f>
        <v>0.498</v>
      </c>
      <c r="D483" s="46" t="n">
        <f aca="false">IF($A483="","",Weekly_Demand!E483+Assumptions!$B$19)</f>
        <v>8</v>
      </c>
      <c r="E483" s="46" t="n">
        <f aca="false">IF($A483="","",Weekly_Demand!F483)</f>
        <v>1160</v>
      </c>
      <c r="F483" s="46" t="n">
        <f aca="false">IF($A483="","",SUM(Weekly_Demand!G483:BF483))</f>
        <v>6031</v>
      </c>
      <c r="G483" s="51" t="n">
        <f aca="false">IF($A483="","",IFERROR(F483/Assumptions!$B$6,0))</f>
        <v>115.980769230769</v>
      </c>
      <c r="H483" s="51" t="n">
        <f aca="false">IF($A483="","",STDEV(Weekly_Demand!G483:BF483))</f>
        <v>176.657249884208</v>
      </c>
      <c r="I483" s="52" t="n">
        <f aca="false">IF($A483="","",IFERROR(H483/G483,0))</f>
        <v>1.52315983982405</v>
      </c>
      <c r="J483" s="53" t="n">
        <f aca="false">IF($A483="","",F483*C483)</f>
        <v>3003.438</v>
      </c>
      <c r="K483" s="54" t="n">
        <f aca="false">IF($A483="","",IFERROR(J483/$J$505,0))</f>
        <v>0.000777146689209214</v>
      </c>
      <c r="L483" s="54" t="n">
        <f aca="false">IF($A483="","",IFERROR(SUMIFS($J$5:$J$504,$AB$5:$AB$504,"&lt;="&amp;AB483)/$J$505,0))</f>
        <v>0.981488964916165</v>
      </c>
      <c r="M483" s="55" t="str">
        <f aca="false">IF($A483="","",IF(L483&lt;=Assumptions!$B$7,"A",IF(L483&lt;=Assumptions!$B$8,"B","C")))</f>
        <v>C</v>
      </c>
      <c r="N483" s="55" t="str">
        <f aca="false">IF($A483="","",IF(I483&lt;=Assumptions!$B$9,"X",IF(I483&lt;=Assumptions!$B$10,"Y","Z")))</f>
        <v>Z</v>
      </c>
      <c r="O483" s="56" t="str">
        <f aca="false">IF($A483="","",M483&amp;N483)</f>
        <v>CZ</v>
      </c>
      <c r="P483" s="57" t="n">
        <f aca="false">IF($A483="","",INDEX(Assumptions!$B$35:$B$37,MATCH(M483,Assumptions!$A$35:$A$37,0)))</f>
        <v>0.9</v>
      </c>
      <c r="Q483" s="58" t="n">
        <f aca="false">IF($A483="","",NORMSINV(P483))</f>
        <v>1.2815515655446</v>
      </c>
      <c r="R483" s="48" t="n">
        <f aca="false">IF($A483="","",ROUNDUP(Q483*H483*SQRT(D483),0))</f>
        <v>641</v>
      </c>
      <c r="S483" s="48" t="n">
        <f aca="false">IF($A483="","",ROUNDUP(G483*D483+R483,0))</f>
        <v>1569</v>
      </c>
      <c r="T483" s="46" t="n">
        <f aca="false">IF($A483="","",IFERROR(ROUND(SQRT(2*F483*Assumptions!$B$4/(Assumptions!$B$5*C483)),0),0))</f>
        <v>2201</v>
      </c>
      <c r="U483" s="53" t="n">
        <f aca="false">IF($A483="","",R483*C483)</f>
        <v>319.218</v>
      </c>
      <c r="V483" s="53" t="n">
        <f aca="false">IF($A483="","",E483*C483)</f>
        <v>577.68</v>
      </c>
      <c r="W483" s="59" t="n">
        <f aca="false">IF($A483="","",IFERROR(E483/G483,0))</f>
        <v>10.0016580998176</v>
      </c>
      <c r="X483" s="48" t="n">
        <f aca="false">IF($A483="","",S483+T483)</f>
        <v>3770</v>
      </c>
      <c r="Y483" s="48" t="n">
        <f aca="false">IF($A483="","",MAX(0,E483-X483))</f>
        <v>0</v>
      </c>
      <c r="Z483" s="53" t="n">
        <f aca="false">IF($A483="","",Y483*C483)</f>
        <v>0</v>
      </c>
      <c r="AA483" s="56" t="str">
        <f aca="false">IF($A483="","",IF(E483&lt;=R483,"Below Safety Stock",IF(E483&lt;=S483,"Reorder Now",IF(E483&gt;X483,"Excess","Healthy"))))</f>
        <v>Reorder Now</v>
      </c>
      <c r="AB483" s="48" t="n">
        <f aca="false">IF($A483="","",RANK(AF483,$AF$5:$AF$504,0)+COUNTIF($AF$5:AF483,AF483)-1)</f>
        <v>475</v>
      </c>
      <c r="AC483" s="44" t="str">
        <f aca="false">IF($A483="","",Weekly_Demand!B483)</f>
        <v>SET OF 12 MINI LOAF BAKING CASES</v>
      </c>
      <c r="AD483" s="59" t="n">
        <f aca="false">IF($A483="","",H483*SQRT(D483))</f>
        <v>499.66215735556</v>
      </c>
      <c r="AE483" s="53" t="n">
        <f aca="false">IF($A483="","",AD483*C483)</f>
        <v>248.831754363069</v>
      </c>
      <c r="AF483" s="53" t="n">
        <f aca="false">IF($A483="","",ROUND(J483,2))</f>
        <v>3003.44</v>
      </c>
    </row>
    <row r="484" customFormat="false" ht="15" hidden="false" customHeight="false" outlineLevel="0" collapsed="false">
      <c r="A484" s="44" t="str">
        <f aca="false">IF(Weekly_Demand!A484="","",Weekly_Demand!A484)</f>
        <v>21428</v>
      </c>
      <c r="B484" s="44" t="str">
        <f aca="false">IF($A484="","",Weekly_Demand!C484)</f>
        <v>Other</v>
      </c>
      <c r="C484" s="45" t="n">
        <f aca="false">IF($A484="","",Weekly_Demand!D484)</f>
        <v>2.55</v>
      </c>
      <c r="D484" s="46" t="n">
        <f aca="false">IF($A484="","",Weekly_Demand!E484+Assumptions!$B$19)</f>
        <v>2</v>
      </c>
      <c r="E484" s="46" t="n">
        <f aca="false">IF($A484="","",Weekly_Demand!F484)</f>
        <v>805</v>
      </c>
      <c r="F484" s="46" t="n">
        <f aca="false">IF($A484="","",SUM(Weekly_Demand!G484:BF484))</f>
        <v>1163</v>
      </c>
      <c r="G484" s="51" t="n">
        <f aca="false">IF($A484="","",IFERROR(F484/Assumptions!$B$6,0))</f>
        <v>22.3653846153846</v>
      </c>
      <c r="H484" s="51" t="n">
        <f aca="false">IF($A484="","",STDEV(Weekly_Demand!G484:BF484))</f>
        <v>21.8928127217308</v>
      </c>
      <c r="I484" s="52" t="n">
        <f aca="false">IF($A484="","",IFERROR(H484/G484,0))</f>
        <v>0.978870388245917</v>
      </c>
      <c r="J484" s="53" t="n">
        <f aca="false">IF($A484="","",F484*C484)</f>
        <v>2965.65</v>
      </c>
      <c r="K484" s="54" t="n">
        <f aca="false">IF($A484="","",IFERROR(J484/$J$505,0))</f>
        <v>0.000767368954795573</v>
      </c>
      <c r="L484" s="54" t="n">
        <f aca="false">IF($A484="","",IFERROR(SUMIFS($J$5:$J$504,$AB$5:$AB$504,"&lt;="&amp;AB484)/$J$505,0))</f>
        <v>0.986108551640518</v>
      </c>
      <c r="M484" s="55" t="str">
        <f aca="false">IF($A484="","",IF(L484&lt;=Assumptions!$B$7,"A",IF(L484&lt;=Assumptions!$B$8,"B","C")))</f>
        <v>C</v>
      </c>
      <c r="N484" s="55" t="str">
        <f aca="false">IF($A484="","",IF(I484&lt;=Assumptions!$B$9,"X",IF(I484&lt;=Assumptions!$B$10,"Y","Z")))</f>
        <v>Y</v>
      </c>
      <c r="O484" s="56" t="str">
        <f aca="false">IF($A484="","",M484&amp;N484)</f>
        <v>CY</v>
      </c>
      <c r="P484" s="57" t="n">
        <f aca="false">IF($A484="","",INDEX(Assumptions!$B$35:$B$37,MATCH(M484,Assumptions!$A$35:$A$37,0)))</f>
        <v>0.9</v>
      </c>
      <c r="Q484" s="58" t="n">
        <f aca="false">IF($A484="","",NORMSINV(P484))</f>
        <v>1.2815515655446</v>
      </c>
      <c r="R484" s="48" t="n">
        <f aca="false">IF($A484="","",ROUNDUP(Q484*H484*SQRT(D484),0))</f>
        <v>40</v>
      </c>
      <c r="S484" s="48" t="n">
        <f aca="false">IF($A484="","",ROUNDUP(G484*D484+R484,0))</f>
        <v>85</v>
      </c>
      <c r="T484" s="46" t="n">
        <f aca="false">IF($A484="","",IFERROR(ROUND(SQRT(2*F484*Assumptions!$B$4/(Assumptions!$B$5*C484)),0),0))</f>
        <v>427</v>
      </c>
      <c r="U484" s="53" t="n">
        <f aca="false">IF($A484="","",R484*C484)</f>
        <v>102</v>
      </c>
      <c r="V484" s="53" t="n">
        <f aca="false">IF($A484="","",E484*C484)</f>
        <v>2052.75</v>
      </c>
      <c r="W484" s="59" t="n">
        <f aca="false">IF($A484="","",IFERROR(E484/G484,0))</f>
        <v>35.9931212381771</v>
      </c>
      <c r="X484" s="48" t="n">
        <f aca="false">IF($A484="","",S484+T484)</f>
        <v>512</v>
      </c>
      <c r="Y484" s="48" t="n">
        <f aca="false">IF($A484="","",MAX(0,E484-X484))</f>
        <v>293</v>
      </c>
      <c r="Z484" s="53" t="n">
        <f aca="false">IF($A484="","",Y484*C484)</f>
        <v>747.15</v>
      </c>
      <c r="AA484" s="56" t="str">
        <f aca="false">IF($A484="","",IF(E484&lt;=R484,"Below Safety Stock",IF(E484&lt;=S484,"Reorder Now",IF(E484&gt;X484,"Excess","Healthy"))))</f>
        <v>Excess</v>
      </c>
      <c r="AB484" s="48" t="n">
        <f aca="false">IF($A484="","",RANK(AF484,$AF$5:$AF$504,0)+COUNTIF($AF$5:AF484,AF484)-1)</f>
        <v>481</v>
      </c>
      <c r="AC484" s="44" t="str">
        <f aca="false">IF($A484="","",Weekly_Demand!B484)</f>
        <v>SET3 BOOK BOX GREEN GINGHAM FLOWER</v>
      </c>
      <c r="AD484" s="59" t="n">
        <f aca="false">IF($A484="","",H484*SQRT(D484))</f>
        <v>30.9611126695659</v>
      </c>
      <c r="AE484" s="53" t="n">
        <f aca="false">IF($A484="","",AD484*C484)</f>
        <v>78.9508373073931</v>
      </c>
      <c r="AF484" s="53" t="n">
        <f aca="false">IF($A484="","",ROUND(J484,2))</f>
        <v>2965.65</v>
      </c>
    </row>
    <row r="485" customFormat="false" ht="15" hidden="false" customHeight="false" outlineLevel="0" collapsed="false">
      <c r="A485" s="44" t="str">
        <f aca="false">IF(Weekly_Demand!A485="","",Weekly_Demand!A485)</f>
        <v>23553</v>
      </c>
      <c r="B485" s="44" t="str">
        <f aca="false">IF($A485="","",Weekly_Demand!C485)</f>
        <v>Other</v>
      </c>
      <c r="C485" s="45" t="n">
        <f aca="false">IF($A485="","",Weekly_Demand!D485)</f>
        <v>7.5</v>
      </c>
      <c r="D485" s="46" t="n">
        <f aca="false">IF($A485="","",Weekly_Demand!E485+Assumptions!$B$19)</f>
        <v>4</v>
      </c>
      <c r="E485" s="46" t="n">
        <f aca="false">IF($A485="","",Weekly_Demand!F485)</f>
        <v>8</v>
      </c>
      <c r="F485" s="46" t="n">
        <f aca="false">IF($A485="","",SUM(Weekly_Demand!G485:BF485))</f>
        <v>434</v>
      </c>
      <c r="G485" s="51" t="n">
        <f aca="false">IF($A485="","",IFERROR(F485/Assumptions!$B$6,0))</f>
        <v>8.34615384615385</v>
      </c>
      <c r="H485" s="51" t="n">
        <f aca="false">IF($A485="","",STDEV(Weekly_Demand!G485:BF485))</f>
        <v>43.4655079007931</v>
      </c>
      <c r="I485" s="52" t="n">
        <f aca="false">IF($A485="","",IFERROR(H485/G485,0))</f>
        <v>5.20784887290608</v>
      </c>
      <c r="J485" s="53" t="n">
        <f aca="false">IF($A485="","",F485*C485)</f>
        <v>3255</v>
      </c>
      <c r="K485" s="54" t="n">
        <f aca="false">IF($A485="","",IFERROR(J485/$J$505,0))</f>
        <v>0.000842238951953059</v>
      </c>
      <c r="L485" s="54" t="n">
        <f aca="false">IF($A485="","",IFERROR(SUMIFS($J$5:$J$504,$AB$5:$AB$504,"&lt;="&amp;AB485)/$J$505,0))</f>
        <v>0.951341155923483</v>
      </c>
      <c r="M485" s="55" t="str">
        <f aca="false">IF($A485="","",IF(L485&lt;=Assumptions!$B$7,"A",IF(L485&lt;=Assumptions!$B$8,"B","C")))</f>
        <v>C</v>
      </c>
      <c r="N485" s="55" t="str">
        <f aca="false">IF($A485="","",IF(I485&lt;=Assumptions!$B$9,"X",IF(I485&lt;=Assumptions!$B$10,"Y","Z")))</f>
        <v>Z</v>
      </c>
      <c r="O485" s="56" t="str">
        <f aca="false">IF($A485="","",M485&amp;N485)</f>
        <v>CZ</v>
      </c>
      <c r="P485" s="57" t="n">
        <f aca="false">IF($A485="","",INDEX(Assumptions!$B$35:$B$37,MATCH(M485,Assumptions!$A$35:$A$37,0)))</f>
        <v>0.9</v>
      </c>
      <c r="Q485" s="58" t="n">
        <f aca="false">IF($A485="","",NORMSINV(P485))</f>
        <v>1.2815515655446</v>
      </c>
      <c r="R485" s="48" t="n">
        <f aca="false">IF($A485="","",ROUNDUP(Q485*H485*SQRT(D485),0))</f>
        <v>112</v>
      </c>
      <c r="S485" s="48" t="n">
        <f aca="false">IF($A485="","",ROUNDUP(G485*D485+R485,0))</f>
        <v>146</v>
      </c>
      <c r="T485" s="46" t="n">
        <f aca="false">IF($A485="","",IFERROR(ROUND(SQRT(2*F485*Assumptions!$B$4/(Assumptions!$B$5*C485)),0),0))</f>
        <v>152</v>
      </c>
      <c r="U485" s="53" t="n">
        <f aca="false">IF($A485="","",R485*C485)</f>
        <v>840</v>
      </c>
      <c r="V485" s="53" t="n">
        <f aca="false">IF($A485="","",E485*C485)</f>
        <v>60</v>
      </c>
      <c r="W485" s="59" t="n">
        <f aca="false">IF($A485="","",IFERROR(E485/G485,0))</f>
        <v>0.95852534562212</v>
      </c>
      <c r="X485" s="48" t="n">
        <f aca="false">IF($A485="","",S485+T485)</f>
        <v>298</v>
      </c>
      <c r="Y485" s="48" t="n">
        <f aca="false">IF($A485="","",MAX(0,E485-X485))</f>
        <v>0</v>
      </c>
      <c r="Z485" s="53" t="n">
        <f aca="false">IF($A485="","",Y485*C485)</f>
        <v>0</v>
      </c>
      <c r="AA485" s="56" t="str">
        <f aca="false">IF($A485="","",IF(E485&lt;=R485,"Below Safety Stock",IF(E485&lt;=S485,"Reorder Now",IF(E485&gt;X485,"Excess","Healthy"))))</f>
        <v>Below Safety Stock</v>
      </c>
      <c r="AB485" s="48" t="n">
        <f aca="false">IF($A485="","",RANK(AF485,$AF$5:$AF$504,0)+COUNTIF($AF$5:AF485,AF485)-1)</f>
        <v>438</v>
      </c>
      <c r="AC485" s="44" t="str">
        <f aca="false">IF($A485="","",Weekly_Demand!B485)</f>
        <v>LANDMARK FRAME CAMDEN TOWN</v>
      </c>
      <c r="AD485" s="59" t="n">
        <f aca="false">IF($A485="","",H485*SQRT(D485))</f>
        <v>86.9310158015862</v>
      </c>
      <c r="AE485" s="53" t="n">
        <f aca="false">IF($A485="","",AD485*C485)</f>
        <v>651.982618511896</v>
      </c>
      <c r="AF485" s="53" t="n">
        <f aca="false">IF($A485="","",ROUND(J485,2))</f>
        <v>3255</v>
      </c>
    </row>
    <row r="486" customFormat="false" ht="15" hidden="false" customHeight="false" outlineLevel="0" collapsed="false">
      <c r="A486" s="44" t="str">
        <f aca="false">IF(Weekly_Demand!A486="","",Weekly_Demand!A486)</f>
        <v>23397</v>
      </c>
      <c r="B486" s="44" t="str">
        <f aca="false">IF($A486="","",Weekly_Demand!C486)</f>
        <v>Other</v>
      </c>
      <c r="C486" s="45" t="n">
        <f aca="false">IF($A486="","",Weekly_Demand!D486)</f>
        <v>5.97</v>
      </c>
      <c r="D486" s="46" t="n">
        <f aca="false">IF($A486="","",Weekly_Demand!E486+Assumptions!$B$19)</f>
        <v>4</v>
      </c>
      <c r="E486" s="46" t="n">
        <f aca="false">IF($A486="","",Weekly_Demand!F486)</f>
        <v>56</v>
      </c>
      <c r="F486" s="46" t="n">
        <f aca="false">IF($A486="","",SUM(Weekly_Demand!G486:BF486))</f>
        <v>482</v>
      </c>
      <c r="G486" s="51" t="n">
        <f aca="false">IF($A486="","",IFERROR(F486/Assumptions!$B$6,0))</f>
        <v>9.26923076923077</v>
      </c>
      <c r="H486" s="51" t="n">
        <f aca="false">IF($A486="","",STDEV(Weekly_Demand!G486:BF486))</f>
        <v>17.8722211712132</v>
      </c>
      <c r="I486" s="52" t="n">
        <f aca="false">IF($A486="","",IFERROR(H486/G486,0))</f>
        <v>1.92812344585702</v>
      </c>
      <c r="J486" s="53" t="n">
        <f aca="false">IF($A486="","",F486*C486)</f>
        <v>2877.54</v>
      </c>
      <c r="K486" s="54" t="n">
        <f aca="false">IF($A486="","",IFERROR(J486/$J$505,0))</f>
        <v>0.000744570283810447</v>
      </c>
      <c r="L486" s="54" t="n">
        <f aca="false">IF($A486="","",IFERROR(SUMIFS($J$5:$J$504,$AB$5:$AB$504,"&lt;="&amp;AB486)/$J$505,0))</f>
        <v>0.993641468516162</v>
      </c>
      <c r="M486" s="55" t="str">
        <f aca="false">IF($A486="","",IF(L486&lt;=Assumptions!$B$7,"A",IF(L486&lt;=Assumptions!$B$8,"B","C")))</f>
        <v>C</v>
      </c>
      <c r="N486" s="55" t="str">
        <f aca="false">IF($A486="","",IF(I486&lt;=Assumptions!$B$9,"X",IF(I486&lt;=Assumptions!$B$10,"Y","Z")))</f>
        <v>Z</v>
      </c>
      <c r="O486" s="56" t="str">
        <f aca="false">IF($A486="","",M486&amp;N486)</f>
        <v>CZ</v>
      </c>
      <c r="P486" s="57" t="n">
        <f aca="false">IF($A486="","",INDEX(Assumptions!$B$35:$B$37,MATCH(M486,Assumptions!$A$35:$A$37,0)))</f>
        <v>0.9</v>
      </c>
      <c r="Q486" s="58" t="n">
        <f aca="false">IF($A486="","",NORMSINV(P486))</f>
        <v>1.2815515655446</v>
      </c>
      <c r="R486" s="48" t="n">
        <f aca="false">IF($A486="","",ROUNDUP(Q486*H486*SQRT(D486),0))</f>
        <v>46</v>
      </c>
      <c r="S486" s="48" t="n">
        <f aca="false">IF($A486="","",ROUNDUP(G486*D486+R486,0))</f>
        <v>84</v>
      </c>
      <c r="T486" s="46" t="n">
        <f aca="false">IF($A486="","",IFERROR(ROUND(SQRT(2*F486*Assumptions!$B$4/(Assumptions!$B$5*C486)),0),0))</f>
        <v>180</v>
      </c>
      <c r="U486" s="53" t="n">
        <f aca="false">IF($A486="","",R486*C486)</f>
        <v>274.62</v>
      </c>
      <c r="V486" s="53" t="n">
        <f aca="false">IF($A486="","",E486*C486)</f>
        <v>334.32</v>
      </c>
      <c r="W486" s="59" t="n">
        <f aca="false">IF($A486="","",IFERROR(E486/G486,0))</f>
        <v>6.04149377593361</v>
      </c>
      <c r="X486" s="48" t="n">
        <f aca="false">IF($A486="","",S486+T486)</f>
        <v>264</v>
      </c>
      <c r="Y486" s="48" t="n">
        <f aca="false">IF($A486="","",MAX(0,E486-X486))</f>
        <v>0</v>
      </c>
      <c r="Z486" s="53" t="n">
        <f aca="false">IF($A486="","",Y486*C486)</f>
        <v>0</v>
      </c>
      <c r="AA486" s="56" t="str">
        <f aca="false">IF($A486="","",IF(E486&lt;=R486,"Below Safety Stock",IF(E486&lt;=S486,"Reorder Now",IF(E486&gt;X486,"Excess","Healthy"))))</f>
        <v>Reorder Now</v>
      </c>
      <c r="AB486" s="48" t="n">
        <f aca="false">IF($A486="","",RANK(AF486,$AF$5:$AF$504,0)+COUNTIF($AF$5:AF486,AF486)-1)</f>
        <v>491</v>
      </c>
      <c r="AC486" s="44" t="str">
        <f aca="false">IF($A486="","",Weekly_Demand!B486)</f>
        <v>FOOT STOOL HOME SWEET HOME</v>
      </c>
      <c r="AD486" s="59" t="n">
        <f aca="false">IF($A486="","",H486*SQRT(D486))</f>
        <v>35.7444423424263</v>
      </c>
      <c r="AE486" s="53" t="n">
        <f aca="false">IF($A486="","",AD486*C486)</f>
        <v>213.394320784285</v>
      </c>
      <c r="AF486" s="53" t="n">
        <f aca="false">IF($A486="","",ROUND(J486,2))</f>
        <v>2877.54</v>
      </c>
    </row>
    <row r="487" customFormat="false" ht="15" hidden="false" customHeight="false" outlineLevel="0" collapsed="false">
      <c r="A487" s="44" t="str">
        <f aca="false">IF(Weekly_Demand!A487="","",Weekly_Demand!A487)</f>
        <v>22849</v>
      </c>
      <c r="B487" s="44" t="str">
        <f aca="false">IF($A487="","",Weekly_Demand!C487)</f>
        <v>Other</v>
      </c>
      <c r="C487" s="45" t="n">
        <f aca="false">IF($A487="","",Weekly_Demand!D487)</f>
        <v>10.17</v>
      </c>
      <c r="D487" s="46" t="n">
        <f aca="false">IF($A487="","",Weekly_Demand!E487+Assumptions!$B$19)</f>
        <v>4</v>
      </c>
      <c r="E487" s="46" t="n">
        <f aca="false">IF($A487="","",Weekly_Demand!F487)</f>
        <v>49</v>
      </c>
      <c r="F487" s="46" t="n">
        <f aca="false">IF($A487="","",SUM(Weekly_Demand!G487:BF487))</f>
        <v>318</v>
      </c>
      <c r="G487" s="51" t="n">
        <f aca="false">IF($A487="","",IFERROR(F487/Assumptions!$B$6,0))</f>
        <v>6.11538461538462</v>
      </c>
      <c r="H487" s="51" t="n">
        <f aca="false">IF($A487="","",STDEV(Weekly_Demand!G487:BF487))</f>
        <v>8.44045776603088</v>
      </c>
      <c r="I487" s="52" t="n">
        <f aca="false">IF($A487="","",IFERROR(H487/G487,0))</f>
        <v>1.38020064098618</v>
      </c>
      <c r="J487" s="53" t="n">
        <f aca="false">IF($A487="","",F487*C487)</f>
        <v>3234.06</v>
      </c>
      <c r="K487" s="54" t="n">
        <f aca="false">IF($A487="","",IFERROR(J487/$J$505,0))</f>
        <v>0.000836820677405011</v>
      </c>
      <c r="L487" s="54" t="n">
        <f aca="false">IF($A487="","",IFERROR(SUMIFS($J$5:$J$504,$AB$5:$AB$504,"&lt;="&amp;AB487)/$J$505,0))</f>
        <v>0.954694074259639</v>
      </c>
      <c r="M487" s="55" t="str">
        <f aca="false">IF($A487="","",IF(L487&lt;=Assumptions!$B$7,"A",IF(L487&lt;=Assumptions!$B$8,"B","C")))</f>
        <v>C</v>
      </c>
      <c r="N487" s="55" t="str">
        <f aca="false">IF($A487="","",IF(I487&lt;=Assumptions!$B$9,"X",IF(I487&lt;=Assumptions!$B$10,"Y","Z")))</f>
        <v>Z</v>
      </c>
      <c r="O487" s="56" t="str">
        <f aca="false">IF($A487="","",M487&amp;N487)</f>
        <v>CZ</v>
      </c>
      <c r="P487" s="57" t="n">
        <f aca="false">IF($A487="","",INDEX(Assumptions!$B$35:$B$37,MATCH(M487,Assumptions!$A$35:$A$37,0)))</f>
        <v>0.9</v>
      </c>
      <c r="Q487" s="58" t="n">
        <f aca="false">IF($A487="","",NORMSINV(P487))</f>
        <v>1.2815515655446</v>
      </c>
      <c r="R487" s="48" t="n">
        <f aca="false">IF($A487="","",ROUNDUP(Q487*H487*SQRT(D487),0))</f>
        <v>22</v>
      </c>
      <c r="S487" s="48" t="n">
        <f aca="false">IF($A487="","",ROUNDUP(G487*D487+R487,0))</f>
        <v>47</v>
      </c>
      <c r="T487" s="46" t="n">
        <f aca="false">IF($A487="","",IFERROR(ROUND(SQRT(2*F487*Assumptions!$B$4/(Assumptions!$B$5*C487)),0),0))</f>
        <v>112</v>
      </c>
      <c r="U487" s="53" t="n">
        <f aca="false">IF($A487="","",R487*C487)</f>
        <v>223.74</v>
      </c>
      <c r="V487" s="53" t="n">
        <f aca="false">IF($A487="","",E487*C487)</f>
        <v>498.33</v>
      </c>
      <c r="W487" s="59" t="n">
        <f aca="false">IF($A487="","",IFERROR(E487/G487,0))</f>
        <v>8.0125786163522</v>
      </c>
      <c r="X487" s="48" t="n">
        <f aca="false">IF($A487="","",S487+T487)</f>
        <v>159</v>
      </c>
      <c r="Y487" s="48" t="n">
        <f aca="false">IF($A487="","",MAX(0,E487-X487))</f>
        <v>0</v>
      </c>
      <c r="Z487" s="53" t="n">
        <f aca="false">IF($A487="","",Y487*C487)</f>
        <v>0</v>
      </c>
      <c r="AA487" s="56" t="str">
        <f aca="false">IF($A487="","",IF(E487&lt;=R487,"Below Safety Stock",IF(E487&lt;=S487,"Reorder Now",IF(E487&gt;X487,"Excess","Healthy"))))</f>
        <v>Healthy</v>
      </c>
      <c r="AB487" s="48" t="n">
        <f aca="false">IF($A487="","",RANK(AF487,$AF$5:$AF$504,0)+COUNTIF($AF$5:AF487,AF487)-1)</f>
        <v>442</v>
      </c>
      <c r="AC487" s="44" t="str">
        <f aca="false">IF($A487="","",Weekly_Demand!B487)</f>
        <v>BREAD BIN DINER STYLE MINT</v>
      </c>
      <c r="AD487" s="59" t="n">
        <f aca="false">IF($A487="","",H487*SQRT(D487))</f>
        <v>16.8809155320618</v>
      </c>
      <c r="AE487" s="53" t="n">
        <f aca="false">IF($A487="","",AD487*C487)</f>
        <v>171.678910961068</v>
      </c>
      <c r="AF487" s="53" t="n">
        <f aca="false">IF($A487="","",ROUND(J487,2))</f>
        <v>3234.06</v>
      </c>
    </row>
    <row r="488" customFormat="false" ht="15" hidden="false" customHeight="false" outlineLevel="0" collapsed="false">
      <c r="A488" s="44" t="str">
        <f aca="false">IF(Weekly_Demand!A488="","",Weekly_Demand!A488)</f>
        <v>22898</v>
      </c>
      <c r="B488" s="44" t="str">
        <f aca="false">IF($A488="","",Weekly_Demand!C488)</f>
        <v>Other</v>
      </c>
      <c r="C488" s="45" t="n">
        <f aca="false">IF($A488="","",Weekly_Demand!D488)</f>
        <v>1.17</v>
      </c>
      <c r="D488" s="46" t="n">
        <f aca="false">IF($A488="","",Weekly_Demand!E488+Assumptions!$B$19)</f>
        <v>6</v>
      </c>
      <c r="E488" s="46" t="n">
        <f aca="false">IF($A488="","",Weekly_Demand!F488)</f>
        <v>1170</v>
      </c>
      <c r="F488" s="46" t="n">
        <f aca="false">IF($A488="","",SUM(Weekly_Demand!G488:BF488))</f>
        <v>2339</v>
      </c>
      <c r="G488" s="51" t="n">
        <f aca="false">IF($A488="","",IFERROR(F488/Assumptions!$B$6,0))</f>
        <v>44.9807692307692</v>
      </c>
      <c r="H488" s="51" t="n">
        <f aca="false">IF($A488="","",STDEV(Weekly_Demand!G488:BF488))</f>
        <v>38.3735460270588</v>
      </c>
      <c r="I488" s="52" t="n">
        <f aca="false">IF($A488="","",IFERROR(H488/G488,0))</f>
        <v>0.853110044209943</v>
      </c>
      <c r="J488" s="53" t="n">
        <f aca="false">IF($A488="","",F488*C488)</f>
        <v>2736.63</v>
      </c>
      <c r="K488" s="54" t="n">
        <f aca="false">IF($A488="","",IFERROR(J488/$J$505,0))</f>
        <v>0.000708109487890415</v>
      </c>
      <c r="L488" s="54" t="n">
        <f aca="false">IF($A488="","",IFERROR(SUMIFS($J$5:$J$504,$AB$5:$AB$504,"&lt;="&amp;AB488)/$J$505,0))</f>
        <v>0.997958715520734</v>
      </c>
      <c r="M488" s="55" t="str">
        <f aca="false">IF($A488="","",IF(L488&lt;=Assumptions!$B$7,"A",IF(L488&lt;=Assumptions!$B$8,"B","C")))</f>
        <v>C</v>
      </c>
      <c r="N488" s="55" t="str">
        <f aca="false">IF($A488="","",IF(I488&lt;=Assumptions!$B$9,"X",IF(I488&lt;=Assumptions!$B$10,"Y","Z")))</f>
        <v>Y</v>
      </c>
      <c r="O488" s="56" t="str">
        <f aca="false">IF($A488="","",M488&amp;N488)</f>
        <v>CY</v>
      </c>
      <c r="P488" s="57" t="n">
        <f aca="false">IF($A488="","",INDEX(Assumptions!$B$35:$B$37,MATCH(M488,Assumptions!$A$35:$A$37,0)))</f>
        <v>0.9</v>
      </c>
      <c r="Q488" s="58" t="n">
        <f aca="false">IF($A488="","",NORMSINV(P488))</f>
        <v>1.2815515655446</v>
      </c>
      <c r="R488" s="48" t="n">
        <f aca="false">IF($A488="","",ROUNDUP(Q488*H488*SQRT(D488),0))</f>
        <v>121</v>
      </c>
      <c r="S488" s="48" t="n">
        <f aca="false">IF($A488="","",ROUNDUP(G488*D488+R488,0))</f>
        <v>391</v>
      </c>
      <c r="T488" s="46" t="n">
        <f aca="false">IF($A488="","",IFERROR(ROUND(SQRT(2*F488*Assumptions!$B$4/(Assumptions!$B$5*C488)),0),0))</f>
        <v>894</v>
      </c>
      <c r="U488" s="53" t="n">
        <f aca="false">IF($A488="","",R488*C488)</f>
        <v>141.57</v>
      </c>
      <c r="V488" s="53" t="n">
        <f aca="false">IF($A488="","",E488*C488)</f>
        <v>1368.9</v>
      </c>
      <c r="W488" s="59" t="n">
        <f aca="false">IF($A488="","",IFERROR(E488/G488,0))</f>
        <v>26.0111158614793</v>
      </c>
      <c r="X488" s="48" t="n">
        <f aca="false">IF($A488="","",S488+T488)</f>
        <v>1285</v>
      </c>
      <c r="Y488" s="48" t="n">
        <f aca="false">IF($A488="","",MAX(0,E488-X488))</f>
        <v>0</v>
      </c>
      <c r="Z488" s="53" t="n">
        <f aca="false">IF($A488="","",Y488*C488)</f>
        <v>0</v>
      </c>
      <c r="AA488" s="56" t="str">
        <f aca="false">IF($A488="","",IF(E488&lt;=R488,"Below Safety Stock",IF(E488&lt;=S488,"Reorder Now",IF(E488&gt;X488,"Excess","Healthy"))))</f>
        <v>Healthy</v>
      </c>
      <c r="AB488" s="48" t="n">
        <f aca="false">IF($A488="","",RANK(AF488,$AF$5:$AF$504,0)+COUNTIF($AF$5:AF488,AF488)-1)</f>
        <v>497</v>
      </c>
      <c r="AC488" s="44" t="str">
        <f aca="false">IF($A488="","",Weekly_Demand!B488)</f>
        <v>CHILDRENS APRON APPLES DESIGN</v>
      </c>
      <c r="AD488" s="59" t="n">
        <f aca="false">IF($A488="","",H488*SQRT(D488))</f>
        <v>93.9956073874987</v>
      </c>
      <c r="AE488" s="53" t="n">
        <f aca="false">IF($A488="","",AD488*C488)</f>
        <v>109.974860643373</v>
      </c>
      <c r="AF488" s="53" t="n">
        <f aca="false">IF($A488="","",ROUND(J488,2))</f>
        <v>2736.63</v>
      </c>
    </row>
    <row r="489" customFormat="false" ht="15" hidden="false" customHeight="false" outlineLevel="0" collapsed="false">
      <c r="A489" s="44" t="str">
        <f aca="false">IF(Weekly_Demand!A489="","",Weekly_Demand!A489)</f>
        <v>23263</v>
      </c>
      <c r="B489" s="44" t="str">
        <f aca="false">IF($A489="","",Weekly_Demand!C489)</f>
        <v>Other</v>
      </c>
      <c r="C489" s="45" t="n">
        <f aca="false">IF($A489="","",Weekly_Demand!D489)</f>
        <v>0.75</v>
      </c>
      <c r="D489" s="46" t="n">
        <f aca="false">IF($A489="","",Weekly_Demand!E489+Assumptions!$B$19)</f>
        <v>8</v>
      </c>
      <c r="E489" s="46" t="n">
        <f aca="false">IF($A489="","",Weekly_Demand!F489)</f>
        <v>2236</v>
      </c>
      <c r="F489" s="46" t="n">
        <f aca="false">IF($A489="","",SUM(Weekly_Demand!G489:BF489))</f>
        <v>3751</v>
      </c>
      <c r="G489" s="51" t="n">
        <f aca="false">IF($A489="","",IFERROR(F489/Assumptions!$B$6,0))</f>
        <v>72.1346153846154</v>
      </c>
      <c r="H489" s="51" t="n">
        <f aca="false">IF($A489="","",STDEV(Weekly_Demand!G489:BF489))</f>
        <v>94.4937032545086</v>
      </c>
      <c r="I489" s="52" t="n">
        <f aca="false">IF($A489="","",IFERROR(H489/G489,0))</f>
        <v>1.3099633615661</v>
      </c>
      <c r="J489" s="53" t="n">
        <f aca="false">IF($A489="","",F489*C489)</f>
        <v>2813.25</v>
      </c>
      <c r="K489" s="54" t="n">
        <f aca="false">IF($A489="","",IFERROR(J489/$J$505,0))</f>
        <v>0.000727935094188001</v>
      </c>
      <c r="L489" s="54" t="n">
        <f aca="false">IF($A489="","",IFERROR(SUMIFS($J$5:$J$504,$AB$5:$AB$504,"&lt;="&amp;AB489)/$J$505,0))</f>
        <v>0.995102190311404</v>
      </c>
      <c r="M489" s="55" t="str">
        <f aca="false">IF($A489="","",IF(L489&lt;=Assumptions!$B$7,"A",IF(L489&lt;=Assumptions!$B$8,"B","C")))</f>
        <v>C</v>
      </c>
      <c r="N489" s="55" t="str">
        <f aca="false">IF($A489="","",IF(I489&lt;=Assumptions!$B$9,"X",IF(I489&lt;=Assumptions!$B$10,"Y","Z")))</f>
        <v>Z</v>
      </c>
      <c r="O489" s="56" t="str">
        <f aca="false">IF($A489="","",M489&amp;N489)</f>
        <v>CZ</v>
      </c>
      <c r="P489" s="57" t="n">
        <f aca="false">IF($A489="","",INDEX(Assumptions!$B$35:$B$37,MATCH(M489,Assumptions!$A$35:$A$37,0)))</f>
        <v>0.9</v>
      </c>
      <c r="Q489" s="58" t="n">
        <f aca="false">IF($A489="","",NORMSINV(P489))</f>
        <v>1.2815515655446</v>
      </c>
      <c r="R489" s="48" t="n">
        <f aca="false">IF($A489="","",ROUNDUP(Q489*H489*SQRT(D489),0))</f>
        <v>343</v>
      </c>
      <c r="S489" s="48" t="n">
        <f aca="false">IF($A489="","",ROUNDUP(G489*D489+R489,0))</f>
        <v>921</v>
      </c>
      <c r="T489" s="46" t="n">
        <f aca="false">IF($A489="","",IFERROR(ROUND(SQRT(2*F489*Assumptions!$B$4/(Assumptions!$B$5*C489)),0),0))</f>
        <v>1414</v>
      </c>
      <c r="U489" s="53" t="n">
        <f aca="false">IF($A489="","",R489*C489)</f>
        <v>257.25</v>
      </c>
      <c r="V489" s="53" t="n">
        <f aca="false">IF($A489="","",E489*C489)</f>
        <v>1677</v>
      </c>
      <c r="W489" s="59" t="n">
        <f aca="false">IF($A489="","",IFERROR(E489/G489,0))</f>
        <v>30.9976006398294</v>
      </c>
      <c r="X489" s="48" t="n">
        <f aca="false">IF($A489="","",S489+T489)</f>
        <v>2335</v>
      </c>
      <c r="Y489" s="48" t="n">
        <f aca="false">IF($A489="","",MAX(0,E489-X489))</f>
        <v>0</v>
      </c>
      <c r="Z489" s="53" t="n">
        <f aca="false">IF($A489="","",Y489*C489)</f>
        <v>0</v>
      </c>
      <c r="AA489" s="56" t="str">
        <f aca="false">IF($A489="","",IF(E489&lt;=R489,"Below Safety Stock",IF(E489&lt;=S489,"Reorder Now",IF(E489&gt;X489,"Excess","Healthy"))))</f>
        <v>Healthy</v>
      </c>
      <c r="AB489" s="48" t="n">
        <f aca="false">IF($A489="","",RANK(AF489,$AF$5:$AF$504,0)+COUNTIF($AF$5:AF489,AF489)-1)</f>
        <v>493</v>
      </c>
      <c r="AC489" s="44" t="str">
        <f aca="false">IF($A489="","",Weekly_Demand!B489)</f>
        <v>SET OF 3 WOODEN HEART DECORATIONS</v>
      </c>
      <c r="AD489" s="59" t="n">
        <f aca="false">IF($A489="","",H489*SQRT(D489))</f>
        <v>267.268553402769</v>
      </c>
      <c r="AE489" s="53" t="n">
        <f aca="false">IF($A489="","",AD489*C489)</f>
        <v>200.451415052077</v>
      </c>
      <c r="AF489" s="53" t="n">
        <f aca="false">IF($A489="","",ROUND(J489,2))</f>
        <v>2813.25</v>
      </c>
    </row>
    <row r="490" customFormat="false" ht="15" hidden="false" customHeight="false" outlineLevel="0" collapsed="false">
      <c r="A490" s="44" t="str">
        <f aca="false">IF(Weekly_Demand!A490="","",Weekly_Demand!A490)</f>
        <v>21932</v>
      </c>
      <c r="B490" s="44" t="str">
        <f aca="false">IF($A490="","",Weekly_Demand!C490)</f>
        <v>Bags</v>
      </c>
      <c r="C490" s="45" t="n">
        <f aca="false">IF($A490="","",Weekly_Demand!D490)</f>
        <v>0.99</v>
      </c>
      <c r="D490" s="46" t="n">
        <f aca="false">IF($A490="","",Weekly_Demand!E490+Assumptions!$B$19)</f>
        <v>2</v>
      </c>
      <c r="E490" s="46" t="n">
        <f aca="false">IF($A490="","",Weekly_Demand!F490)</f>
        <v>619</v>
      </c>
      <c r="F490" s="46" t="n">
        <f aca="false">IF($A490="","",SUM(Weekly_Demand!G490:BF490))</f>
        <v>2684</v>
      </c>
      <c r="G490" s="51" t="n">
        <f aca="false">IF($A490="","",IFERROR(F490/Assumptions!$B$6,0))</f>
        <v>51.6153846153846</v>
      </c>
      <c r="H490" s="51" t="n">
        <f aca="false">IF($A490="","",STDEV(Weekly_Demand!G490:BF490))</f>
        <v>63.6103807800773</v>
      </c>
      <c r="I490" s="52" t="n">
        <f aca="false">IF($A490="","",IFERROR(H490/G490,0))</f>
        <v>1.23239187800448</v>
      </c>
      <c r="J490" s="53" t="n">
        <f aca="false">IF($A490="","",F490*C490)</f>
        <v>2657.16</v>
      </c>
      <c r="K490" s="54" t="n">
        <f aca="false">IF($A490="","",IFERROR(J490/$J$505,0))</f>
        <v>0.000687546437349183</v>
      </c>
      <c r="L490" s="54" t="n">
        <f aca="false">IF($A490="","",IFERROR(SUMIFS($J$5:$J$504,$AB$5:$AB$504,"&lt;="&amp;AB490)/$J$505,0))</f>
        <v>0.998646261958084</v>
      </c>
      <c r="M490" s="55" t="str">
        <f aca="false">IF($A490="","",IF(L490&lt;=Assumptions!$B$7,"A",IF(L490&lt;=Assumptions!$B$8,"B","C")))</f>
        <v>C</v>
      </c>
      <c r="N490" s="55" t="str">
        <f aca="false">IF($A490="","",IF(I490&lt;=Assumptions!$B$9,"X",IF(I490&lt;=Assumptions!$B$10,"Y","Z")))</f>
        <v>Z</v>
      </c>
      <c r="O490" s="56" t="str">
        <f aca="false">IF($A490="","",M490&amp;N490)</f>
        <v>CZ</v>
      </c>
      <c r="P490" s="57" t="n">
        <f aca="false">IF($A490="","",INDEX(Assumptions!$B$35:$B$37,MATCH(M490,Assumptions!$A$35:$A$37,0)))</f>
        <v>0.9</v>
      </c>
      <c r="Q490" s="58" t="n">
        <f aca="false">IF($A490="","",NORMSINV(P490))</f>
        <v>1.2815515655446</v>
      </c>
      <c r="R490" s="48" t="n">
        <f aca="false">IF($A490="","",ROUNDUP(Q490*H490*SQRT(D490),0))</f>
        <v>116</v>
      </c>
      <c r="S490" s="48" t="n">
        <f aca="false">IF($A490="","",ROUNDUP(G490*D490+R490,0))</f>
        <v>220</v>
      </c>
      <c r="T490" s="46" t="n">
        <f aca="false">IF($A490="","",IFERROR(ROUND(SQRT(2*F490*Assumptions!$B$4/(Assumptions!$B$5*C490)),0),0))</f>
        <v>1041</v>
      </c>
      <c r="U490" s="53" t="n">
        <f aca="false">IF($A490="","",R490*C490)</f>
        <v>114.84</v>
      </c>
      <c r="V490" s="53" t="n">
        <f aca="false">IF($A490="","",E490*C490)</f>
        <v>612.81</v>
      </c>
      <c r="W490" s="59" t="n">
        <f aca="false">IF($A490="","",IFERROR(E490/G490,0))</f>
        <v>11.9925484351714</v>
      </c>
      <c r="X490" s="48" t="n">
        <f aca="false">IF($A490="","",S490+T490)</f>
        <v>1261</v>
      </c>
      <c r="Y490" s="48" t="n">
        <f aca="false">IF($A490="","",MAX(0,E490-X490))</f>
        <v>0</v>
      </c>
      <c r="Z490" s="53" t="n">
        <f aca="false">IF($A490="","",Y490*C490)</f>
        <v>0</v>
      </c>
      <c r="AA490" s="56" t="str">
        <f aca="false">IF($A490="","",IF(E490&lt;=R490,"Below Safety Stock",IF(E490&lt;=S490,"Reorder Now",IF(E490&gt;X490,"Excess","Healthy"))))</f>
        <v>Healthy</v>
      </c>
      <c r="AB490" s="48" t="n">
        <f aca="false">IF($A490="","",RANK(AF490,$AF$5:$AF$504,0)+COUNTIF($AF$5:AF490,AF490)-1)</f>
        <v>498</v>
      </c>
      <c r="AC490" s="44" t="str">
        <f aca="false">IF($A490="","",Weekly_Demand!B490)</f>
        <v>SCANDINAVIAN PAISLEY PICNIC BAG</v>
      </c>
      <c r="AD490" s="59" t="n">
        <f aca="false">IF($A490="","",H490*SQRT(D490))</f>
        <v>89.9586632069022</v>
      </c>
      <c r="AE490" s="53" t="n">
        <f aca="false">IF($A490="","",AD490*C490)</f>
        <v>89.0590765748331</v>
      </c>
      <c r="AF490" s="53" t="n">
        <f aca="false">IF($A490="","",ROUND(J490,2))</f>
        <v>2657.16</v>
      </c>
    </row>
    <row r="491" customFormat="false" ht="15" hidden="false" customHeight="false" outlineLevel="0" collapsed="false">
      <c r="A491" s="44" t="str">
        <f aca="false">IF(Weekly_Demand!A491="","",Weekly_Demand!A491)</f>
        <v>37449</v>
      </c>
      <c r="B491" s="44" t="str">
        <f aca="false">IF($A491="","",Weekly_Demand!C491)</f>
        <v>Kitchen</v>
      </c>
      <c r="C491" s="45" t="n">
        <f aca="false">IF($A491="","",Weekly_Demand!D491)</f>
        <v>5.97</v>
      </c>
      <c r="D491" s="46" t="n">
        <f aca="false">IF($A491="","",Weekly_Demand!E491+Assumptions!$B$19)</f>
        <v>4</v>
      </c>
      <c r="E491" s="46" t="n">
        <f aca="false">IF($A491="","",Weekly_Demand!F491)</f>
        <v>83</v>
      </c>
      <c r="F491" s="46" t="n">
        <f aca="false">IF($A491="","",SUM(Weekly_Demand!G491:BF491))</f>
        <v>542</v>
      </c>
      <c r="G491" s="51" t="n">
        <f aca="false">IF($A491="","",IFERROR(F491/Assumptions!$B$6,0))</f>
        <v>10.4230769230769</v>
      </c>
      <c r="H491" s="51" t="n">
        <f aca="false">IF($A491="","",STDEV(Weekly_Demand!G491:BF491))</f>
        <v>13.6286119930355</v>
      </c>
      <c r="I491" s="52" t="n">
        <f aca="false">IF($A491="","",IFERROR(H491/G491,0))</f>
        <v>1.30754211003293</v>
      </c>
      <c r="J491" s="53" t="n">
        <f aca="false">IF($A491="","",F491*C491)</f>
        <v>3235.74</v>
      </c>
      <c r="K491" s="54" t="n">
        <f aca="false">IF($A491="","",IFERROR(J491/$J$505,0))</f>
        <v>0.000837255381380213</v>
      </c>
      <c r="L491" s="54" t="n">
        <f aca="false">IF($A491="","",IFERROR(SUMIFS($J$5:$J$504,$AB$5:$AB$504,"&lt;="&amp;AB491)/$J$505,0))</f>
        <v>0.953857253582234</v>
      </c>
      <c r="M491" s="55" t="str">
        <f aca="false">IF($A491="","",IF(L491&lt;=Assumptions!$B$7,"A",IF(L491&lt;=Assumptions!$B$8,"B","C")))</f>
        <v>C</v>
      </c>
      <c r="N491" s="55" t="str">
        <f aca="false">IF($A491="","",IF(I491&lt;=Assumptions!$B$9,"X",IF(I491&lt;=Assumptions!$B$10,"Y","Z")))</f>
        <v>Z</v>
      </c>
      <c r="O491" s="56" t="str">
        <f aca="false">IF($A491="","",M491&amp;N491)</f>
        <v>CZ</v>
      </c>
      <c r="P491" s="57" t="n">
        <f aca="false">IF($A491="","",INDEX(Assumptions!$B$35:$B$37,MATCH(M491,Assumptions!$A$35:$A$37,0)))</f>
        <v>0.9</v>
      </c>
      <c r="Q491" s="58" t="n">
        <f aca="false">IF($A491="","",NORMSINV(P491))</f>
        <v>1.2815515655446</v>
      </c>
      <c r="R491" s="48" t="n">
        <f aca="false">IF($A491="","",ROUNDUP(Q491*H491*SQRT(D491),0))</f>
        <v>35</v>
      </c>
      <c r="S491" s="48" t="n">
        <f aca="false">IF($A491="","",ROUNDUP(G491*D491+R491,0))</f>
        <v>77</v>
      </c>
      <c r="T491" s="46" t="n">
        <f aca="false">IF($A491="","",IFERROR(ROUND(SQRT(2*F491*Assumptions!$B$4/(Assumptions!$B$5*C491)),0),0))</f>
        <v>191</v>
      </c>
      <c r="U491" s="53" t="n">
        <f aca="false">IF($A491="","",R491*C491)</f>
        <v>208.95</v>
      </c>
      <c r="V491" s="53" t="n">
        <f aca="false">IF($A491="","",E491*C491)</f>
        <v>495.51</v>
      </c>
      <c r="W491" s="59" t="n">
        <f aca="false">IF($A491="","",IFERROR(E491/G491,0))</f>
        <v>7.96309963099631</v>
      </c>
      <c r="X491" s="48" t="n">
        <f aca="false">IF($A491="","",S491+T491)</f>
        <v>268</v>
      </c>
      <c r="Y491" s="48" t="n">
        <f aca="false">IF($A491="","",MAX(0,E491-X491))</f>
        <v>0</v>
      </c>
      <c r="Z491" s="53" t="n">
        <f aca="false">IF($A491="","",Y491*C491)</f>
        <v>0</v>
      </c>
      <c r="AA491" s="56" t="str">
        <f aca="false">IF($A491="","",IF(E491&lt;=R491,"Below Safety Stock",IF(E491&lt;=S491,"Reorder Now",IF(E491&gt;X491,"Excess","Healthy"))))</f>
        <v>Healthy</v>
      </c>
      <c r="AB491" s="48" t="n">
        <f aca="false">IF($A491="","",RANK(AF491,$AF$5:$AF$504,0)+COUNTIF($AF$5:AF491,AF491)-1)</f>
        <v>441</v>
      </c>
      <c r="AC491" s="44" t="str">
        <f aca="false">IF($A491="","",Weekly_Demand!B491)</f>
        <v>CERAMIC CAKE STAND + HANGING CAKES</v>
      </c>
      <c r="AD491" s="59" t="n">
        <f aca="false">IF($A491="","",H491*SQRT(D491))</f>
        <v>27.2572239860711</v>
      </c>
      <c r="AE491" s="53" t="n">
        <f aca="false">IF($A491="","",AD491*C491)</f>
        <v>162.725627196844</v>
      </c>
      <c r="AF491" s="53" t="n">
        <f aca="false">IF($A491="","",ROUND(J491,2))</f>
        <v>3235.74</v>
      </c>
    </row>
    <row r="492" customFormat="false" ht="15" hidden="false" customHeight="false" outlineLevel="0" collapsed="false">
      <c r="A492" s="44" t="str">
        <f aca="false">IF(Weekly_Demand!A492="","",Weekly_Demand!A492)</f>
        <v>84212</v>
      </c>
      <c r="B492" s="44" t="str">
        <f aca="false">IF($A492="","",Weekly_Demand!C492)</f>
        <v>Other</v>
      </c>
      <c r="C492" s="45" t="n">
        <f aca="false">IF($A492="","",Weekly_Demand!D492)</f>
        <v>0.39</v>
      </c>
      <c r="D492" s="46" t="n">
        <f aca="false">IF($A492="","",Weekly_Demand!E492+Assumptions!$B$19)</f>
        <v>2</v>
      </c>
      <c r="E492" s="46" t="n">
        <f aca="false">IF($A492="","",Weekly_Demand!F492)</f>
        <v>8687</v>
      </c>
      <c r="F492" s="46" t="n">
        <f aca="false">IF($A492="","",SUM(Weekly_Demand!G492:BF492))</f>
        <v>10266</v>
      </c>
      <c r="G492" s="51" t="n">
        <f aca="false">IF($A492="","",IFERROR(F492/Assumptions!$B$6,0))</f>
        <v>197.423076923077</v>
      </c>
      <c r="H492" s="51" t="n">
        <f aca="false">IF($A492="","",STDEV(Weekly_Demand!G492:BF492))</f>
        <v>288.171405022601</v>
      </c>
      <c r="I492" s="52" t="n">
        <f aca="false">IF($A492="","",IFERROR(H492/G492,0))</f>
        <v>1.45966423740261</v>
      </c>
      <c r="J492" s="53" t="n">
        <f aca="false">IF($A492="","",F492*C492)</f>
        <v>4003.74</v>
      </c>
      <c r="K492" s="54" t="n">
        <f aca="false">IF($A492="","",IFERROR(J492/$J$505,0))</f>
        <v>0.00103597719861522</v>
      </c>
      <c r="L492" s="54" t="n">
        <f aca="false">IF($A492="","",IFERROR(SUMIFS($J$5:$J$504,$AB$5:$AB$504,"&lt;="&amp;AB492)/$J$505,0))</f>
        <v>0.881085372238714</v>
      </c>
      <c r="M492" s="55" t="str">
        <f aca="false">IF($A492="","",IF(L492&lt;=Assumptions!$B$7,"A",IF(L492&lt;=Assumptions!$B$8,"B","C")))</f>
        <v>B</v>
      </c>
      <c r="N492" s="55" t="str">
        <f aca="false">IF($A492="","",IF(I492&lt;=Assumptions!$B$9,"X",IF(I492&lt;=Assumptions!$B$10,"Y","Z")))</f>
        <v>Z</v>
      </c>
      <c r="O492" s="56" t="str">
        <f aca="false">IF($A492="","",M492&amp;N492)</f>
        <v>BZ</v>
      </c>
      <c r="P492" s="57" t="n">
        <f aca="false">IF($A492="","",INDEX(Assumptions!$B$35:$B$37,MATCH(M492,Assumptions!$A$35:$A$37,0)))</f>
        <v>0.95</v>
      </c>
      <c r="Q492" s="58" t="n">
        <f aca="false">IF($A492="","",NORMSINV(P492))</f>
        <v>1.64485362695147</v>
      </c>
      <c r="R492" s="48" t="n">
        <f aca="false">IF($A492="","",ROUNDUP(Q492*H492*SQRT(D492),0))</f>
        <v>671</v>
      </c>
      <c r="S492" s="48" t="n">
        <f aca="false">IF($A492="","",ROUNDUP(G492*D492+R492,0))</f>
        <v>1066</v>
      </c>
      <c r="T492" s="46" t="n">
        <f aca="false">IF($A492="","",IFERROR(ROUND(SQRT(2*F492*Assumptions!$B$4/(Assumptions!$B$5*C492)),0),0))</f>
        <v>3245</v>
      </c>
      <c r="U492" s="53" t="n">
        <f aca="false">IF($A492="","",R492*C492)</f>
        <v>261.69</v>
      </c>
      <c r="V492" s="53" t="n">
        <f aca="false">IF($A492="","",E492*C492)</f>
        <v>3387.93</v>
      </c>
      <c r="W492" s="59" t="n">
        <f aca="false">IF($A492="","",IFERROR(E492/G492,0))</f>
        <v>44.0019481784531</v>
      </c>
      <c r="X492" s="48" t="n">
        <f aca="false">IF($A492="","",S492+T492)</f>
        <v>4311</v>
      </c>
      <c r="Y492" s="48" t="n">
        <f aca="false">IF($A492="","",MAX(0,E492-X492))</f>
        <v>4376</v>
      </c>
      <c r="Z492" s="53" t="n">
        <f aca="false">IF($A492="","",Y492*C492)</f>
        <v>1706.64</v>
      </c>
      <c r="AA492" s="56" t="str">
        <f aca="false">IF($A492="","",IF(E492&lt;=R492,"Below Safety Stock",IF(E492&lt;=S492,"Reorder Now",IF(E492&gt;X492,"Excess","Healthy"))))</f>
        <v>Excess</v>
      </c>
      <c r="AB492" s="48" t="n">
        <f aca="false">IF($A492="","",RANK(AF492,$AF$5:$AF$504,0)+COUNTIF($AF$5:AF492,AF492)-1)</f>
        <v>363</v>
      </c>
      <c r="AC492" s="44" t="str">
        <f aca="false">IF($A492="","",Weekly_Demand!B492)</f>
        <v>ASSORTED FLOWER COLOUR "LEIS"</v>
      </c>
      <c r="AD492" s="59" t="n">
        <f aca="false">IF($A492="","",H492*SQRT(D492))</f>
        <v>407.535909271072</v>
      </c>
      <c r="AE492" s="53" t="n">
        <f aca="false">IF($A492="","",AD492*C492)</f>
        <v>158.939004615718</v>
      </c>
      <c r="AF492" s="53" t="n">
        <f aca="false">IF($A492="","",ROUND(J492,2))</f>
        <v>4003.74</v>
      </c>
    </row>
    <row r="493" customFormat="false" ht="15" hidden="false" customHeight="false" outlineLevel="0" collapsed="false">
      <c r="A493" s="44" t="str">
        <f aca="false">IF(Weekly_Demand!A493="","",Weekly_Demand!A493)</f>
        <v>21937</v>
      </c>
      <c r="B493" s="44" t="str">
        <f aca="false">IF($A493="","",Weekly_Demand!C493)</f>
        <v>Bags</v>
      </c>
      <c r="C493" s="45" t="n">
        <f aca="false">IF($A493="","",Weekly_Demand!D493)</f>
        <v>1.77</v>
      </c>
      <c r="D493" s="46" t="n">
        <f aca="false">IF($A493="","",Weekly_Demand!E493+Assumptions!$B$19)</f>
        <v>4</v>
      </c>
      <c r="E493" s="46" t="n">
        <f aca="false">IF($A493="","",Weekly_Demand!F493)</f>
        <v>263</v>
      </c>
      <c r="F493" s="46" t="n">
        <f aca="false">IF($A493="","",SUM(Weekly_Demand!G493:BF493))</f>
        <v>1707</v>
      </c>
      <c r="G493" s="51" t="n">
        <f aca="false">IF($A493="","",IFERROR(F493/Assumptions!$B$6,0))</f>
        <v>32.8269230769231</v>
      </c>
      <c r="H493" s="51" t="n">
        <f aca="false">IF($A493="","",STDEV(Weekly_Demand!G493:BF493))</f>
        <v>54.0049820337398</v>
      </c>
      <c r="I493" s="52" t="n">
        <f aca="false">IF($A493="","",IFERROR(H493/G493,0))</f>
        <v>1.64514297935235</v>
      </c>
      <c r="J493" s="53" t="n">
        <f aca="false">IF($A493="","",F493*C493)</f>
        <v>3021.39</v>
      </c>
      <c r="K493" s="54" t="n">
        <f aca="false">IF($A493="","",IFERROR(J493/$J$505,0))</f>
        <v>0.000781791811687083</v>
      </c>
      <c r="L493" s="54" t="n">
        <f aca="false">IF($A493="","",IFERROR(SUMIFS($J$5:$J$504,$AB$5:$AB$504,"&lt;="&amp;AB493)/$J$505,0))</f>
        <v>0.980711818226955</v>
      </c>
      <c r="M493" s="55" t="str">
        <f aca="false">IF($A493="","",IF(L493&lt;=Assumptions!$B$7,"A",IF(L493&lt;=Assumptions!$B$8,"B","C")))</f>
        <v>C</v>
      </c>
      <c r="N493" s="55" t="str">
        <f aca="false">IF($A493="","",IF(I493&lt;=Assumptions!$B$9,"X",IF(I493&lt;=Assumptions!$B$10,"Y","Z")))</f>
        <v>Z</v>
      </c>
      <c r="O493" s="56" t="str">
        <f aca="false">IF($A493="","",M493&amp;N493)</f>
        <v>CZ</v>
      </c>
      <c r="P493" s="57" t="n">
        <f aca="false">IF($A493="","",INDEX(Assumptions!$B$35:$B$37,MATCH(M493,Assumptions!$A$35:$A$37,0)))</f>
        <v>0.9</v>
      </c>
      <c r="Q493" s="58" t="n">
        <f aca="false">IF($A493="","",NORMSINV(P493))</f>
        <v>1.2815515655446</v>
      </c>
      <c r="R493" s="48" t="n">
        <f aca="false">IF($A493="","",ROUNDUP(Q493*H493*SQRT(D493),0))</f>
        <v>139</v>
      </c>
      <c r="S493" s="48" t="n">
        <f aca="false">IF($A493="","",ROUNDUP(G493*D493+R493,0))</f>
        <v>271</v>
      </c>
      <c r="T493" s="46" t="n">
        <f aca="false">IF($A493="","",IFERROR(ROUND(SQRT(2*F493*Assumptions!$B$4/(Assumptions!$B$5*C493)),0),0))</f>
        <v>621</v>
      </c>
      <c r="U493" s="53" t="n">
        <f aca="false">IF($A493="","",R493*C493)</f>
        <v>246.03</v>
      </c>
      <c r="V493" s="53" t="n">
        <f aca="false">IF($A493="","",E493*C493)</f>
        <v>465.51</v>
      </c>
      <c r="W493" s="59" t="n">
        <f aca="false">IF($A493="","",IFERROR(E493/G493,0))</f>
        <v>8.01171646162859</v>
      </c>
      <c r="X493" s="48" t="n">
        <f aca="false">IF($A493="","",S493+T493)</f>
        <v>892</v>
      </c>
      <c r="Y493" s="48" t="n">
        <f aca="false">IF($A493="","",MAX(0,E493-X493))</f>
        <v>0</v>
      </c>
      <c r="Z493" s="53" t="n">
        <f aca="false">IF($A493="","",Y493*C493)</f>
        <v>0</v>
      </c>
      <c r="AA493" s="56" t="str">
        <f aca="false">IF($A493="","",IF(E493&lt;=R493,"Below Safety Stock",IF(E493&lt;=S493,"Reorder Now",IF(E493&gt;X493,"Excess","Healthy"))))</f>
        <v>Reorder Now</v>
      </c>
      <c r="AB493" s="48" t="n">
        <f aca="false">IF($A493="","",RANK(AF493,$AF$5:$AF$504,0)+COUNTIF($AF$5:AF493,AF493)-1)</f>
        <v>474</v>
      </c>
      <c r="AC493" s="44" t="str">
        <f aca="false">IF($A493="","",Weekly_Demand!B493)</f>
        <v>STRAWBERRY   PICNIC BAG</v>
      </c>
      <c r="AD493" s="59" t="n">
        <f aca="false">IF($A493="","",H493*SQRT(D493))</f>
        <v>108.00996406748</v>
      </c>
      <c r="AE493" s="53" t="n">
        <f aca="false">IF($A493="","",AD493*C493)</f>
        <v>191.177636399439</v>
      </c>
      <c r="AF493" s="53" t="n">
        <f aca="false">IF($A493="","",ROUND(J493,2))</f>
        <v>3021.39</v>
      </c>
    </row>
    <row r="494" customFormat="false" ht="15" hidden="false" customHeight="false" outlineLevel="0" collapsed="false">
      <c r="A494" s="44" t="str">
        <f aca="false">IF(Weekly_Demand!A494="","",Weekly_Demand!A494)</f>
        <v>23010</v>
      </c>
      <c r="B494" s="44" t="str">
        <f aca="false">IF($A494="","",Weekly_Demand!C494)</f>
        <v>Other</v>
      </c>
      <c r="C494" s="45" t="n">
        <f aca="false">IF($A494="","",Weekly_Demand!D494)</f>
        <v>10.17</v>
      </c>
      <c r="D494" s="46" t="n">
        <f aca="false">IF($A494="","",Weekly_Demand!E494+Assumptions!$B$19)</f>
        <v>6</v>
      </c>
      <c r="E494" s="46" t="n">
        <f aca="false">IF($A494="","",Weekly_Demand!F494)</f>
        <v>55</v>
      </c>
      <c r="F494" s="46" t="n">
        <f aca="false">IF($A494="","",SUM(Weekly_Demand!G494:BF494))</f>
        <v>316</v>
      </c>
      <c r="G494" s="51" t="n">
        <f aca="false">IF($A494="","",IFERROR(F494/Assumptions!$B$6,0))</f>
        <v>6.07692307692308</v>
      </c>
      <c r="H494" s="51" t="n">
        <f aca="false">IF($A494="","",STDEV(Weekly_Demand!G494:BF494))</f>
        <v>9.39095550244323</v>
      </c>
      <c r="I494" s="52" t="n">
        <f aca="false">IF($A494="","",IFERROR(H494/G494,0))</f>
        <v>1.54534710799699</v>
      </c>
      <c r="J494" s="53" t="n">
        <f aca="false">IF($A494="","",F494*C494)</f>
        <v>3213.72</v>
      </c>
      <c r="K494" s="54" t="n">
        <f aca="false">IF($A494="","",IFERROR(J494/$J$505,0))</f>
        <v>0.000831557654276678</v>
      </c>
      <c r="L494" s="54" t="n">
        <f aca="false">IF($A494="","",IFERROR(SUMIFS($J$5:$J$504,$AB$5:$AB$504,"&lt;="&amp;AB494)/$J$505,0))</f>
        <v>0.959702758302139</v>
      </c>
      <c r="M494" s="55" t="str">
        <f aca="false">IF($A494="","",IF(L494&lt;=Assumptions!$B$7,"A",IF(L494&lt;=Assumptions!$B$8,"B","C")))</f>
        <v>C</v>
      </c>
      <c r="N494" s="55" t="str">
        <f aca="false">IF($A494="","",IF(I494&lt;=Assumptions!$B$9,"X",IF(I494&lt;=Assumptions!$B$10,"Y","Z")))</f>
        <v>Z</v>
      </c>
      <c r="O494" s="56" t="str">
        <f aca="false">IF($A494="","",M494&amp;N494)</f>
        <v>CZ</v>
      </c>
      <c r="P494" s="57" t="n">
        <f aca="false">IF($A494="","",INDEX(Assumptions!$B$35:$B$37,MATCH(M494,Assumptions!$A$35:$A$37,0)))</f>
        <v>0.9</v>
      </c>
      <c r="Q494" s="58" t="n">
        <f aca="false">IF($A494="","",NORMSINV(P494))</f>
        <v>1.2815515655446</v>
      </c>
      <c r="R494" s="48" t="n">
        <f aca="false">IF($A494="","",ROUNDUP(Q494*H494*SQRT(D494),0))</f>
        <v>30</v>
      </c>
      <c r="S494" s="48" t="n">
        <f aca="false">IF($A494="","",ROUNDUP(G494*D494+R494,0))</f>
        <v>67</v>
      </c>
      <c r="T494" s="46" t="n">
        <f aca="false">IF($A494="","",IFERROR(ROUND(SQRT(2*F494*Assumptions!$B$4/(Assumptions!$B$5*C494)),0),0))</f>
        <v>111</v>
      </c>
      <c r="U494" s="53" t="n">
        <f aca="false">IF($A494="","",R494*C494)</f>
        <v>305.1</v>
      </c>
      <c r="V494" s="53" t="n">
        <f aca="false">IF($A494="","",E494*C494)</f>
        <v>559.35</v>
      </c>
      <c r="W494" s="59" t="n">
        <f aca="false">IF($A494="","",IFERROR(E494/G494,0))</f>
        <v>9.05063291139241</v>
      </c>
      <c r="X494" s="48" t="n">
        <f aca="false">IF($A494="","",S494+T494)</f>
        <v>178</v>
      </c>
      <c r="Y494" s="48" t="n">
        <f aca="false">IF($A494="","",MAX(0,E494-X494))</f>
        <v>0</v>
      </c>
      <c r="Z494" s="53" t="n">
        <f aca="false">IF($A494="","",Y494*C494)</f>
        <v>0</v>
      </c>
      <c r="AA494" s="56" t="str">
        <f aca="false">IF($A494="","",IF(E494&lt;=R494,"Below Safety Stock",IF(E494&lt;=S494,"Reorder Now",IF(E494&gt;X494,"Excess","Healthy"))))</f>
        <v>Reorder Now</v>
      </c>
      <c r="AB494" s="48" t="n">
        <f aca="false">IF($A494="","",RANK(AF494,$AF$5:$AF$504,0)+COUNTIF($AF$5:AF494,AF494)-1)</f>
        <v>448</v>
      </c>
      <c r="AC494" s="44" t="str">
        <f aca="false">IF($A494="","",Weekly_Demand!B494)</f>
        <v>CIRCUS PARADE BABY GIFT SET</v>
      </c>
      <c r="AD494" s="59" t="n">
        <f aca="false">IF($A494="","",H494*SQRT(D494))</f>
        <v>23.0030491781679</v>
      </c>
      <c r="AE494" s="53" t="n">
        <f aca="false">IF($A494="","",AD494*C494)</f>
        <v>233.941010141968</v>
      </c>
      <c r="AF494" s="53" t="n">
        <f aca="false">IF($A494="","",ROUND(J494,2))</f>
        <v>3213.72</v>
      </c>
    </row>
    <row r="495" customFormat="false" ht="15" hidden="false" customHeight="false" outlineLevel="0" collapsed="false">
      <c r="A495" s="44" t="str">
        <f aca="false">IF(Weekly_Demand!A495="","",Weekly_Demand!A495)</f>
        <v>23310</v>
      </c>
      <c r="B495" s="44" t="str">
        <f aca="false">IF($A495="","",Weekly_Demand!C495)</f>
        <v>Other</v>
      </c>
      <c r="C495" s="45" t="n">
        <f aca="false">IF($A495="","",Weekly_Demand!D495)</f>
        <v>0.252</v>
      </c>
      <c r="D495" s="46" t="n">
        <f aca="false">IF($A495="","",Weekly_Demand!E495+Assumptions!$B$19)</f>
        <v>6</v>
      </c>
      <c r="E495" s="46" t="n">
        <f aca="false">IF($A495="","",Weekly_Demand!F495)</f>
        <v>2046</v>
      </c>
      <c r="F495" s="46" t="n">
        <f aca="false">IF($A495="","",SUM(Weekly_Demand!G495:BF495))</f>
        <v>11821</v>
      </c>
      <c r="G495" s="51" t="n">
        <f aca="false">IF($A495="","",IFERROR(F495/Assumptions!$B$6,0))</f>
        <v>227.326923076923</v>
      </c>
      <c r="H495" s="51" t="n">
        <f aca="false">IF($A495="","",STDEV(Weekly_Demand!G495:BF495))</f>
        <v>312.251829059705</v>
      </c>
      <c r="I495" s="52" t="n">
        <f aca="false">IF($A495="","",IFERROR(H495/G495,0))</f>
        <v>1.37358050174306</v>
      </c>
      <c r="J495" s="53" t="n">
        <f aca="false">IF($A495="","",F495*C495)</f>
        <v>2978.892</v>
      </c>
      <c r="K495" s="54" t="n">
        <f aca="false">IF($A495="","",IFERROR(J495/$J$505,0))</f>
        <v>0.00077079535362868</v>
      </c>
      <c r="L495" s="54" t="n">
        <f aca="false">IF($A495="","",IFERROR(SUMIFS($J$5:$J$504,$AB$5:$AB$504,"&lt;="&amp;AB495)/$J$505,0))</f>
        <v>0.983804597284237</v>
      </c>
      <c r="M495" s="55" t="str">
        <f aca="false">IF($A495="","",IF(L495&lt;=Assumptions!$B$7,"A",IF(L495&lt;=Assumptions!$B$8,"B","C")))</f>
        <v>C</v>
      </c>
      <c r="N495" s="55" t="str">
        <f aca="false">IF($A495="","",IF(I495&lt;=Assumptions!$B$9,"X",IF(I495&lt;=Assumptions!$B$10,"Y","Z")))</f>
        <v>Z</v>
      </c>
      <c r="O495" s="56" t="str">
        <f aca="false">IF($A495="","",M495&amp;N495)</f>
        <v>CZ</v>
      </c>
      <c r="P495" s="57" t="n">
        <f aca="false">IF($A495="","",INDEX(Assumptions!$B$35:$B$37,MATCH(M495,Assumptions!$A$35:$A$37,0)))</f>
        <v>0.9</v>
      </c>
      <c r="Q495" s="58" t="n">
        <f aca="false">IF($A495="","",NORMSINV(P495))</f>
        <v>1.2815515655446</v>
      </c>
      <c r="R495" s="48" t="n">
        <f aca="false">IF($A495="","",ROUNDUP(Q495*H495*SQRT(D495),0))</f>
        <v>981</v>
      </c>
      <c r="S495" s="48" t="n">
        <f aca="false">IF($A495="","",ROUNDUP(G495*D495+R495,0))</f>
        <v>2345</v>
      </c>
      <c r="T495" s="46" t="n">
        <f aca="false">IF($A495="","",IFERROR(ROUND(SQRT(2*F495*Assumptions!$B$4/(Assumptions!$B$5*C495)),0),0))</f>
        <v>4332</v>
      </c>
      <c r="U495" s="53" t="n">
        <f aca="false">IF($A495="","",R495*C495)</f>
        <v>247.212</v>
      </c>
      <c r="V495" s="53" t="n">
        <f aca="false">IF($A495="","",E495*C495)</f>
        <v>515.592</v>
      </c>
      <c r="W495" s="59" t="n">
        <f aca="false">IF($A495="","",IFERROR(E495/G495,0))</f>
        <v>9.00025378563573</v>
      </c>
      <c r="X495" s="48" t="n">
        <f aca="false">IF($A495="","",S495+T495)</f>
        <v>6677</v>
      </c>
      <c r="Y495" s="48" t="n">
        <f aca="false">IF($A495="","",MAX(0,E495-X495))</f>
        <v>0</v>
      </c>
      <c r="Z495" s="53" t="n">
        <f aca="false">IF($A495="","",Y495*C495)</f>
        <v>0</v>
      </c>
      <c r="AA495" s="56" t="str">
        <f aca="false">IF($A495="","",IF(E495&lt;=R495,"Below Safety Stock",IF(E495&lt;=S495,"Reorder Now",IF(E495&gt;X495,"Excess","Healthy"))))</f>
        <v>Reorder Now</v>
      </c>
      <c r="AB495" s="48" t="n">
        <f aca="false">IF($A495="","",RANK(AF495,$AF$5:$AF$504,0)+COUNTIF($AF$5:AF495,AF495)-1)</f>
        <v>478</v>
      </c>
      <c r="AC495" s="44" t="str">
        <f aca="false">IF($A495="","",Weekly_Demand!B495)</f>
        <v>BUBBLEGUM RING ASSORTED</v>
      </c>
      <c r="AD495" s="59" t="n">
        <f aca="false">IF($A495="","",H495*SQRT(D495))</f>
        <v>764.857652447034</v>
      </c>
      <c r="AE495" s="53" t="n">
        <f aca="false">IF($A495="","",AD495*C495)</f>
        <v>192.744128416652</v>
      </c>
      <c r="AF495" s="53" t="n">
        <f aca="false">IF($A495="","",ROUND(J495,2))</f>
        <v>2978.89</v>
      </c>
    </row>
    <row r="496" customFormat="false" ht="15" hidden="false" customHeight="false" outlineLevel="0" collapsed="false">
      <c r="A496" s="44" t="str">
        <f aca="false">IF(Weekly_Demand!A496="","",Weekly_Demand!A496)</f>
        <v>23165</v>
      </c>
      <c r="B496" s="44" t="str">
        <f aca="false">IF($A496="","",Weekly_Demand!C496)</f>
        <v>Other</v>
      </c>
      <c r="C496" s="45" t="n">
        <f aca="false">IF($A496="","",Weekly_Demand!D496)</f>
        <v>0.99</v>
      </c>
      <c r="D496" s="46" t="n">
        <f aca="false">IF($A496="","",Weekly_Demand!E496+Assumptions!$B$19)</f>
        <v>4</v>
      </c>
      <c r="E496" s="46" t="n">
        <f aca="false">IF($A496="","",Weekly_Demand!F496)</f>
        <v>625</v>
      </c>
      <c r="F496" s="46" t="n">
        <f aca="false">IF($A496="","",SUM(Weekly_Demand!G496:BF496))</f>
        <v>2956</v>
      </c>
      <c r="G496" s="51" t="n">
        <f aca="false">IF($A496="","",IFERROR(F496/Assumptions!$B$6,0))</f>
        <v>56.8461538461539</v>
      </c>
      <c r="H496" s="51" t="n">
        <f aca="false">IF($A496="","",STDEV(Weekly_Demand!G496:BF496))</f>
        <v>67.4087283041574</v>
      </c>
      <c r="I496" s="52" t="n">
        <f aca="false">IF($A496="","",IFERROR(H496/G496,0))</f>
        <v>1.18580983484986</v>
      </c>
      <c r="J496" s="53" t="n">
        <f aca="false">IF($A496="","",F496*C496)</f>
        <v>2926.44</v>
      </c>
      <c r="K496" s="54" t="n">
        <f aca="false">IF($A496="","",IFERROR(J496/$J$505,0))</f>
        <v>0.000757223274517208</v>
      </c>
      <c r="L496" s="54" t="n">
        <f aca="false">IF($A496="","",IFERROR(SUMIFS($J$5:$J$504,$AB$5:$AB$504,"&lt;="&amp;AB496)/$J$505,0))</f>
        <v>0.988394209616986</v>
      </c>
      <c r="M496" s="55" t="str">
        <f aca="false">IF($A496="","",IF(L496&lt;=Assumptions!$B$7,"A",IF(L496&lt;=Assumptions!$B$8,"B","C")))</f>
        <v>C</v>
      </c>
      <c r="N496" s="55" t="str">
        <f aca="false">IF($A496="","",IF(I496&lt;=Assumptions!$B$9,"X",IF(I496&lt;=Assumptions!$B$10,"Y","Z")))</f>
        <v>Z</v>
      </c>
      <c r="O496" s="56" t="str">
        <f aca="false">IF($A496="","",M496&amp;N496)</f>
        <v>CZ</v>
      </c>
      <c r="P496" s="57" t="n">
        <f aca="false">IF($A496="","",INDEX(Assumptions!$B$35:$B$37,MATCH(M496,Assumptions!$A$35:$A$37,0)))</f>
        <v>0.9</v>
      </c>
      <c r="Q496" s="58" t="n">
        <f aca="false">IF($A496="","",NORMSINV(P496))</f>
        <v>1.2815515655446</v>
      </c>
      <c r="R496" s="48" t="n">
        <f aca="false">IF($A496="","",ROUNDUP(Q496*H496*SQRT(D496),0))</f>
        <v>173</v>
      </c>
      <c r="S496" s="48" t="n">
        <f aca="false">IF($A496="","",ROUNDUP(G496*D496+R496,0))</f>
        <v>401</v>
      </c>
      <c r="T496" s="46" t="n">
        <f aca="false">IF($A496="","",IFERROR(ROUND(SQRT(2*F496*Assumptions!$B$4/(Assumptions!$B$5*C496)),0),0))</f>
        <v>1093</v>
      </c>
      <c r="U496" s="53" t="n">
        <f aca="false">IF($A496="","",R496*C496)</f>
        <v>171.27</v>
      </c>
      <c r="V496" s="53" t="n">
        <f aca="false">IF($A496="","",E496*C496)</f>
        <v>618.75</v>
      </c>
      <c r="W496" s="59" t="n">
        <f aca="false">IF($A496="","",IFERROR(E496/G496,0))</f>
        <v>10.9945872801083</v>
      </c>
      <c r="X496" s="48" t="n">
        <f aca="false">IF($A496="","",S496+T496)</f>
        <v>1494</v>
      </c>
      <c r="Y496" s="48" t="n">
        <f aca="false">IF($A496="","",MAX(0,E496-X496))</f>
        <v>0</v>
      </c>
      <c r="Z496" s="53" t="n">
        <f aca="false">IF($A496="","",Y496*C496)</f>
        <v>0</v>
      </c>
      <c r="AA496" s="56" t="str">
        <f aca="false">IF($A496="","",IF(E496&lt;=R496,"Below Safety Stock",IF(E496&lt;=S496,"Reorder Now",IF(E496&gt;X496,"Excess","Healthy"))))</f>
        <v>Healthy</v>
      </c>
      <c r="AB496" s="48" t="n">
        <f aca="false">IF($A496="","",RANK(AF496,$AF$5:$AF$504,0)+COUNTIF($AF$5:AF496,AF496)-1)</f>
        <v>484</v>
      </c>
      <c r="AC496" s="44" t="str">
        <f aca="false">IF($A496="","",Weekly_Demand!B496)</f>
        <v>LARGE CERAMIC TOP STORAGE JAR</v>
      </c>
      <c r="AD496" s="59" t="n">
        <f aca="false">IF($A496="","",H496*SQRT(D496))</f>
        <v>134.817456608315</v>
      </c>
      <c r="AE496" s="53" t="n">
        <f aca="false">IF($A496="","",AD496*C496)</f>
        <v>133.469282042232</v>
      </c>
      <c r="AF496" s="53" t="n">
        <f aca="false">IF($A496="","",ROUND(J496,2))</f>
        <v>2926.44</v>
      </c>
    </row>
    <row r="497" customFormat="false" ht="15" hidden="false" customHeight="false" outlineLevel="0" collapsed="false">
      <c r="A497" s="44" t="str">
        <f aca="false">IF(Weekly_Demand!A497="","",Weekly_Demand!A497)</f>
        <v>21933</v>
      </c>
      <c r="B497" s="44" t="str">
        <f aca="false">IF($A497="","",Weekly_Demand!C497)</f>
        <v>Bags</v>
      </c>
      <c r="C497" s="45" t="n">
        <f aca="false">IF($A497="","",Weekly_Demand!D497)</f>
        <v>0.99</v>
      </c>
      <c r="D497" s="46" t="n">
        <f aca="false">IF($A497="","",Weekly_Demand!E497+Assumptions!$B$19)</f>
        <v>4</v>
      </c>
      <c r="E497" s="46" t="n">
        <f aca="false">IF($A497="","",Weekly_Demand!F497)</f>
        <v>2432</v>
      </c>
      <c r="F497" s="46" t="n">
        <f aca="false">IF($A497="","",SUM(Weekly_Demand!G497:BF497))</f>
        <v>2635</v>
      </c>
      <c r="G497" s="51" t="n">
        <f aca="false">IF($A497="","",IFERROR(F497/Assumptions!$B$6,0))</f>
        <v>50.6730769230769</v>
      </c>
      <c r="H497" s="51" t="n">
        <f aca="false">IF($A497="","",STDEV(Weekly_Demand!G497:BF497))</f>
        <v>73.1538055123255</v>
      </c>
      <c r="I497" s="52" t="n">
        <f aca="false">IF($A497="","",IFERROR(H497/G497,0))</f>
        <v>1.44364246172331</v>
      </c>
      <c r="J497" s="53" t="n">
        <f aca="false">IF($A497="","",F497*C497)</f>
        <v>2608.65</v>
      </c>
      <c r="K497" s="54" t="n">
        <f aca="false">IF($A497="","",IFERROR(J497/$J$505,0))</f>
        <v>0.000674994360065237</v>
      </c>
      <c r="L497" s="54" t="n">
        <f aca="false">IF($A497="","",IFERROR(SUMIFS($J$5:$J$504,$AB$5:$AB$504,"&lt;="&amp;AB497)/$J$505,0))</f>
        <v>1</v>
      </c>
      <c r="M497" s="55" t="str">
        <f aca="false">IF($A497="","",IF(L497&lt;=Assumptions!$B$7,"A",IF(L497&lt;=Assumptions!$B$8,"B","C")))</f>
        <v>C</v>
      </c>
      <c r="N497" s="55" t="str">
        <f aca="false">IF($A497="","",IF(I497&lt;=Assumptions!$B$9,"X",IF(I497&lt;=Assumptions!$B$10,"Y","Z")))</f>
        <v>Z</v>
      </c>
      <c r="O497" s="56" t="str">
        <f aca="false">IF($A497="","",M497&amp;N497)</f>
        <v>CZ</v>
      </c>
      <c r="P497" s="57" t="n">
        <f aca="false">IF($A497="","",INDEX(Assumptions!$B$35:$B$37,MATCH(M497,Assumptions!$A$35:$A$37,0)))</f>
        <v>0.9</v>
      </c>
      <c r="Q497" s="58" t="n">
        <f aca="false">IF($A497="","",NORMSINV(P497))</f>
        <v>1.2815515655446</v>
      </c>
      <c r="R497" s="48" t="n">
        <f aca="false">IF($A497="","",ROUNDUP(Q497*H497*SQRT(D497),0))</f>
        <v>188</v>
      </c>
      <c r="S497" s="48" t="n">
        <f aca="false">IF($A497="","",ROUNDUP(G497*D497+R497,0))</f>
        <v>391</v>
      </c>
      <c r="T497" s="46" t="n">
        <f aca="false">IF($A497="","",IFERROR(ROUND(SQRT(2*F497*Assumptions!$B$4/(Assumptions!$B$5*C497)),0),0))</f>
        <v>1032</v>
      </c>
      <c r="U497" s="53" t="n">
        <f aca="false">IF($A497="","",R497*C497)</f>
        <v>186.12</v>
      </c>
      <c r="V497" s="53" t="n">
        <f aca="false">IF($A497="","",E497*C497)</f>
        <v>2407.68</v>
      </c>
      <c r="W497" s="59" t="n">
        <f aca="false">IF($A497="","",IFERROR(E497/G497,0))</f>
        <v>47.9939278937381</v>
      </c>
      <c r="X497" s="48" t="n">
        <f aca="false">IF($A497="","",S497+T497)</f>
        <v>1423</v>
      </c>
      <c r="Y497" s="48" t="n">
        <f aca="false">IF($A497="","",MAX(0,E497-X497))</f>
        <v>1009</v>
      </c>
      <c r="Z497" s="53" t="n">
        <f aca="false">IF($A497="","",Y497*C497)</f>
        <v>998.91</v>
      </c>
      <c r="AA497" s="56" t="str">
        <f aca="false">IF($A497="","",IF(E497&lt;=R497,"Below Safety Stock",IF(E497&lt;=S497,"Reorder Now",IF(E497&gt;X497,"Excess","Healthy"))))</f>
        <v>Excess</v>
      </c>
      <c r="AB497" s="48" t="n">
        <f aca="false">IF($A497="","",RANK(AF497,$AF$5:$AF$504,0)+COUNTIF($AF$5:AF497,AF497)-1)</f>
        <v>500</v>
      </c>
      <c r="AC497" s="44" t="str">
        <f aca="false">IF($A497="","",Weekly_Demand!B497)</f>
        <v>PINK VINTAGE PAISLEY PICNIC BAG</v>
      </c>
      <c r="AD497" s="59" t="n">
        <f aca="false">IF($A497="","",H497*SQRT(D497))</f>
        <v>146.307611024651</v>
      </c>
      <c r="AE497" s="53" t="n">
        <f aca="false">IF($A497="","",AD497*C497)</f>
        <v>144.844534914404</v>
      </c>
      <c r="AF497" s="53" t="n">
        <f aca="false">IF($A497="","",ROUND(J497,2))</f>
        <v>2608.65</v>
      </c>
    </row>
    <row r="498" customFormat="false" ht="15" hidden="false" customHeight="false" outlineLevel="0" collapsed="false">
      <c r="A498" s="44" t="str">
        <f aca="false">IF(Weekly_Demand!A498="","",Weekly_Demand!A498)</f>
        <v>21164</v>
      </c>
      <c r="B498" s="44" t="str">
        <f aca="false">IF($A498="","",Weekly_Demand!C498)</f>
        <v>Other</v>
      </c>
      <c r="C498" s="45" t="n">
        <f aca="false">IF($A498="","",Weekly_Demand!D498)</f>
        <v>1.77</v>
      </c>
      <c r="D498" s="46" t="n">
        <f aca="false">IF($A498="","",Weekly_Demand!E498+Assumptions!$B$19)</f>
        <v>2</v>
      </c>
      <c r="E498" s="46" t="n">
        <f aca="false">IF($A498="","",Weekly_Demand!F498)</f>
        <v>226</v>
      </c>
      <c r="F498" s="46" t="n">
        <f aca="false">IF($A498="","",SUM(Weekly_Demand!G498:BF498))</f>
        <v>1676</v>
      </c>
      <c r="G498" s="51" t="n">
        <f aca="false">IF($A498="","",IFERROR(F498/Assumptions!$B$6,0))</f>
        <v>32.2307692307692</v>
      </c>
      <c r="H498" s="51" t="n">
        <f aca="false">IF($A498="","",STDEV(Weekly_Demand!G498:BF498))</f>
        <v>35.7406866435107</v>
      </c>
      <c r="I498" s="52" t="n">
        <f aca="false">IF($A498="","",IFERROR(H498/G498,0))</f>
        <v>1.10889958559818</v>
      </c>
      <c r="J498" s="53" t="n">
        <f aca="false">IF($A498="","",F498*C498)</f>
        <v>2966.52</v>
      </c>
      <c r="K498" s="54" t="n">
        <f aca="false">IF($A498="","",IFERROR(J498/$J$505,0))</f>
        <v>0.00076759406935416</v>
      </c>
      <c r="L498" s="54" t="n">
        <f aca="false">IF($A498="","",IFERROR(SUMIFS($J$5:$J$504,$AB$5:$AB$504,"&lt;="&amp;AB498)/$J$505,0))</f>
        <v>0.985341182685723</v>
      </c>
      <c r="M498" s="55" t="str">
        <f aca="false">IF($A498="","",IF(L498&lt;=Assumptions!$B$7,"A",IF(L498&lt;=Assumptions!$B$8,"B","C")))</f>
        <v>C</v>
      </c>
      <c r="N498" s="55" t="str">
        <f aca="false">IF($A498="","",IF(I498&lt;=Assumptions!$B$9,"X",IF(I498&lt;=Assumptions!$B$10,"Y","Z")))</f>
        <v>Z</v>
      </c>
      <c r="O498" s="56" t="str">
        <f aca="false">IF($A498="","",M498&amp;N498)</f>
        <v>CZ</v>
      </c>
      <c r="P498" s="57" t="n">
        <f aca="false">IF($A498="","",INDEX(Assumptions!$B$35:$B$37,MATCH(M498,Assumptions!$A$35:$A$37,0)))</f>
        <v>0.9</v>
      </c>
      <c r="Q498" s="58" t="n">
        <f aca="false">IF($A498="","",NORMSINV(P498))</f>
        <v>1.2815515655446</v>
      </c>
      <c r="R498" s="48" t="n">
        <f aca="false">IF($A498="","",ROUNDUP(Q498*H498*SQRT(D498),0))</f>
        <v>65</v>
      </c>
      <c r="S498" s="48" t="n">
        <f aca="false">IF($A498="","",ROUNDUP(G498*D498+R498,0))</f>
        <v>130</v>
      </c>
      <c r="T498" s="46" t="n">
        <f aca="false">IF($A498="","",IFERROR(ROUND(SQRT(2*F498*Assumptions!$B$4/(Assumptions!$B$5*C498)),0),0))</f>
        <v>615</v>
      </c>
      <c r="U498" s="53" t="n">
        <f aca="false">IF($A498="","",R498*C498)</f>
        <v>115.05</v>
      </c>
      <c r="V498" s="53" t="n">
        <f aca="false">IF($A498="","",E498*C498)</f>
        <v>400.02</v>
      </c>
      <c r="W498" s="59" t="n">
        <f aca="false">IF($A498="","",IFERROR(E498/G498,0))</f>
        <v>7.01193317422434</v>
      </c>
      <c r="X498" s="48" t="n">
        <f aca="false">IF($A498="","",S498+T498)</f>
        <v>745</v>
      </c>
      <c r="Y498" s="48" t="n">
        <f aca="false">IF($A498="","",MAX(0,E498-X498))</f>
        <v>0</v>
      </c>
      <c r="Z498" s="53" t="n">
        <f aca="false">IF($A498="","",Y498*C498)</f>
        <v>0</v>
      </c>
      <c r="AA498" s="56" t="str">
        <f aca="false">IF($A498="","",IF(E498&lt;=R498,"Below Safety Stock",IF(E498&lt;=S498,"Reorder Now",IF(E498&gt;X498,"Excess","Healthy"))))</f>
        <v>Healthy</v>
      </c>
      <c r="AB498" s="48" t="n">
        <f aca="false">IF($A498="","",RANK(AF498,$AF$5:$AF$504,0)+COUNTIF($AF$5:AF498,AF498)-1)</f>
        <v>480</v>
      </c>
      <c r="AC498" s="44" t="str">
        <f aca="false">IF($A498="","",Weekly_Demand!B498)</f>
        <v>HOME SWEET HOME METAL SIGN</v>
      </c>
      <c r="AD498" s="59" t="n">
        <f aca="false">IF($A498="","",H498*SQRT(D498))</f>
        <v>50.5449637797798</v>
      </c>
      <c r="AE498" s="53" t="n">
        <f aca="false">IF($A498="","",AD498*C498)</f>
        <v>89.4645858902102</v>
      </c>
      <c r="AF498" s="53" t="n">
        <f aca="false">IF($A498="","",ROUND(J498,2))</f>
        <v>2966.52</v>
      </c>
    </row>
    <row r="499" customFormat="false" ht="15" hidden="false" customHeight="false" outlineLevel="0" collapsed="false">
      <c r="A499" s="44" t="str">
        <f aca="false">IF(Weekly_Demand!A499="","",Weekly_Demand!A499)</f>
        <v>21907</v>
      </c>
      <c r="B499" s="44" t="str">
        <f aca="false">IF($A499="","",Weekly_Demand!C499)</f>
        <v>Other</v>
      </c>
      <c r="C499" s="45" t="n">
        <f aca="false">IF($A499="","",Weekly_Demand!D499)</f>
        <v>1.26</v>
      </c>
      <c r="D499" s="46" t="n">
        <f aca="false">IF($A499="","",Weekly_Demand!E499+Assumptions!$B$19)</f>
        <v>8</v>
      </c>
      <c r="E499" s="46" t="n">
        <f aca="false">IF($A499="","",Weekly_Demand!F499)</f>
        <v>133</v>
      </c>
      <c r="F499" s="46" t="n">
        <f aca="false">IF($A499="","",SUM(Weekly_Demand!G499:BF499))</f>
        <v>2307</v>
      </c>
      <c r="G499" s="51" t="n">
        <f aca="false">IF($A499="","",IFERROR(F499/Assumptions!$B$6,0))</f>
        <v>44.3653846153846</v>
      </c>
      <c r="H499" s="51" t="n">
        <f aca="false">IF($A499="","",STDEV(Weekly_Demand!G499:BF499))</f>
        <v>32.0575639394437</v>
      </c>
      <c r="I499" s="52" t="n">
        <f aca="false">IF($A499="","",IFERROR(H499/G499,0))</f>
        <v>0.722580548266612</v>
      </c>
      <c r="J499" s="53" t="n">
        <f aca="false">IF($A499="","",F499*C499)</f>
        <v>2906.82</v>
      </c>
      <c r="K499" s="54" t="n">
        <f aca="false">IF($A499="","",IFERROR(J499/$J$505,0))</f>
        <v>0.000752146553092532</v>
      </c>
      <c r="L499" s="54" t="n">
        <f aca="false">IF($A499="","",IFERROR(SUMIFS($J$5:$J$504,$AB$5:$AB$504,"&lt;="&amp;AB499)/$J$505,0))</f>
        <v>0.990652877134137</v>
      </c>
      <c r="M499" s="55" t="str">
        <f aca="false">IF($A499="","",IF(L499&lt;=Assumptions!$B$7,"A",IF(L499&lt;=Assumptions!$B$8,"B","C")))</f>
        <v>C</v>
      </c>
      <c r="N499" s="55" t="str">
        <f aca="false">IF($A499="","",IF(I499&lt;=Assumptions!$B$9,"X",IF(I499&lt;=Assumptions!$B$10,"Y","Z")))</f>
        <v>Y</v>
      </c>
      <c r="O499" s="56" t="str">
        <f aca="false">IF($A499="","",M499&amp;N499)</f>
        <v>CY</v>
      </c>
      <c r="P499" s="57" t="n">
        <f aca="false">IF($A499="","",INDEX(Assumptions!$B$35:$B$37,MATCH(M499,Assumptions!$A$35:$A$37,0)))</f>
        <v>0.9</v>
      </c>
      <c r="Q499" s="58" t="n">
        <f aca="false">IF($A499="","",NORMSINV(P499))</f>
        <v>1.2815515655446</v>
      </c>
      <c r="R499" s="48" t="n">
        <f aca="false">IF($A499="","",ROUNDUP(Q499*H499*SQRT(D499),0))</f>
        <v>117</v>
      </c>
      <c r="S499" s="48" t="n">
        <f aca="false">IF($A499="","",ROUNDUP(G499*D499+R499,0))</f>
        <v>472</v>
      </c>
      <c r="T499" s="46" t="n">
        <f aca="false">IF($A499="","",IFERROR(ROUND(SQRT(2*F499*Assumptions!$B$4/(Assumptions!$B$5*C499)),0),0))</f>
        <v>856</v>
      </c>
      <c r="U499" s="53" t="n">
        <f aca="false">IF($A499="","",R499*C499)</f>
        <v>147.42</v>
      </c>
      <c r="V499" s="53" t="n">
        <f aca="false">IF($A499="","",E499*C499)</f>
        <v>167.58</v>
      </c>
      <c r="W499" s="59" t="n">
        <f aca="false">IF($A499="","",IFERROR(E499/G499,0))</f>
        <v>2.99783268313828</v>
      </c>
      <c r="X499" s="48" t="n">
        <f aca="false">IF($A499="","",S499+T499)</f>
        <v>1328</v>
      </c>
      <c r="Y499" s="48" t="n">
        <f aca="false">IF($A499="","",MAX(0,E499-X499))</f>
        <v>0</v>
      </c>
      <c r="Z499" s="53" t="n">
        <f aca="false">IF($A499="","",Y499*C499)</f>
        <v>0</v>
      </c>
      <c r="AA499" s="56" t="str">
        <f aca="false">IF($A499="","",IF(E499&lt;=R499,"Below Safety Stock",IF(E499&lt;=S499,"Reorder Now",IF(E499&gt;X499,"Excess","Healthy"))))</f>
        <v>Reorder Now</v>
      </c>
      <c r="AB499" s="48" t="n">
        <f aca="false">IF($A499="","",RANK(AF499,$AF$5:$AF$504,0)+COUNTIF($AF$5:AF499,AF499)-1)</f>
        <v>487</v>
      </c>
      <c r="AC499" s="44" t="str">
        <f aca="false">IF($A499="","",Weekly_Demand!B499)</f>
        <v>I'M ON HOLIDAY METAL SIGN</v>
      </c>
      <c r="AD499" s="59" t="n">
        <f aca="false">IF($A499="","",H499*SQRT(D499))</f>
        <v>90.672483399608</v>
      </c>
      <c r="AE499" s="53" t="n">
        <f aca="false">IF($A499="","",AD499*C499)</f>
        <v>114.247329083506</v>
      </c>
      <c r="AF499" s="53" t="n">
        <f aca="false">IF($A499="","",ROUND(J499,2))</f>
        <v>2906.82</v>
      </c>
    </row>
    <row r="500" customFormat="false" ht="15" hidden="false" customHeight="false" outlineLevel="0" collapsed="false">
      <c r="A500" s="44" t="str">
        <f aca="false">IF(Weekly_Demand!A500="","",Weekly_Demand!A500)</f>
        <v>23234</v>
      </c>
      <c r="B500" s="44" t="str">
        <f aca="false">IF($A500="","",Weekly_Demand!C500)</f>
        <v>Kitchen</v>
      </c>
      <c r="C500" s="45" t="n">
        <f aca="false">IF($A500="","",Weekly_Demand!D500)</f>
        <v>1.734</v>
      </c>
      <c r="D500" s="46" t="n">
        <f aca="false">IF($A500="","",Weekly_Demand!E500+Assumptions!$B$19)</f>
        <v>6</v>
      </c>
      <c r="E500" s="46" t="n">
        <f aca="false">IF($A500="","",Weekly_Demand!F500)</f>
        <v>64</v>
      </c>
      <c r="F500" s="46" t="n">
        <f aca="false">IF($A500="","",SUM(Weekly_Demand!G500:BF500))</f>
        <v>1664</v>
      </c>
      <c r="G500" s="51" t="n">
        <f aca="false">IF($A500="","",IFERROR(F500/Assumptions!$B$6,0))</f>
        <v>32</v>
      </c>
      <c r="H500" s="51" t="n">
        <f aca="false">IF($A500="","",STDEV(Weekly_Demand!G500:BF500))</f>
        <v>49.7854219153973</v>
      </c>
      <c r="I500" s="52" t="n">
        <f aca="false">IF($A500="","",IFERROR(H500/G500,0))</f>
        <v>1.55579443485616</v>
      </c>
      <c r="J500" s="53" t="n">
        <f aca="false">IF($A500="","",F500*C500)</f>
        <v>2885.376</v>
      </c>
      <c r="K500" s="54" t="n">
        <f aca="false">IF($A500="","",IFERROR(J500/$J$505,0))</f>
        <v>0.000746597867351923</v>
      </c>
      <c r="L500" s="54" t="n">
        <f aca="false">IF($A500="","",IFERROR(SUMIFS($J$5:$J$504,$AB$5:$AB$504,"&lt;="&amp;AB500)/$J$505,0))</f>
        <v>0.992896898232351</v>
      </c>
      <c r="M500" s="55" t="str">
        <f aca="false">IF($A500="","",IF(L500&lt;=Assumptions!$B$7,"A",IF(L500&lt;=Assumptions!$B$8,"B","C")))</f>
        <v>C</v>
      </c>
      <c r="N500" s="55" t="str">
        <f aca="false">IF($A500="","",IF(I500&lt;=Assumptions!$B$9,"X",IF(I500&lt;=Assumptions!$B$10,"Y","Z")))</f>
        <v>Z</v>
      </c>
      <c r="O500" s="56" t="str">
        <f aca="false">IF($A500="","",M500&amp;N500)</f>
        <v>CZ</v>
      </c>
      <c r="P500" s="57" t="n">
        <f aca="false">IF($A500="","",INDEX(Assumptions!$B$35:$B$37,MATCH(M500,Assumptions!$A$35:$A$37,0)))</f>
        <v>0.9</v>
      </c>
      <c r="Q500" s="58" t="n">
        <f aca="false">IF($A500="","",NORMSINV(P500))</f>
        <v>1.2815515655446</v>
      </c>
      <c r="R500" s="48" t="n">
        <f aca="false">IF($A500="","",ROUNDUP(Q500*H500*SQRT(D500),0))</f>
        <v>157</v>
      </c>
      <c r="S500" s="48" t="n">
        <f aca="false">IF($A500="","",ROUNDUP(G500*D500+R500,0))</f>
        <v>349</v>
      </c>
      <c r="T500" s="46" t="n">
        <f aca="false">IF($A500="","",IFERROR(ROUND(SQRT(2*F500*Assumptions!$B$4/(Assumptions!$B$5*C500)),0),0))</f>
        <v>620</v>
      </c>
      <c r="U500" s="53" t="n">
        <f aca="false">IF($A500="","",R500*C500)</f>
        <v>272.238</v>
      </c>
      <c r="V500" s="53" t="n">
        <f aca="false">IF($A500="","",E500*C500)</f>
        <v>110.976</v>
      </c>
      <c r="W500" s="59" t="n">
        <f aca="false">IF($A500="","",IFERROR(E500/G500,0))</f>
        <v>2</v>
      </c>
      <c r="X500" s="48" t="n">
        <f aca="false">IF($A500="","",S500+T500)</f>
        <v>969</v>
      </c>
      <c r="Y500" s="48" t="n">
        <f aca="false">IF($A500="","",MAX(0,E500-X500))</f>
        <v>0</v>
      </c>
      <c r="Z500" s="53" t="n">
        <f aca="false">IF($A500="","",Y500*C500)</f>
        <v>0</v>
      </c>
      <c r="AA500" s="56" t="str">
        <f aca="false">IF($A500="","",IF(E500&lt;=R500,"Below Safety Stock",IF(E500&lt;=S500,"Reorder Now",IF(E500&gt;X500,"Excess","Healthy"))))</f>
        <v>Below Safety Stock</v>
      </c>
      <c r="AB500" s="48" t="n">
        <f aca="false">IF($A500="","",RANK(AF500,$AF$5:$AF$504,0)+COUNTIF($AF$5:AF500,AF500)-1)</f>
        <v>490</v>
      </c>
      <c r="AC500" s="44" t="str">
        <f aca="false">IF($A500="","",Weekly_Demand!B500)</f>
        <v>BISCUIT TIN VINTAGE CHRISTMAS</v>
      </c>
      <c r="AD500" s="59" t="n">
        <f aca="false">IF($A500="","",H500*SQRT(D500))</f>
        <v>121.948880321898</v>
      </c>
      <c r="AE500" s="53" t="n">
        <f aca="false">IF($A500="","",AD500*C500)</f>
        <v>211.459358478172</v>
      </c>
      <c r="AF500" s="53" t="n">
        <f aca="false">IF($A500="","",ROUND(J500,2))</f>
        <v>2885.38</v>
      </c>
    </row>
    <row r="501" customFormat="false" ht="15" hidden="false" customHeight="false" outlineLevel="0" collapsed="false">
      <c r="A501" s="44" t="str">
        <f aca="false">IF(Weekly_Demand!A501="","",Weekly_Demand!A501)</f>
        <v>23556</v>
      </c>
      <c r="B501" s="44" t="str">
        <f aca="false">IF($A501="","",Weekly_Demand!C501)</f>
        <v>Other</v>
      </c>
      <c r="C501" s="45" t="n">
        <f aca="false">IF($A501="","",Weekly_Demand!D501)</f>
        <v>7.5</v>
      </c>
      <c r="D501" s="46" t="n">
        <f aca="false">IF($A501="","",Weekly_Demand!E501+Assumptions!$B$19)</f>
        <v>2</v>
      </c>
      <c r="E501" s="46" t="n">
        <f aca="false">IF($A501="","",Weekly_Demand!F501)</f>
        <v>91</v>
      </c>
      <c r="F501" s="46" t="n">
        <f aca="false">IF($A501="","",SUM(Weekly_Demand!G501:BF501))</f>
        <v>431</v>
      </c>
      <c r="G501" s="51" t="n">
        <f aca="false">IF($A501="","",IFERROR(F501/Assumptions!$B$6,0))</f>
        <v>8.28846153846154</v>
      </c>
      <c r="H501" s="51" t="n">
        <f aca="false">IF($A501="","",STDEV(Weekly_Demand!G501:BF501))</f>
        <v>47.3122031841231</v>
      </c>
      <c r="I501" s="52" t="n">
        <f aca="false">IF($A501="","",IFERROR(H501/G501,0))</f>
        <v>5.70820084820047</v>
      </c>
      <c r="J501" s="53" t="n">
        <f aca="false">IF($A501="","",F501*C501)</f>
        <v>3232.5</v>
      </c>
      <c r="K501" s="54" t="n">
        <f aca="false">IF($A501="","",IFERROR(J501/$J$505,0))</f>
        <v>0.000836417023713752</v>
      </c>
      <c r="L501" s="54" t="n">
        <f aca="false">IF($A501="","",IFERROR(SUMIFS($J$5:$J$504,$AB$5:$AB$504,"&lt;="&amp;AB501)/$J$505,0))</f>
        <v>0.955530491283353</v>
      </c>
      <c r="M501" s="55" t="str">
        <f aca="false">IF($A501="","",IF(L501&lt;=Assumptions!$B$7,"A",IF(L501&lt;=Assumptions!$B$8,"B","C")))</f>
        <v>C</v>
      </c>
      <c r="N501" s="55" t="str">
        <f aca="false">IF($A501="","",IF(I501&lt;=Assumptions!$B$9,"X",IF(I501&lt;=Assumptions!$B$10,"Y","Z")))</f>
        <v>Z</v>
      </c>
      <c r="O501" s="56" t="str">
        <f aca="false">IF($A501="","",M501&amp;N501)</f>
        <v>CZ</v>
      </c>
      <c r="P501" s="57" t="n">
        <f aca="false">IF($A501="","",INDEX(Assumptions!$B$35:$B$37,MATCH(M501,Assumptions!$A$35:$A$37,0)))</f>
        <v>0.9</v>
      </c>
      <c r="Q501" s="58" t="n">
        <f aca="false">IF($A501="","",NORMSINV(P501))</f>
        <v>1.2815515655446</v>
      </c>
      <c r="R501" s="48" t="n">
        <f aca="false">IF($A501="","",ROUNDUP(Q501*H501*SQRT(D501),0))</f>
        <v>86</v>
      </c>
      <c r="S501" s="48" t="n">
        <f aca="false">IF($A501="","",ROUNDUP(G501*D501+R501,0))</f>
        <v>103</v>
      </c>
      <c r="T501" s="46" t="n">
        <f aca="false">IF($A501="","",IFERROR(ROUND(SQRT(2*F501*Assumptions!$B$4/(Assumptions!$B$5*C501)),0),0))</f>
        <v>152</v>
      </c>
      <c r="U501" s="53" t="n">
        <f aca="false">IF($A501="","",R501*C501)</f>
        <v>645</v>
      </c>
      <c r="V501" s="53" t="n">
        <f aca="false">IF($A501="","",E501*C501)</f>
        <v>682.5</v>
      </c>
      <c r="W501" s="59" t="n">
        <f aca="false">IF($A501="","",IFERROR(E501/G501,0))</f>
        <v>10.9791183294664</v>
      </c>
      <c r="X501" s="48" t="n">
        <f aca="false">IF($A501="","",S501+T501)</f>
        <v>255</v>
      </c>
      <c r="Y501" s="48" t="n">
        <f aca="false">IF($A501="","",MAX(0,E501-X501))</f>
        <v>0</v>
      </c>
      <c r="Z501" s="53" t="n">
        <f aca="false">IF($A501="","",Y501*C501)</f>
        <v>0</v>
      </c>
      <c r="AA501" s="56" t="str">
        <f aca="false">IF($A501="","",IF(E501&lt;=R501,"Below Safety Stock",IF(E501&lt;=S501,"Reorder Now",IF(E501&gt;X501,"Excess","Healthy"))))</f>
        <v>Reorder Now</v>
      </c>
      <c r="AB501" s="48" t="n">
        <f aca="false">IF($A501="","",RANK(AF501,$AF$5:$AF$504,0)+COUNTIF($AF$5:AF501,AF501)-1)</f>
        <v>443</v>
      </c>
      <c r="AC501" s="44" t="str">
        <f aca="false">IF($A501="","",Weekly_Demand!B501)</f>
        <v>LANDMARK FRAME COVENT GARDEN</v>
      </c>
      <c r="AD501" s="59" t="n">
        <f aca="false">IF($A501="","",H501*SQRT(D501))</f>
        <v>66.9095594087384</v>
      </c>
      <c r="AE501" s="53" t="n">
        <f aca="false">IF($A501="","",AD501*C501)</f>
        <v>501.821695565538</v>
      </c>
      <c r="AF501" s="53" t="n">
        <f aca="false">IF($A501="","",ROUND(J501,2))</f>
        <v>3232.5</v>
      </c>
    </row>
    <row r="502" customFormat="false" ht="15" hidden="false" customHeight="false" outlineLevel="0" collapsed="false">
      <c r="A502" s="44" t="str">
        <f aca="false">IF(Weekly_Demand!A502="","",Weekly_Demand!A502)</f>
        <v>22271</v>
      </c>
      <c r="B502" s="44" t="str">
        <f aca="false">IF($A502="","",Weekly_Demand!C502)</f>
        <v>Other</v>
      </c>
      <c r="C502" s="45" t="n">
        <f aca="false">IF($A502="","",Weekly_Demand!D502)</f>
        <v>1.77</v>
      </c>
      <c r="D502" s="46" t="n">
        <f aca="false">IF($A502="","",Weekly_Demand!E502+Assumptions!$B$19)</f>
        <v>8</v>
      </c>
      <c r="E502" s="46" t="n">
        <f aca="false">IF($A502="","",Weekly_Demand!F502)</f>
        <v>853</v>
      </c>
      <c r="F502" s="46" t="n">
        <f aca="false">IF($A502="","",SUM(Weekly_Demand!G502:BF502))</f>
        <v>1643</v>
      </c>
      <c r="G502" s="51" t="n">
        <f aca="false">IF($A502="","",IFERROR(F502/Assumptions!$B$6,0))</f>
        <v>31.5961538461538</v>
      </c>
      <c r="H502" s="51" t="n">
        <f aca="false">IF($A502="","",STDEV(Weekly_Demand!G502:BF502))</f>
        <v>26.2941577164031</v>
      </c>
      <c r="I502" s="52" t="n">
        <f aca="false">IF($A502="","",IFERROR(H502/G502,0))</f>
        <v>0.832194888163703</v>
      </c>
      <c r="J502" s="53" t="n">
        <f aca="false">IF($A502="","",F502*C502)</f>
        <v>2908.11</v>
      </c>
      <c r="K502" s="54" t="n">
        <f aca="false">IF($A502="","",IFERROR(J502/$J$505,0))</f>
        <v>0.000752480343644919</v>
      </c>
      <c r="L502" s="54" t="n">
        <f aca="false">IF($A502="","",IFERROR(SUMIFS($J$5:$J$504,$AB$5:$AB$504,"&lt;="&amp;AB502)/$J$505,0))</f>
        <v>0.989900730581044</v>
      </c>
      <c r="M502" s="55" t="str">
        <f aca="false">IF($A502="","",IF(L502&lt;=Assumptions!$B$7,"A",IF(L502&lt;=Assumptions!$B$8,"B","C")))</f>
        <v>C</v>
      </c>
      <c r="N502" s="55" t="str">
        <f aca="false">IF($A502="","",IF(I502&lt;=Assumptions!$B$9,"X",IF(I502&lt;=Assumptions!$B$10,"Y","Z")))</f>
        <v>Y</v>
      </c>
      <c r="O502" s="56" t="str">
        <f aca="false">IF($A502="","",M502&amp;N502)</f>
        <v>CY</v>
      </c>
      <c r="P502" s="57" t="n">
        <f aca="false">IF($A502="","",INDEX(Assumptions!$B$35:$B$37,MATCH(M502,Assumptions!$A$35:$A$37,0)))</f>
        <v>0.9</v>
      </c>
      <c r="Q502" s="58" t="n">
        <f aca="false">IF($A502="","",NORMSINV(P502))</f>
        <v>1.2815515655446</v>
      </c>
      <c r="R502" s="48" t="n">
        <f aca="false">IF($A502="","",ROUNDUP(Q502*H502*SQRT(D502),0))</f>
        <v>96</v>
      </c>
      <c r="S502" s="48" t="n">
        <f aca="false">IF($A502="","",ROUNDUP(G502*D502+R502,0))</f>
        <v>349</v>
      </c>
      <c r="T502" s="46" t="n">
        <f aca="false">IF($A502="","",IFERROR(ROUND(SQRT(2*F502*Assumptions!$B$4/(Assumptions!$B$5*C502)),0),0))</f>
        <v>609</v>
      </c>
      <c r="U502" s="53" t="n">
        <f aca="false">IF($A502="","",R502*C502)</f>
        <v>169.92</v>
      </c>
      <c r="V502" s="53" t="n">
        <f aca="false">IF($A502="","",E502*C502)</f>
        <v>1509.81</v>
      </c>
      <c r="W502" s="59" t="n">
        <f aca="false">IF($A502="","",IFERROR(E502/G502,0))</f>
        <v>26.9969567863664</v>
      </c>
      <c r="X502" s="48" t="n">
        <f aca="false">IF($A502="","",S502+T502)</f>
        <v>958</v>
      </c>
      <c r="Y502" s="48" t="n">
        <f aca="false">IF($A502="","",MAX(0,E502-X502))</f>
        <v>0</v>
      </c>
      <c r="Z502" s="53" t="n">
        <f aca="false">IF($A502="","",Y502*C502)</f>
        <v>0</v>
      </c>
      <c r="AA502" s="56" t="str">
        <f aca="false">IF($A502="","",IF(E502&lt;=R502,"Below Safety Stock",IF(E502&lt;=S502,"Reorder Now",IF(E502&gt;X502,"Excess","Healthy"))))</f>
        <v>Healthy</v>
      </c>
      <c r="AB502" s="48" t="n">
        <f aca="false">IF($A502="","",RANK(AF502,$AF$5:$AF$504,0)+COUNTIF($AF$5:AF502,AF502)-1)</f>
        <v>486</v>
      </c>
      <c r="AC502" s="44" t="str">
        <f aca="false">IF($A502="","",Weekly_Demand!B502)</f>
        <v>FELTCRAFT DOLL ROSIE</v>
      </c>
      <c r="AD502" s="59" t="n">
        <f aca="false">IF($A502="","",H502*SQRT(D502))</f>
        <v>74.371108907429</v>
      </c>
      <c r="AE502" s="53" t="n">
        <f aca="false">IF($A502="","",AD502*C502)</f>
        <v>131.636862766149</v>
      </c>
      <c r="AF502" s="53" t="n">
        <f aca="false">IF($A502="","",ROUND(J502,2))</f>
        <v>2908.11</v>
      </c>
    </row>
    <row r="503" customFormat="false" ht="15" hidden="false" customHeight="false" outlineLevel="0" collapsed="false">
      <c r="A503" s="44" t="str">
        <f aca="false">IF(Weekly_Demand!A503="","",Weekly_Demand!A503)</f>
        <v>21124</v>
      </c>
      <c r="B503" s="44" t="str">
        <f aca="false">IF($A503="","",Weekly_Demand!C503)</f>
        <v>Lighting</v>
      </c>
      <c r="C503" s="45" t="n">
        <f aca="false">IF($A503="","",Weekly_Demand!D503)</f>
        <v>0.75</v>
      </c>
      <c r="D503" s="46" t="n">
        <f aca="false">IF($A503="","",Weekly_Demand!E503+Assumptions!$B$19)</f>
        <v>2</v>
      </c>
      <c r="E503" s="46" t="n">
        <f aca="false">IF($A503="","",Weekly_Demand!F503)</f>
        <v>1224</v>
      </c>
      <c r="F503" s="46" t="n">
        <f aca="false">IF($A503="","",SUM(Weekly_Demand!G503:BF503))</f>
        <v>3977</v>
      </c>
      <c r="G503" s="51" t="n">
        <f aca="false">IF($A503="","",IFERROR(F503/Assumptions!$B$6,0))</f>
        <v>76.4807692307692</v>
      </c>
      <c r="H503" s="51" t="n">
        <f aca="false">IF($A503="","",STDEV(Weekly_Demand!G503:BF503))</f>
        <v>76.147815589185</v>
      </c>
      <c r="I503" s="52" t="n">
        <f aca="false">IF($A503="","",IFERROR(H503/G503,0))</f>
        <v>0.995646570439432</v>
      </c>
      <c r="J503" s="53" t="n">
        <f aca="false">IF($A503="","",F503*C503)</f>
        <v>2982.75</v>
      </c>
      <c r="K503" s="54" t="n">
        <f aca="false">IF($A503="","",IFERROR(J503/$J$505,0))</f>
        <v>0.000771793620257446</v>
      </c>
      <c r="L503" s="54" t="n">
        <f aca="false">IF($A503="","",IFERROR(SUMIFS($J$5:$J$504,$AB$5:$AB$504,"&lt;="&amp;AB503)/$J$505,0))</f>
        <v>0.983033801930608</v>
      </c>
      <c r="M503" s="55" t="str">
        <f aca="false">IF($A503="","",IF(L503&lt;=Assumptions!$B$7,"A",IF(L503&lt;=Assumptions!$B$8,"B","C")))</f>
        <v>C</v>
      </c>
      <c r="N503" s="55" t="str">
        <f aca="false">IF($A503="","",IF(I503&lt;=Assumptions!$B$9,"X",IF(I503&lt;=Assumptions!$B$10,"Y","Z")))</f>
        <v>Y</v>
      </c>
      <c r="O503" s="56" t="str">
        <f aca="false">IF($A503="","",M503&amp;N503)</f>
        <v>CY</v>
      </c>
      <c r="P503" s="57" t="n">
        <f aca="false">IF($A503="","",INDEX(Assumptions!$B$35:$B$37,MATCH(M503,Assumptions!$A$35:$A$37,0)))</f>
        <v>0.9</v>
      </c>
      <c r="Q503" s="58" t="n">
        <f aca="false">IF($A503="","",NORMSINV(P503))</f>
        <v>1.2815515655446</v>
      </c>
      <c r="R503" s="48" t="n">
        <f aca="false">IF($A503="","",ROUNDUP(Q503*H503*SQRT(D503),0))</f>
        <v>139</v>
      </c>
      <c r="S503" s="48" t="n">
        <f aca="false">IF($A503="","",ROUNDUP(G503*D503+R503,0))</f>
        <v>292</v>
      </c>
      <c r="T503" s="46" t="n">
        <f aca="false">IF($A503="","",IFERROR(ROUND(SQRT(2*F503*Assumptions!$B$4/(Assumptions!$B$5*C503)),0),0))</f>
        <v>1456</v>
      </c>
      <c r="U503" s="53" t="n">
        <f aca="false">IF($A503="","",R503*C503)</f>
        <v>104.25</v>
      </c>
      <c r="V503" s="53" t="n">
        <f aca="false">IF($A503="","",E503*C503)</f>
        <v>918</v>
      </c>
      <c r="W503" s="59" t="n">
        <f aca="false">IF($A503="","",IFERROR(E503/G503,0))</f>
        <v>16.0040231330148</v>
      </c>
      <c r="X503" s="48" t="n">
        <f aca="false">IF($A503="","",S503+T503)</f>
        <v>1748</v>
      </c>
      <c r="Y503" s="48" t="n">
        <f aca="false">IF($A503="","",MAX(0,E503-X503))</f>
        <v>0</v>
      </c>
      <c r="Z503" s="53" t="n">
        <f aca="false">IF($A503="","",Y503*C503)</f>
        <v>0</v>
      </c>
      <c r="AA503" s="56" t="str">
        <f aca="false">IF($A503="","",IF(E503&lt;=R503,"Below Safety Stock",IF(E503&lt;=S503,"Reorder Now",IF(E503&gt;X503,"Excess","Healthy"))))</f>
        <v>Healthy</v>
      </c>
      <c r="AB503" s="48" t="n">
        <f aca="false">IF($A503="","",RANK(AF503,$AF$5:$AF$504,0)+COUNTIF($AF$5:AF503,AF503)-1)</f>
        <v>477</v>
      </c>
      <c r="AC503" s="44" t="str">
        <f aca="false">IF($A503="","",Weekly_Demand!B503)</f>
        <v>SET/10 BLUE POLKADOT PARTY CANDLES</v>
      </c>
      <c r="AD503" s="59" t="n">
        <f aca="false">IF($A503="","",H503*SQRT(D503))</f>
        <v>107.689273551311</v>
      </c>
      <c r="AE503" s="53" t="n">
        <f aca="false">IF($A503="","",AD503*C503)</f>
        <v>80.7669551634831</v>
      </c>
      <c r="AF503" s="53" t="n">
        <f aca="false">IF($A503="","",ROUND(J503,2))</f>
        <v>2982.75</v>
      </c>
    </row>
    <row r="504" customFormat="false" ht="15" hidden="false" customHeight="false" outlineLevel="0" collapsed="false">
      <c r="A504" s="44" t="str">
        <f aca="false">IF(Weekly_Demand!A504="","",Weekly_Demand!A504)</f>
        <v>23531</v>
      </c>
      <c r="B504" s="44" t="str">
        <f aca="false">IF($A504="","",Weekly_Demand!C504)</f>
        <v>Other</v>
      </c>
      <c r="C504" s="45" t="n">
        <f aca="false">IF($A504="","",Weekly_Demand!D504)</f>
        <v>4.17</v>
      </c>
      <c r="D504" s="46" t="n">
        <f aca="false">IF($A504="","",Weekly_Demand!E504+Assumptions!$B$19)</f>
        <v>8</v>
      </c>
      <c r="E504" s="46" t="n">
        <f aca="false">IF($A504="","",Weekly_Demand!F504)</f>
        <v>48</v>
      </c>
      <c r="F504" s="46" t="n">
        <f aca="false">IF($A504="","",SUM(Weekly_Demand!G504:BF504))</f>
        <v>832</v>
      </c>
      <c r="G504" s="51" t="n">
        <f aca="false">IF($A504="","",IFERROR(F504/Assumptions!$B$6,0))</f>
        <v>16</v>
      </c>
      <c r="H504" s="51" t="n">
        <f aca="false">IF($A504="","",STDEV(Weekly_Demand!G504:BF504))</f>
        <v>48.4270221115054</v>
      </c>
      <c r="I504" s="52" t="n">
        <f aca="false">IF($A504="","",IFERROR(H504/G504,0))</f>
        <v>3.02668888196909</v>
      </c>
      <c r="J504" s="53" t="n">
        <f aca="false">IF($A504="","",F504*C504)</f>
        <v>3469.44</v>
      </c>
      <c r="K504" s="54" t="n">
        <f aca="false">IF($A504="","",IFERROR(J504/$J$505,0))</f>
        <v>0.000897725809359147</v>
      </c>
      <c r="L504" s="54" t="n">
        <f aca="false">IF($A504="","",IFERROR(SUMIFS($J$5:$J$504,$AB$5:$AB$504,"&lt;="&amp;AB504)/$J$505,0))</f>
        <v>0.928701401844092</v>
      </c>
      <c r="M504" s="55" t="str">
        <f aca="false">IF($A504="","",IF(L504&lt;=Assumptions!$B$7,"A",IF(L504&lt;=Assumptions!$B$8,"B","C")))</f>
        <v>B</v>
      </c>
      <c r="N504" s="55" t="str">
        <f aca="false">IF($A504="","",IF(I504&lt;=Assumptions!$B$9,"X",IF(I504&lt;=Assumptions!$B$10,"Y","Z")))</f>
        <v>Z</v>
      </c>
      <c r="O504" s="56" t="str">
        <f aca="false">IF($A504="","",M504&amp;N504)</f>
        <v>BZ</v>
      </c>
      <c r="P504" s="57" t="n">
        <f aca="false">IF($A504="","",INDEX(Assumptions!$B$35:$B$37,MATCH(M504,Assumptions!$A$35:$A$37,0)))</f>
        <v>0.95</v>
      </c>
      <c r="Q504" s="58" t="n">
        <f aca="false">IF($A504="","",NORMSINV(P504))</f>
        <v>1.64485362695147</v>
      </c>
      <c r="R504" s="48" t="n">
        <f aca="false">IF($A504="","",ROUNDUP(Q504*H504*SQRT(D504),0))</f>
        <v>226</v>
      </c>
      <c r="S504" s="48" t="n">
        <f aca="false">IF($A504="","",ROUNDUP(G504*D504+R504,0))</f>
        <v>354</v>
      </c>
      <c r="T504" s="46" t="n">
        <f aca="false">IF($A504="","",IFERROR(ROUND(SQRT(2*F504*Assumptions!$B$4/(Assumptions!$B$5*C504)),0),0))</f>
        <v>283</v>
      </c>
      <c r="U504" s="53" t="n">
        <f aca="false">IF($A504="","",R504*C504)</f>
        <v>942.42</v>
      </c>
      <c r="V504" s="53" t="n">
        <f aca="false">IF($A504="","",E504*C504)</f>
        <v>200.16</v>
      </c>
      <c r="W504" s="59" t="n">
        <f aca="false">IF($A504="","",IFERROR(E504/G504,0))</f>
        <v>3</v>
      </c>
      <c r="X504" s="48" t="n">
        <f aca="false">IF($A504="","",S504+T504)</f>
        <v>637</v>
      </c>
      <c r="Y504" s="48" t="n">
        <f aca="false">IF($A504="","",MAX(0,E504-X504))</f>
        <v>0</v>
      </c>
      <c r="Z504" s="53" t="n">
        <f aca="false">IF($A504="","",Y504*C504)</f>
        <v>0</v>
      </c>
      <c r="AA504" s="56" t="str">
        <f aca="false">IF($A504="","",IF(E504&lt;=R504,"Below Safety Stock",IF(E504&lt;=S504,"Reorder Now",IF(E504&gt;X504,"Excess","Healthy"))))</f>
        <v>Below Safety Stock</v>
      </c>
      <c r="AB504" s="48" t="n">
        <f aca="false">IF($A504="","",RANK(AF504,$AF$5:$AF$504,0)+COUNTIF($AF$5:AF504,AF504)-1)</f>
        <v>412</v>
      </c>
      <c r="AC504" s="44" t="str">
        <f aca="false">IF($A504="","",Weekly_Demand!B504)</f>
        <v>WALL ART BIG LOVE</v>
      </c>
      <c r="AD504" s="59" t="n">
        <f aca="false">IF($A504="","",H504*SQRT(D504))</f>
        <v>136.972302910865</v>
      </c>
      <c r="AE504" s="53" t="n">
        <f aca="false">IF($A504="","",AD504*C504)</f>
        <v>571.174503138309</v>
      </c>
      <c r="AF504" s="53" t="n">
        <f aca="false">IF($A504="","",ROUND(J504,2))</f>
        <v>3469.44</v>
      </c>
    </row>
    <row r="505" customFormat="false" ht="15" hidden="false" customHeight="false" outlineLevel="0" collapsed="false">
      <c r="A505" s="60" t="s">
        <v>1275</v>
      </c>
      <c r="B505" s="61"/>
      <c r="C505" s="61"/>
      <c r="D505" s="61"/>
      <c r="E505" s="61"/>
      <c r="F505" s="61"/>
      <c r="G505" s="61"/>
      <c r="H505" s="61"/>
      <c r="I505" s="61"/>
      <c r="J505" s="62" t="n">
        <f aca="false">SUM(J5:J504)</f>
        <v>3864698.958</v>
      </c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2" t="n">
        <f aca="false">SUM(U5:U504)</f>
        <v>390415.206</v>
      </c>
      <c r="V505" s="62" t="n">
        <f aca="false">SUM(V5:V504)</f>
        <v>1208878.458</v>
      </c>
      <c r="W505" s="61"/>
      <c r="X505" s="61"/>
      <c r="Y505" s="61"/>
      <c r="Z505" s="62" t="n">
        <f aca="false">SUM(Z5:Z504)</f>
        <v>339840</v>
      </c>
      <c r="AE505" s="62" t="n">
        <f aca="false">SUM(AE5:AE504)</f>
        <v>200738.786295497</v>
      </c>
    </row>
    <row r="506" customFormat="false" ht="15" hidden="false" customHeight="false" outlineLevel="0" collapsed="false">
      <c r="A506" s="3" t="s">
        <v>1276</v>
      </c>
    </row>
  </sheetData>
  <autoFilter ref="A4:AF504"/>
  <conditionalFormatting sqref="AA5:AA504">
    <cfRule type="cellIs" priority="2" operator="equal" aboveAverage="0" equalAverage="0" bottom="0" percent="0" rank="0" text="" dxfId="17">
      <formula>"Below Safety Stock"</formula>
    </cfRule>
    <cfRule type="cellIs" priority="3" operator="equal" aboveAverage="0" equalAverage="0" bottom="0" percent="0" rank="0" text="" dxfId="18">
      <formula>"Reorder Now"</formula>
    </cfRule>
    <cfRule type="cellIs" priority="4" operator="equal" aboveAverage="0" equalAverage="0" bottom="0" percent="0" rank="0" text="" dxfId="19">
      <formula>"Excess"</formula>
    </cfRule>
    <cfRule type="cellIs" priority="5" operator="equal" aboveAverage="0" equalAverage="0" bottom="0" percent="0" rank="0" text="" dxfId="20">
      <formula>"Healthy"</formula>
    </cfRule>
  </conditionalFormatting>
  <conditionalFormatting sqref="M5:M504">
    <cfRule type="cellIs" priority="6" operator="equal" aboveAverage="0" equalAverage="0" bottom="0" percent="0" rank="0" text="" dxfId="21">
      <formula>"A"</formula>
    </cfRule>
    <cfRule type="cellIs" priority="7" operator="equal" aboveAverage="0" equalAverage="0" bottom="0" percent="0" rank="0" text="" dxfId="22">
      <formula>"B"</formula>
    </cfRule>
    <cfRule type="cellIs" priority="8" operator="equal" aboveAverage="0" equalAverage="0" bottom="0" percent="0" rank="0" text="" dxfId="23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30"/>
  </cols>
  <sheetData>
    <row r="1" customFormat="false" ht="30" hidden="false" customHeight="true" outlineLevel="0" collapsed="false">
      <c r="A1" s="1" t="s">
        <v>1277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1278</v>
      </c>
    </row>
    <row r="4" customFormat="false" ht="15" hidden="false" customHeight="false" outlineLevel="0" collapsed="false">
      <c r="A4" s="4" t="s">
        <v>1279</v>
      </c>
    </row>
    <row r="5" customFormat="false" ht="30" hidden="false" customHeight="true" outlineLevel="0" collapsed="false">
      <c r="A5" s="16" t="s">
        <v>1280</v>
      </c>
      <c r="B5" s="16" t="s">
        <v>1281</v>
      </c>
      <c r="C5" s="16" t="s">
        <v>1282</v>
      </c>
      <c r="D5" s="16" t="s">
        <v>1283</v>
      </c>
      <c r="E5" s="16" t="s">
        <v>1284</v>
      </c>
    </row>
    <row r="6" customFormat="false" ht="15" hidden="false" customHeight="false" outlineLevel="0" collapsed="false">
      <c r="A6" s="27" t="s">
        <v>157</v>
      </c>
      <c r="B6" s="63" t="n">
        <f aca="false">COUNTIFS(SKU_Policy!$M$5:$M$504,$A6,SKU_Policy!$N$5:$N$504,LEFT(B$5,1))</f>
        <v>7</v>
      </c>
      <c r="C6" s="63" t="n">
        <f aca="false">COUNTIFS(SKU_Policy!$M$5:$M$504,$A6,SKU_Policy!$N$5:$N$504,LEFT(C$5,1))</f>
        <v>116</v>
      </c>
      <c r="D6" s="63" t="n">
        <f aca="false">COUNTIFS(SKU_Policy!$M$5:$M$504,$A6,SKU_Policy!$N$5:$N$504,LEFT(D$5,1))</f>
        <v>167</v>
      </c>
      <c r="E6" s="64" t="n">
        <f aca="false">SUM(B6:D6)</f>
        <v>290</v>
      </c>
    </row>
    <row r="7" customFormat="false" ht="15" hidden="false" customHeight="false" outlineLevel="0" collapsed="false">
      <c r="A7" s="27" t="s">
        <v>158</v>
      </c>
      <c r="B7" s="63" t="n">
        <f aca="false">COUNTIFS(SKU_Policy!$M$5:$M$504,$A7,SKU_Policy!$N$5:$N$504,LEFT(B$5,1))</f>
        <v>0</v>
      </c>
      <c r="C7" s="63" t="n">
        <f aca="false">COUNTIFS(SKU_Policy!$M$5:$M$504,$A7,SKU_Policy!$N$5:$N$504,LEFT(C$5,1))</f>
        <v>47</v>
      </c>
      <c r="D7" s="63" t="n">
        <f aca="false">COUNTIFS(SKU_Policy!$M$5:$M$504,$A7,SKU_Policy!$N$5:$N$504,LEFT(D$5,1))</f>
        <v>99</v>
      </c>
      <c r="E7" s="64" t="n">
        <f aca="false">SUM(B7:D7)</f>
        <v>146</v>
      </c>
    </row>
    <row r="8" customFormat="false" ht="15" hidden="false" customHeight="false" outlineLevel="0" collapsed="false">
      <c r="A8" s="27" t="s">
        <v>159</v>
      </c>
      <c r="B8" s="63" t="n">
        <f aca="false">COUNTIFS(SKU_Policy!$M$5:$M$504,$A8,SKU_Policy!$N$5:$N$504,LEFT(B$5,1))</f>
        <v>0</v>
      </c>
      <c r="C8" s="63" t="n">
        <f aca="false">COUNTIFS(SKU_Policy!$M$5:$M$504,$A8,SKU_Policy!$N$5:$N$504,LEFT(C$5,1))</f>
        <v>25</v>
      </c>
      <c r="D8" s="63" t="n">
        <f aca="false">COUNTIFS(SKU_Policy!$M$5:$M$504,$A8,SKU_Policy!$N$5:$N$504,LEFT(D$5,1))</f>
        <v>39</v>
      </c>
      <c r="E8" s="64" t="n">
        <f aca="false">SUM(B8:D8)</f>
        <v>64</v>
      </c>
    </row>
    <row r="9" customFormat="false" ht="15" hidden="false" customHeight="false" outlineLevel="0" collapsed="false">
      <c r="A9" s="27" t="s">
        <v>1284</v>
      </c>
      <c r="B9" s="64" t="n">
        <f aca="false">SUM(B6:B8)</f>
        <v>7</v>
      </c>
      <c r="C9" s="64" t="n">
        <f aca="false">SUM(C6:C8)</f>
        <v>188</v>
      </c>
      <c r="D9" s="64" t="n">
        <f aca="false">SUM(D6:D8)</f>
        <v>305</v>
      </c>
      <c r="E9" s="64" t="n">
        <f aca="false">SUM(E6:E8)</f>
        <v>500</v>
      </c>
    </row>
    <row r="11" customFormat="false" ht="15" hidden="false" customHeight="false" outlineLevel="0" collapsed="false">
      <c r="A11" s="4" t="s">
        <v>1285</v>
      </c>
    </row>
    <row r="12" customFormat="false" ht="30" hidden="false" customHeight="true" outlineLevel="0" collapsed="false">
      <c r="A12" s="16" t="s">
        <v>1280</v>
      </c>
      <c r="B12" s="16" t="s">
        <v>1281</v>
      </c>
      <c r="C12" s="16" t="s">
        <v>1282</v>
      </c>
      <c r="D12" s="16" t="s">
        <v>1283</v>
      </c>
      <c r="E12" s="16" t="s">
        <v>1284</v>
      </c>
    </row>
    <row r="13" customFormat="false" ht="15" hidden="false" customHeight="false" outlineLevel="0" collapsed="false">
      <c r="A13" s="27" t="s">
        <v>157</v>
      </c>
      <c r="B13" s="65" t="n">
        <f aca="false">SUMIFS(SKU_Policy!$J$5:$J$504,SKU_Policy!$M$5:$M$504,$A13,SKU_Policy!$N$5:$N$504,LEFT(B$12,1))</f>
        <v>91994.436</v>
      </c>
      <c r="C13" s="65" t="n">
        <f aca="false">SUMIFS(SKU_Policy!$J$5:$J$504,SKU_Policy!$M$5:$M$504,$A13,SKU_Policy!$N$5:$N$504,LEFT(C$12,1))</f>
        <v>1332839.88</v>
      </c>
      <c r="D13" s="65" t="n">
        <f aca="false">SUMIFS(SKU_Policy!$J$5:$J$504,SKU_Policy!$M$5:$M$504,$A13,SKU_Policy!$N$5:$N$504,LEFT(D$12,1))</f>
        <v>1666364.532</v>
      </c>
      <c r="E13" s="66" t="n">
        <f aca="false">SUM(B13:D13)</f>
        <v>3091198.848</v>
      </c>
    </row>
    <row r="14" customFormat="false" ht="15" hidden="false" customHeight="false" outlineLevel="0" collapsed="false">
      <c r="A14" s="27" t="s">
        <v>158</v>
      </c>
      <c r="B14" s="65" t="n">
        <f aca="false">SUMIFS(SKU_Policy!$J$5:$J$504,SKU_Policy!$M$5:$M$504,$A14,SKU_Policy!$N$5:$N$504,LEFT(B$12,1))</f>
        <v>0</v>
      </c>
      <c r="C14" s="65" t="n">
        <f aca="false">SUMIFS(SKU_Policy!$J$5:$J$504,SKU_Policy!$M$5:$M$504,$A14,SKU_Policy!$N$5:$N$504,LEFT(C$12,1))</f>
        <v>188123.322</v>
      </c>
      <c r="D14" s="65" t="n">
        <f aca="false">SUMIFS(SKU_Policy!$J$5:$J$504,SKU_Policy!$M$5:$M$504,$A14,SKU_Policy!$N$5:$N$504,LEFT(D$12,1))</f>
        <v>390808.944</v>
      </c>
      <c r="E14" s="66" t="n">
        <f aca="false">SUM(B14:D14)</f>
        <v>578932.266</v>
      </c>
    </row>
    <row r="15" customFormat="false" ht="15" hidden="false" customHeight="false" outlineLevel="0" collapsed="false">
      <c r="A15" s="27" t="s">
        <v>159</v>
      </c>
      <c r="B15" s="65" t="n">
        <f aca="false">SUMIFS(SKU_Policy!$J$5:$J$504,SKU_Policy!$M$5:$M$504,$A15,SKU_Policy!$N$5:$N$504,LEFT(B$12,1))</f>
        <v>0</v>
      </c>
      <c r="C15" s="65" t="n">
        <f aca="false">SUMIFS(SKU_Policy!$J$5:$J$504,SKU_Policy!$M$5:$M$504,$A15,SKU_Policy!$N$5:$N$504,LEFT(C$12,1))</f>
        <v>75704.184</v>
      </c>
      <c r="D15" s="65" t="n">
        <f aca="false">SUMIFS(SKU_Policy!$J$5:$J$504,SKU_Policy!$M$5:$M$504,$A15,SKU_Policy!$N$5:$N$504,LEFT(D$12,1))</f>
        <v>118863.66</v>
      </c>
      <c r="E15" s="66" t="n">
        <f aca="false">SUM(B15:D15)</f>
        <v>194567.844</v>
      </c>
    </row>
    <row r="16" customFormat="false" ht="15" hidden="false" customHeight="false" outlineLevel="0" collapsed="false">
      <c r="A16" s="27" t="s">
        <v>1284</v>
      </c>
      <c r="B16" s="66" t="n">
        <f aca="false">SUM(B13:B15)</f>
        <v>91994.436</v>
      </c>
      <c r="C16" s="66" t="n">
        <f aca="false">SUM(C13:C15)</f>
        <v>1596667.386</v>
      </c>
      <c r="D16" s="66" t="n">
        <f aca="false">SUM(D13:D15)</f>
        <v>2176037.136</v>
      </c>
      <c r="E16" s="66" t="n">
        <f aca="false">SUM(E13:E15)</f>
        <v>3864698.958</v>
      </c>
    </row>
    <row r="18" customFormat="false" ht="15" hidden="false" customHeight="false" outlineLevel="0" collapsed="false">
      <c r="A18" s="4" t="s">
        <v>1286</v>
      </c>
    </row>
    <row r="19" customFormat="false" ht="30" hidden="false" customHeight="true" outlineLevel="0" collapsed="false">
      <c r="A19" s="16" t="s">
        <v>1280</v>
      </c>
      <c r="B19" s="16" t="s">
        <v>1281</v>
      </c>
      <c r="C19" s="16" t="s">
        <v>1282</v>
      </c>
      <c r="D19" s="16" t="s">
        <v>1283</v>
      </c>
      <c r="E19" s="16" t="s">
        <v>1284</v>
      </c>
    </row>
    <row r="20" customFormat="false" ht="15" hidden="false" customHeight="false" outlineLevel="0" collapsed="false">
      <c r="A20" s="27" t="s">
        <v>157</v>
      </c>
      <c r="B20" s="67" t="n">
        <f aca="false">IFERROR(B13/$E$16,0)</f>
        <v>0.0238037779914448</v>
      </c>
      <c r="C20" s="67" t="n">
        <f aca="false">IFERROR(C13/$E$16,0)</f>
        <v>0.344875472704283</v>
      </c>
      <c r="D20" s="67" t="n">
        <f aca="false">IFERROR(D13/$E$16,0)</f>
        <v>0.431175765592452</v>
      </c>
      <c r="E20" s="68" t="n">
        <f aca="false">IFERROR(E13/$E$16,0)</f>
        <v>0.799855016288179</v>
      </c>
    </row>
    <row r="21" customFormat="false" ht="15" hidden="false" customHeight="false" outlineLevel="0" collapsed="false">
      <c r="A21" s="27" t="s">
        <v>158</v>
      </c>
      <c r="B21" s="67" t="n">
        <f aca="false">IFERROR(B14/$E$16,0)</f>
        <v>0</v>
      </c>
      <c r="C21" s="67" t="n">
        <f aca="false">IFERROR(C14/$E$16,0)</f>
        <v>0.0486773547032897</v>
      </c>
      <c r="D21" s="67" t="n">
        <f aca="false">IFERROR(D14/$E$16,0)</f>
        <v>0.101122738988769</v>
      </c>
      <c r="E21" s="68" t="n">
        <f aca="false">IFERROR(E14/$E$16,0)</f>
        <v>0.149800093692058</v>
      </c>
    </row>
    <row r="22" customFormat="false" ht="15" hidden="false" customHeight="false" outlineLevel="0" collapsed="false">
      <c r="A22" s="27" t="s">
        <v>159</v>
      </c>
      <c r="B22" s="67" t="n">
        <f aca="false">IFERROR(B15/$E$16,0)</f>
        <v>0</v>
      </c>
      <c r="C22" s="67" t="n">
        <f aca="false">IFERROR(C15/$E$16,0)</f>
        <v>0.0195886367405903</v>
      </c>
      <c r="D22" s="67" t="n">
        <f aca="false">IFERROR(D15/$E$16,0)</f>
        <v>0.030756253279172</v>
      </c>
      <c r="E22" s="68" t="n">
        <f aca="false">IFERROR(E15/$E$16,0)</f>
        <v>0.0503448900197623</v>
      </c>
    </row>
    <row r="23" customFormat="false" ht="15" hidden="false" customHeight="false" outlineLevel="0" collapsed="false">
      <c r="A23" s="27" t="s">
        <v>1284</v>
      </c>
      <c r="B23" s="68" t="n">
        <f aca="false">IFERROR(B16/$E$16,0)</f>
        <v>0.0238037779914448</v>
      </c>
      <c r="C23" s="68" t="n">
        <f aca="false">IFERROR(C16/$E$16,0)</f>
        <v>0.413141464148163</v>
      </c>
      <c r="D23" s="68" t="n">
        <f aca="false">IFERROR(D16/$E$16,0)</f>
        <v>0.563054757860392</v>
      </c>
      <c r="E23" s="68" t="n">
        <f aca="false">IFERROR(E16/$E$16,0)</f>
        <v>1</v>
      </c>
    </row>
    <row r="25" customFormat="false" ht="15" hidden="false" customHeight="false" outlineLevel="0" collapsed="false">
      <c r="A25" s="4" t="s">
        <v>1287</v>
      </c>
    </row>
    <row r="26" customFormat="false" ht="24.75" hidden="false" customHeight="true" outlineLevel="0" collapsed="false">
      <c r="A26" s="16" t="s">
        <v>1288</v>
      </c>
      <c r="B26" s="16" t="s">
        <v>1289</v>
      </c>
      <c r="C26" s="16" t="s">
        <v>1290</v>
      </c>
      <c r="D26" s="16"/>
      <c r="E26" s="16"/>
    </row>
    <row r="27" customFormat="false" ht="45" hidden="false" customHeight="true" outlineLevel="0" collapsed="false">
      <c r="A27" s="27" t="s">
        <v>1291</v>
      </c>
      <c r="B27" s="18" t="s">
        <v>1292</v>
      </c>
      <c r="C27" s="18" t="s">
        <v>1293</v>
      </c>
      <c r="D27" s="18"/>
      <c r="E27" s="18"/>
    </row>
    <row r="28" customFormat="false" ht="45" hidden="false" customHeight="true" outlineLevel="0" collapsed="false">
      <c r="A28" s="27" t="s">
        <v>1294</v>
      </c>
      <c r="B28" s="18" t="s">
        <v>1295</v>
      </c>
      <c r="C28" s="18" t="s">
        <v>1296</v>
      </c>
      <c r="D28" s="18"/>
      <c r="E28" s="18"/>
    </row>
    <row r="29" customFormat="false" ht="45" hidden="false" customHeight="true" outlineLevel="0" collapsed="false">
      <c r="A29" s="27" t="s">
        <v>1297</v>
      </c>
      <c r="B29" s="18" t="s">
        <v>1298</v>
      </c>
      <c r="C29" s="18" t="s">
        <v>1299</v>
      </c>
      <c r="D29" s="18"/>
      <c r="E29" s="18"/>
    </row>
    <row r="30" customFormat="false" ht="45" hidden="false" customHeight="true" outlineLevel="0" collapsed="false">
      <c r="A30" s="27" t="s">
        <v>1300</v>
      </c>
      <c r="B30" s="18" t="s">
        <v>1301</v>
      </c>
      <c r="C30" s="18" t="s">
        <v>1302</v>
      </c>
      <c r="D30" s="18"/>
      <c r="E30" s="18"/>
    </row>
    <row r="31" customFormat="false" ht="45" hidden="false" customHeight="true" outlineLevel="0" collapsed="false">
      <c r="A31" s="27" t="s">
        <v>1303</v>
      </c>
      <c r="B31" s="18" t="s">
        <v>1304</v>
      </c>
      <c r="C31" s="18" t="s">
        <v>1305</v>
      </c>
      <c r="D31" s="18"/>
      <c r="E31" s="18"/>
    </row>
    <row r="32" customFormat="false" ht="45" hidden="false" customHeight="true" outlineLevel="0" collapsed="false">
      <c r="A32" s="27" t="s">
        <v>1306</v>
      </c>
      <c r="B32" s="18" t="s">
        <v>1307</v>
      </c>
      <c r="C32" s="18" t="s">
        <v>1308</v>
      </c>
      <c r="D32" s="18"/>
      <c r="E32" s="18"/>
    </row>
    <row r="33" customFormat="false" ht="45" hidden="false" customHeight="true" outlineLevel="0" collapsed="false">
      <c r="A33" s="27" t="s">
        <v>1309</v>
      </c>
      <c r="B33" s="18" t="s">
        <v>1310</v>
      </c>
      <c r="C33" s="18" t="s">
        <v>1311</v>
      </c>
      <c r="D33" s="18"/>
      <c r="E33" s="18"/>
    </row>
    <row r="34" customFormat="false" ht="45" hidden="false" customHeight="true" outlineLevel="0" collapsed="false">
      <c r="A34" s="27" t="s">
        <v>1312</v>
      </c>
      <c r="B34" s="18" t="s">
        <v>1313</v>
      </c>
      <c r="C34" s="18" t="s">
        <v>1314</v>
      </c>
      <c r="D34" s="18"/>
      <c r="E34" s="18"/>
    </row>
    <row r="35" customFormat="false" ht="45" hidden="false" customHeight="true" outlineLevel="0" collapsed="false">
      <c r="A35" s="27" t="s">
        <v>1315</v>
      </c>
      <c r="B35" s="18" t="s">
        <v>1316</v>
      </c>
      <c r="C35" s="18" t="s">
        <v>1317</v>
      </c>
      <c r="D35" s="18"/>
      <c r="E35" s="18"/>
    </row>
  </sheetData>
  <mergeCells count="10"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</mergeCells>
  <conditionalFormatting sqref="B6:D8">
    <cfRule type="colorScale" priority="2">
      <colorScale>
        <cfvo type="min" val="0"/>
        <cfvo type="max" val="0"/>
        <color rgb="FFFFFFFF"/>
        <color rgb="FFF4B183"/>
      </colorScale>
    </cfRule>
  </conditionalFormatting>
  <conditionalFormatting sqref="B13:D15">
    <cfRule type="colorScale" priority="3">
      <colorScale>
        <cfvo type="min" val="0"/>
        <cfvo type="max" val="0"/>
        <color rgb="FFFFFFFF"/>
        <color rgb="FFF4B183"/>
      </colorScale>
    </cfRule>
  </conditionalFormatting>
  <conditionalFormatting sqref="B20:D22">
    <cfRule type="colorScale" priority="4">
      <colorScale>
        <cfvo type="min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1318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26" t="s">
        <v>1319</v>
      </c>
      <c r="B2" s="26"/>
      <c r="C2" s="26"/>
      <c r="D2" s="26"/>
      <c r="E2" s="26"/>
      <c r="F2" s="26"/>
      <c r="G2" s="26"/>
      <c r="H2" s="26"/>
    </row>
    <row r="4" customFormat="false" ht="45" hidden="false" customHeight="true" outlineLevel="0" collapsed="false">
      <c r="A4" s="16" t="s">
        <v>1320</v>
      </c>
      <c r="B4" s="16" t="s">
        <v>1259</v>
      </c>
      <c r="C4" s="16" t="s">
        <v>1321</v>
      </c>
      <c r="D4" s="16" t="s">
        <v>1322</v>
      </c>
      <c r="E4" s="16" t="s">
        <v>1323</v>
      </c>
      <c r="F4" s="16" t="s">
        <v>1324</v>
      </c>
      <c r="G4" s="16" t="s">
        <v>1325</v>
      </c>
    </row>
    <row r="5" customFormat="false" ht="15" hidden="false" customHeight="false" outlineLevel="0" collapsed="false">
      <c r="A5" s="21" t="n">
        <v>0.8</v>
      </c>
      <c r="B5" s="69" t="n">
        <f aca="false">NORMSINV(A5)</f>
        <v>0.841621233572914</v>
      </c>
      <c r="C5" s="70" t="n">
        <f aca="false">B5*SUM(SKU_Policy!$AD$5:$AD$504)</f>
        <v>107769.968571547</v>
      </c>
      <c r="D5" s="71" t="n">
        <f aca="false">B5*SUM(SKU_Policy!$AE$5:$AE$504)</f>
        <v>168946.024947945</v>
      </c>
      <c r="E5" s="72" t="n">
        <f aca="false">0</f>
        <v>0</v>
      </c>
      <c r="F5" s="72" t="n">
        <f aca="false">D5-$D$9</f>
        <v>-161239.895760038</v>
      </c>
      <c r="G5" s="28" t="n">
        <f aca="false">IFERROR(D5/$D$9-1,0)</f>
        <v>-0.488330621167336</v>
      </c>
    </row>
    <row r="6" customFormat="false" ht="15" hidden="false" customHeight="false" outlineLevel="0" collapsed="false">
      <c r="A6" s="21" t="n">
        <v>0.85</v>
      </c>
      <c r="B6" s="69" t="n">
        <f aca="false">NORMSINV(A6)</f>
        <v>1.03643338949379</v>
      </c>
      <c r="C6" s="70" t="n">
        <f aca="false">B6*SUM(SKU_Policy!$AD$5:$AD$504)</f>
        <v>132715.750692346</v>
      </c>
      <c r="D6" s="71" t="n">
        <f aca="false">B6*SUM(SKU_Policy!$AE$5:$AE$504)</f>
        <v>208052.380683111</v>
      </c>
      <c r="E6" s="72" t="n">
        <f aca="false">D6-D5</f>
        <v>39106.3557351655</v>
      </c>
      <c r="F6" s="72" t="n">
        <f aca="false">D6-$D$9</f>
        <v>-122133.540024873</v>
      </c>
      <c r="G6" s="28" t="n">
        <f aca="false">IFERROR(D6/$D$9-1,0)</f>
        <v>-0.369893240035779</v>
      </c>
    </row>
    <row r="7" customFormat="false" ht="15" hidden="false" customHeight="false" outlineLevel="0" collapsed="false">
      <c r="A7" s="21" t="n">
        <v>0.9</v>
      </c>
      <c r="B7" s="69" t="n">
        <f aca="false">NORMSINV(A7)</f>
        <v>1.2815515655446</v>
      </c>
      <c r="C7" s="70" t="n">
        <f aca="false">B7*SUM(SKU_Policy!$AD$5:$AD$504)</f>
        <v>164103.240783543</v>
      </c>
      <c r="D7" s="71" t="n">
        <f aca="false">B7*SUM(SKU_Policy!$AE$5:$AE$504)</f>
        <v>257257.105842517</v>
      </c>
      <c r="E7" s="72" t="n">
        <f aca="false">D7-D6</f>
        <v>49204.7251594058</v>
      </c>
      <c r="F7" s="72" t="n">
        <f aca="false">D7-$D$9</f>
        <v>-72928.8148654672</v>
      </c>
      <c r="G7" s="28" t="n">
        <f aca="false">IFERROR(D7/$D$9-1,0)</f>
        <v>-0.220871970279936</v>
      </c>
    </row>
    <row r="8" customFormat="false" ht="15" hidden="false" customHeight="false" outlineLevel="0" collapsed="false">
      <c r="A8" s="21" t="n">
        <v>0.92</v>
      </c>
      <c r="B8" s="69" t="n">
        <f aca="false">NORMSINV(A8)</f>
        <v>1.40507156030963</v>
      </c>
      <c r="C8" s="70" t="n">
        <f aca="false">B8*SUM(SKU_Policy!$AD$5:$AD$504)</f>
        <v>179920.030359149</v>
      </c>
      <c r="D8" s="71" t="n">
        <f aca="false">B8*SUM(SKU_Policy!$AE$5:$AE$504)</f>
        <v>282052.359674875</v>
      </c>
      <c r="E8" s="72" t="n">
        <f aca="false">D8-D7</f>
        <v>24795.2538323586</v>
      </c>
      <c r="F8" s="72" t="n">
        <f aca="false">D8-$D$9</f>
        <v>-48133.5610331086</v>
      </c>
      <c r="G8" s="28" t="n">
        <f aca="false">IFERROR(D8/$D$9-1,0)</f>
        <v>-0.145777145584829</v>
      </c>
    </row>
    <row r="9" customFormat="false" ht="15" hidden="false" customHeight="false" outlineLevel="0" collapsed="false">
      <c r="A9" s="21" t="n">
        <v>0.95</v>
      </c>
      <c r="B9" s="69" t="n">
        <f aca="false">NORMSINV(A9)</f>
        <v>1.64485362695147</v>
      </c>
      <c r="C9" s="70" t="n">
        <f aca="false">B9*SUM(SKU_Policy!$AD$5:$AD$504)</f>
        <v>210624.229297082</v>
      </c>
      <c r="D9" s="71" t="n">
        <f aca="false">B9*SUM(SKU_Policy!$AE$5:$AE$504)</f>
        <v>330185.920707984</v>
      </c>
      <c r="E9" s="72" t="n">
        <f aca="false">D9-D8</f>
        <v>48133.5610331086</v>
      </c>
      <c r="F9" s="72" t="n">
        <f aca="false">D9-$D$9</f>
        <v>0</v>
      </c>
      <c r="G9" s="28" t="n">
        <f aca="false">IFERROR(D9/$D$9-1,0)</f>
        <v>0</v>
      </c>
    </row>
    <row r="10" customFormat="false" ht="15" hidden="false" customHeight="false" outlineLevel="0" collapsed="false">
      <c r="A10" s="21" t="n">
        <v>0.97</v>
      </c>
      <c r="B10" s="69" t="n">
        <f aca="false">NORMSINV(A10)</f>
        <v>1.88079360815125</v>
      </c>
      <c r="C10" s="70" t="n">
        <f aca="false">B10*SUM(SKU_Policy!$AD$5:$AD$504)</f>
        <v>240836.447506841</v>
      </c>
      <c r="D10" s="71" t="n">
        <f aca="false">B10*SUM(SKU_Policy!$AE$5:$AE$504)</f>
        <v>377548.22617261</v>
      </c>
      <c r="E10" s="72" t="n">
        <f aca="false">D10-D9</f>
        <v>47362.3054646259</v>
      </c>
      <c r="F10" s="72" t="n">
        <f aca="false">D10-$D$9</f>
        <v>47362.3054646259</v>
      </c>
      <c r="G10" s="28" t="n">
        <f aca="false">IFERROR(D10/$D$9-1,0)</f>
        <v>0.14344132349154</v>
      </c>
    </row>
    <row r="11" customFormat="false" ht="15" hidden="false" customHeight="false" outlineLevel="0" collapsed="false">
      <c r="A11" s="21" t="n">
        <v>0.98</v>
      </c>
      <c r="B11" s="69" t="n">
        <f aca="false">NORMSINV(A11)</f>
        <v>2.05374891063182</v>
      </c>
      <c r="C11" s="70" t="n">
        <f aca="false">B11*SUM(SKU_Policy!$AD$5:$AD$504)</f>
        <v>262983.449945794</v>
      </c>
      <c r="D11" s="71" t="n">
        <f aca="false">B11*SUM(SKU_Policy!$AE$5:$AE$504)</f>
        <v>412267.06367593</v>
      </c>
      <c r="E11" s="72" t="n">
        <f aca="false">D11-D10</f>
        <v>34718.8375033204</v>
      </c>
      <c r="F11" s="72" t="n">
        <f aca="false">D11-$D$9</f>
        <v>82081.1429679463</v>
      </c>
      <c r="G11" s="28" t="n">
        <f aca="false">IFERROR(D11/$D$9-1,0)</f>
        <v>0.24859068124997</v>
      </c>
    </row>
    <row r="12" customFormat="false" ht="15" hidden="false" customHeight="false" outlineLevel="0" collapsed="false">
      <c r="A12" s="21" t="n">
        <v>0.99</v>
      </c>
      <c r="B12" s="69" t="n">
        <f aca="false">NORMSINV(A12)</f>
        <v>2.32634787404084</v>
      </c>
      <c r="C12" s="70" t="n">
        <f aca="false">B12*SUM(SKU_Policy!$AD$5:$AD$504)</f>
        <v>297889.866926873</v>
      </c>
      <c r="D12" s="71" t="n">
        <f aca="false">B12*SUM(SKU_Policy!$AE$5:$AE$504)</f>
        <v>466988.248736067</v>
      </c>
      <c r="E12" s="72" t="n">
        <f aca="false">D12-D11</f>
        <v>54721.1850601369</v>
      </c>
      <c r="F12" s="72" t="n">
        <f aca="false">D12-$D$9</f>
        <v>136802.328028083</v>
      </c>
      <c r="G12" s="28" t="n">
        <f aca="false">IFERROR(D12/$D$9-1,0)</f>
        <v>0.414319083426549</v>
      </c>
    </row>
    <row r="13" customFormat="false" ht="15" hidden="false" customHeight="false" outlineLevel="0" collapsed="false">
      <c r="A13" s="21" t="n">
        <v>0.995</v>
      </c>
      <c r="B13" s="69" t="n">
        <f aca="false">NORMSINV(A13)</f>
        <v>2.5758293035489</v>
      </c>
      <c r="C13" s="70" t="n">
        <f aca="false">B13*SUM(SKU_Policy!$AD$5:$AD$504)</f>
        <v>329836.073539468</v>
      </c>
      <c r="D13" s="71" t="n">
        <f aca="false">B13*SUM(SKU_Policy!$AE$5:$AE$504)</f>
        <v>517068.84809878</v>
      </c>
      <c r="E13" s="72" t="n">
        <f aca="false">D13-D12</f>
        <v>50080.5993627133</v>
      </c>
      <c r="F13" s="72" t="n">
        <f aca="false">D13-$D$9</f>
        <v>186882.927390796</v>
      </c>
      <c r="G13" s="28" t="n">
        <f aca="false">IFERROR(D13/$D$9-1,0)</f>
        <v>0.565993022931089</v>
      </c>
    </row>
    <row r="15" customFormat="false" ht="15" hidden="false" customHeight="false" outlineLevel="0" collapsed="false">
      <c r="A15" s="4" t="s">
        <v>1326</v>
      </c>
    </row>
    <row r="16" customFormat="false" ht="30" hidden="false" customHeight="true" outlineLevel="0" collapsed="false">
      <c r="A16" s="16" t="s">
        <v>1327</v>
      </c>
      <c r="B16" s="16"/>
      <c r="C16" s="16" t="s">
        <v>1328</v>
      </c>
      <c r="D16" s="16" t="s">
        <v>1329</v>
      </c>
    </row>
    <row r="17" customFormat="false" ht="15" hidden="false" customHeight="false" outlineLevel="0" collapsed="false">
      <c r="A17" s="9" t="s">
        <v>1330</v>
      </c>
      <c r="C17" s="70" t="n">
        <f aca="false">SUMPRODUCT(SKU_Policy!$Q$5:$Q$504,SKU_Policy!$AD$5:$AD$504)</f>
        <v>245940.918763082</v>
      </c>
      <c r="D17" s="71" t="n">
        <f aca="false">SUMPRODUCT(SKU_Policy!$Q$5:$Q$504,SKU_Policy!$AE$5:$AE$504)</f>
        <v>389664.048150198</v>
      </c>
    </row>
    <row r="18" customFormat="false" ht="15" hidden="false" customHeight="false" outlineLevel="0" collapsed="false">
      <c r="A18" s="9" t="s">
        <v>1331</v>
      </c>
      <c r="C18" s="70" t="n">
        <f aca="false">SUM(SKU_Policy!$R$5:$R$504)</f>
        <v>246195</v>
      </c>
      <c r="D18" s="71" t="n">
        <f aca="false">SKU_Policy!$U$505</f>
        <v>390415.206</v>
      </c>
    </row>
    <row r="19" customFormat="false" ht="15" hidden="false" customHeight="false" outlineLevel="0" collapsed="false">
      <c r="A19" s="73" t="s">
        <v>1332</v>
      </c>
      <c r="C19" s="74" t="n">
        <f aca="false">C18-C17</f>
        <v>254.08123691834</v>
      </c>
      <c r="D19" s="72" t="n">
        <f aca="false">D18-D17</f>
        <v>751.157849801821</v>
      </c>
    </row>
    <row r="20" customFormat="false" ht="45" hidden="false" customHeight="true" outlineLevel="0" collapsed="false">
      <c r="A20" s="26" t="s">
        <v>1333</v>
      </c>
      <c r="B20" s="26"/>
      <c r="C20" s="26"/>
      <c r="D20" s="26"/>
      <c r="E20" s="26"/>
      <c r="F20" s="26"/>
      <c r="G20" s="26"/>
    </row>
    <row r="22" customFormat="false" ht="15" hidden="false" customHeight="false" outlineLevel="0" collapsed="false">
      <c r="A22" s="4" t="s">
        <v>1334</v>
      </c>
    </row>
    <row r="23" customFormat="false" ht="31.5" hidden="false" customHeight="true" outlineLevel="0" collapsed="false">
      <c r="A23" s="26" t="s">
        <v>1335</v>
      </c>
      <c r="B23" s="26"/>
      <c r="C23" s="26"/>
      <c r="D23" s="26"/>
      <c r="E23" s="26"/>
      <c r="F23" s="26"/>
      <c r="G23" s="26"/>
    </row>
    <row r="24" customFormat="false" ht="45" hidden="false" customHeight="true" outlineLevel="0" collapsed="false">
      <c r="A24" s="16" t="s">
        <v>1336</v>
      </c>
      <c r="B24" s="16"/>
      <c r="C24" s="16" t="s">
        <v>1263</v>
      </c>
      <c r="D24" s="16" t="s">
        <v>1337</v>
      </c>
      <c r="E24" s="16" t="s">
        <v>1338</v>
      </c>
      <c r="F24" s="16" t="s">
        <v>1337</v>
      </c>
      <c r="G24" s="16" t="s">
        <v>1339</v>
      </c>
    </row>
    <row r="25" customFormat="false" ht="15" hidden="false" customHeight="false" outlineLevel="0" collapsed="false">
      <c r="A25" s="75" t="n">
        <v>0</v>
      </c>
      <c r="C25" s="71" t="n">
        <f aca="false">SUMPRODUCT(SKU_Policy!$Q$5:$Q$504,SKU_Policy!$H$5:$H$504,SQRT(SKU_Policy!$D$5:$D$504+A25),SKU_Policy!$C$5:$C$504)</f>
        <v>389664.048150198</v>
      </c>
      <c r="D25" s="72" t="n">
        <f aca="false">C25-$C$25</f>
        <v>0</v>
      </c>
      <c r="E25" s="71" t="n">
        <f aca="false">SUMPRODUCT(SKU_Policy!$G$5:$G$504,SKU_Policy!$D$5:$D$504+A25,SKU_Policy!$C$5:$C$504)+C25</f>
        <v>780656.356996352</v>
      </c>
      <c r="F25" s="72" t="n">
        <f aca="false">E25-$E$25</f>
        <v>0</v>
      </c>
      <c r="G25" s="28" t="n">
        <f aca="false">IFERROR(C25/$C$25-1,0)</f>
        <v>0</v>
      </c>
    </row>
    <row r="26" customFormat="false" ht="15" hidden="false" customHeight="false" outlineLevel="0" collapsed="false">
      <c r="A26" s="75" t="n">
        <v>1</v>
      </c>
      <c r="C26" s="71" t="n">
        <f aca="false">SUMPRODUCT(SKU_Policy!$Q$5:$Q$504,SKU_Policy!$H$5:$H$504,SQRT(SKU_Policy!$D$5:$D$504+A26),SKU_Policy!$C$5:$C$504)</f>
        <v>429793.325183021</v>
      </c>
      <c r="D26" s="72" t="n">
        <f aca="false">C26-$C$25</f>
        <v>40129.2770328229</v>
      </c>
      <c r="E26" s="71" t="n">
        <f aca="false">SUMPRODUCT(SKU_Policy!$G$5:$G$504,SKU_Policy!$D$5:$D$504+A26,SKU_Policy!$C$5:$C$504)+C26</f>
        <v>895106.767836867</v>
      </c>
      <c r="F26" s="72" t="n">
        <f aca="false">E26-$E$25</f>
        <v>114450.410840515</v>
      </c>
      <c r="G26" s="28" t="n">
        <f aca="false">IFERROR(C26/$C$25-1,0)</f>
        <v>0.10298429435131</v>
      </c>
    </row>
    <row r="27" customFormat="false" ht="15" hidden="false" customHeight="false" outlineLevel="0" collapsed="false">
      <c r="A27" s="75" t="n">
        <v>2</v>
      </c>
      <c r="C27" s="71" t="n">
        <f aca="false">SUMPRODUCT(SKU_Policy!$Q$5:$Q$504,SKU_Policy!$H$5:$H$504,SQRT(SKU_Policy!$D$5:$D$504+A27),SKU_Policy!$C$5:$C$504)</f>
        <v>465864.298386961</v>
      </c>
      <c r="D27" s="72" t="n">
        <f aca="false">C27-$C$25</f>
        <v>76200.2502367629</v>
      </c>
      <c r="E27" s="71" t="n">
        <f aca="false">SUMPRODUCT(SKU_Policy!$G$5:$G$504,SKU_Policy!$D$5:$D$504+A27,SKU_Policy!$C$5:$C$504)+C27</f>
        <v>1005498.8748485</v>
      </c>
      <c r="F27" s="72" t="n">
        <f aca="false">E27-$E$25</f>
        <v>224842.517852147</v>
      </c>
      <c r="G27" s="28" t="n">
        <f aca="false">IFERROR(C27/$C$25-1,0)</f>
        <v>0.195553709916269</v>
      </c>
    </row>
    <row r="28" customFormat="false" ht="15" hidden="false" customHeight="false" outlineLevel="0" collapsed="false">
      <c r="A28" s="75" t="n">
        <v>3</v>
      </c>
      <c r="C28" s="71" t="n">
        <f aca="false">SUMPRODUCT(SKU_Policy!$Q$5:$Q$504,SKU_Policy!$H$5:$H$504,SQRT(SKU_Policy!$D$5:$D$504+A28),SKU_Policy!$C$5:$C$504)</f>
        <v>499021.555572402</v>
      </c>
      <c r="D28" s="72" t="n">
        <f aca="false">C28-$C$25</f>
        <v>109357.507422204</v>
      </c>
      <c r="E28" s="71" t="n">
        <f aca="false">SUMPRODUCT(SKU_Policy!$G$5:$G$504,SKU_Policy!$D$5:$D$504+A28,SKU_Policy!$C$5:$C$504)+C28</f>
        <v>1112977.26584163</v>
      </c>
      <c r="F28" s="72" t="n">
        <f aca="false">E28-$E$25</f>
        <v>332320.908845281</v>
      </c>
      <c r="G28" s="28" t="n">
        <f aca="false">IFERROR(C28/$C$25-1,0)</f>
        <v>0.280645617529621</v>
      </c>
    </row>
    <row r="29" customFormat="false" ht="15" hidden="false" customHeight="false" outlineLevel="0" collapsed="false">
      <c r="A29" s="75" t="n">
        <v>4</v>
      </c>
      <c r="C29" s="71" t="n">
        <f aca="false">SUMPRODUCT(SKU_Policy!$Q$5:$Q$504,SKU_Policy!$H$5:$H$504,SQRT(SKU_Policy!$D$5:$D$504+A29),SKU_Policy!$C$5:$C$504)</f>
        <v>529926.369616832</v>
      </c>
      <c r="D29" s="72" t="n">
        <f aca="false">C29-$C$25</f>
        <v>140262.321466634</v>
      </c>
      <c r="E29" s="71" t="n">
        <f aca="false">SUMPRODUCT(SKU_Policy!$G$5:$G$504,SKU_Policy!$D$5:$D$504+A29,SKU_Policy!$C$5:$C$504)+C29</f>
        <v>1218203.21369376</v>
      </c>
      <c r="F29" s="72" t="n">
        <f aca="false">E29-$E$25</f>
        <v>437546.856697403</v>
      </c>
      <c r="G29" s="28" t="n">
        <f aca="false">IFERROR(C29/$C$25-1,0)</f>
        <v>0.359957050522067</v>
      </c>
    </row>
  </sheetData>
  <mergeCells count="3">
    <mergeCell ref="A2:H2"/>
    <mergeCell ref="A20:G20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3C0C"/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7" min="5" style="0" width="16"/>
  </cols>
  <sheetData>
    <row r="1" customFormat="false" ht="30" hidden="false" customHeight="true" outlineLevel="0" collapsed="false">
      <c r="A1" s="1" t="s">
        <v>1340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1341</v>
      </c>
    </row>
    <row r="4" customFormat="false" ht="24.75" hidden="false" customHeight="true" outlineLevel="0" collapsed="false">
      <c r="A4" s="16" t="s">
        <v>1342</v>
      </c>
      <c r="B4" s="16" t="s">
        <v>105</v>
      </c>
      <c r="C4" s="16" t="s">
        <v>1343</v>
      </c>
    </row>
    <row r="5" customFormat="false" ht="15" hidden="false" customHeight="false" outlineLevel="0" collapsed="false">
      <c r="A5" s="73" t="s">
        <v>1344</v>
      </c>
      <c r="B5" s="76" t="n">
        <f aca="false">SUMPRODUCT(--(SKU_Policy!$A$5:$A$504&lt;&gt;""))</f>
        <v>500</v>
      </c>
      <c r="C5" s="77" t="s">
        <v>1345</v>
      </c>
    </row>
    <row r="6" customFormat="false" ht="15" hidden="false" customHeight="false" outlineLevel="0" collapsed="false">
      <c r="A6" s="73" t="s">
        <v>1346</v>
      </c>
      <c r="B6" s="78" t="n">
        <f aca="false">SKU_Policy!$J$505</f>
        <v>3864698.958</v>
      </c>
      <c r="C6" s="77" t="s">
        <v>1347</v>
      </c>
    </row>
    <row r="7" customFormat="false" ht="15" hidden="false" customHeight="false" outlineLevel="0" collapsed="false">
      <c r="A7" s="73" t="s">
        <v>1348</v>
      </c>
      <c r="B7" s="78" t="n">
        <f aca="false">SKU_Policy!$V$505</f>
        <v>1208878.458</v>
      </c>
      <c r="C7" s="77" t="s">
        <v>1349</v>
      </c>
    </row>
    <row r="8" customFormat="false" ht="15" hidden="false" customHeight="false" outlineLevel="0" collapsed="false">
      <c r="A8" s="73" t="s">
        <v>1350</v>
      </c>
      <c r="B8" s="78" t="n">
        <f aca="false">SKU_Policy!$U$505</f>
        <v>390415.206</v>
      </c>
      <c r="C8" s="77" t="s">
        <v>1351</v>
      </c>
    </row>
    <row r="9" customFormat="false" ht="15" hidden="false" customHeight="false" outlineLevel="0" collapsed="false">
      <c r="A9" s="73" t="s">
        <v>1352</v>
      </c>
      <c r="B9" s="78" t="n">
        <f aca="false">SKU_Policy!$Z$505</f>
        <v>339840</v>
      </c>
      <c r="C9" s="77" t="s">
        <v>1353</v>
      </c>
    </row>
    <row r="10" customFormat="false" ht="15" hidden="false" customHeight="false" outlineLevel="0" collapsed="false">
      <c r="A10" s="73" t="s">
        <v>1354</v>
      </c>
      <c r="B10" s="79" t="n">
        <f aca="false">IFERROR(B9/B7,0)</f>
        <v>0.281120072701304</v>
      </c>
      <c r="C10" s="77" t="s">
        <v>1355</v>
      </c>
    </row>
    <row r="11" customFormat="false" ht="15" hidden="false" customHeight="false" outlineLevel="0" collapsed="false">
      <c r="A11" s="73" t="s">
        <v>1356</v>
      </c>
      <c r="B11" s="80" t="n">
        <f aca="false">IFERROR(B6/B7,0)</f>
        <v>3.19692929626181</v>
      </c>
      <c r="C11" s="77" t="s">
        <v>1357</v>
      </c>
    </row>
    <row r="12" customFormat="false" ht="15" hidden="false" customHeight="false" outlineLevel="0" collapsed="false">
      <c r="A12" s="73" t="s">
        <v>1358</v>
      </c>
      <c r="B12" s="81" t="n">
        <f aca="false">IFERROR(Assumptions!$B$14/B11,0)</f>
        <v>114.172058927546</v>
      </c>
      <c r="C12" s="77" t="s">
        <v>1359</v>
      </c>
    </row>
    <row r="13" customFormat="false" ht="15" hidden="false" customHeight="false" outlineLevel="0" collapsed="false">
      <c r="A13" s="82" t="s">
        <v>1360</v>
      </c>
      <c r="B13" s="76" t="n">
        <f aca="false">COUNTIF(SKU_Policy!$AA$5:$AA$504,"Below Safety Stock")</f>
        <v>108</v>
      </c>
      <c r="C13" s="77" t="s">
        <v>1361</v>
      </c>
    </row>
    <row r="14" customFormat="false" ht="15" hidden="false" customHeight="false" outlineLevel="0" collapsed="false">
      <c r="A14" s="83" t="s">
        <v>1362</v>
      </c>
      <c r="B14" s="76" t="n">
        <f aca="false">COUNTIF(SKU_Policy!$AA$5:$AA$504,"Reorder Now")</f>
        <v>107</v>
      </c>
      <c r="C14" s="77" t="s">
        <v>1363</v>
      </c>
    </row>
    <row r="15" customFormat="false" ht="15" hidden="false" customHeight="false" outlineLevel="0" collapsed="false">
      <c r="A15" s="84" t="s">
        <v>1364</v>
      </c>
      <c r="B15" s="76" t="n">
        <f aca="false">COUNTIF(SKU_Policy!$AA$5:$AA$504,"Excess")</f>
        <v>115</v>
      </c>
      <c r="C15" s="77" t="s">
        <v>1365</v>
      </c>
    </row>
    <row r="16" customFormat="false" ht="15" hidden="false" customHeight="false" outlineLevel="0" collapsed="false">
      <c r="A16" s="73" t="s">
        <v>1366</v>
      </c>
      <c r="B16" s="79" t="n">
        <f aca="false">IFERROR(SUMIF(SKU_Policy!$M$5:$M$504,"A",SKU_Policy!$J$5:$J$504)/B6,0)</f>
        <v>0.79985501628818</v>
      </c>
      <c r="C16" s="77" t="s">
        <v>1367</v>
      </c>
    </row>
    <row r="18" customFormat="false" ht="15" hidden="false" customHeight="false" outlineLevel="0" collapsed="false">
      <c r="A18" s="4" t="s">
        <v>1368</v>
      </c>
    </row>
    <row r="19" customFormat="false" ht="24.75" hidden="false" customHeight="true" outlineLevel="0" collapsed="false">
      <c r="A19" s="16" t="s">
        <v>1342</v>
      </c>
      <c r="B19" s="16" t="s">
        <v>105</v>
      </c>
      <c r="C19" s="16" t="s">
        <v>1343</v>
      </c>
    </row>
    <row r="20" customFormat="false" ht="15" hidden="false" customHeight="false" outlineLevel="0" collapsed="false">
      <c r="A20" s="73" t="s">
        <v>1369</v>
      </c>
      <c r="B20" s="76" t="n">
        <f aca="false">COUNTIF(SKU_Policy!$AA$5:$AA$504,"Healthy")</f>
        <v>170</v>
      </c>
      <c r="C20" s="77" t="s">
        <v>1370</v>
      </c>
    </row>
    <row r="21" customFormat="false" ht="15" hidden="false" customHeight="false" outlineLevel="0" collapsed="false">
      <c r="A21" s="73" t="s">
        <v>1371</v>
      </c>
      <c r="B21" s="76" t="n">
        <f aca="false">COUNTIF(SKU_Policy!$M$5:$M$504,"A")</f>
        <v>290</v>
      </c>
      <c r="C21" s="77" t="s">
        <v>1372</v>
      </c>
    </row>
    <row r="22" customFormat="false" ht="15" hidden="false" customHeight="false" outlineLevel="0" collapsed="false">
      <c r="A22" s="73" t="s">
        <v>1373</v>
      </c>
      <c r="B22" s="85" t="n">
        <f aca="false">IFERROR(B21/B5,0)</f>
        <v>0.58</v>
      </c>
      <c r="C22" s="77" t="s">
        <v>1374</v>
      </c>
    </row>
    <row r="23" customFormat="false" ht="15" hidden="false" customHeight="false" outlineLevel="0" collapsed="false">
      <c r="A23" s="73" t="s">
        <v>1375</v>
      </c>
      <c r="B23" s="76" t="n">
        <f aca="false">COUNTIFS(SKU_Policy!$M$5:$M$504,"A",SKU_Policy!$AA$5:$AA$504,"Below Safety Stock")</f>
        <v>62</v>
      </c>
      <c r="C23" s="77" t="s">
        <v>1376</v>
      </c>
    </row>
    <row r="24" customFormat="false" ht="15" hidden="false" customHeight="false" outlineLevel="0" collapsed="false">
      <c r="A24" s="73" t="s">
        <v>1377</v>
      </c>
      <c r="B24" s="79" t="n">
        <f aca="false">IFERROR(COUNTIF(SKU_Policy!$N$5:$N$504,"Z")/B5,0)</f>
        <v>0.61</v>
      </c>
      <c r="C24" s="77" t="s">
        <v>1378</v>
      </c>
    </row>
    <row r="25" customFormat="false" ht="15" hidden="false" customHeight="false" outlineLevel="0" collapsed="false">
      <c r="A25" s="73" t="s">
        <v>1379</v>
      </c>
      <c r="B25" s="78" t="n">
        <f aca="false">INDEX(Service_Level_Scenario!$D$5:$D$13,MATCH(0.98,Service_Level_Scenario!$A$5:$A$13,0))-INDEX(Service_Level_Scenario!$D$5:$D$13,MATCH(0.95,Service_Level_Scenario!$A$5:$A$13,0))</f>
        <v>82081.1429679463</v>
      </c>
      <c r="C25" s="77" t="s">
        <v>1380</v>
      </c>
    </row>
    <row r="26" customFormat="false" ht="15" hidden="false" customHeight="false" outlineLevel="0" collapsed="false">
      <c r="A26" s="73" t="s">
        <v>1381</v>
      </c>
      <c r="B26" s="78" t="n">
        <f aca="false">INDEX(Service_Level_Scenario!$D$5:$D$13,MATCH(0.99,Service_Level_Scenario!$A$5:$A$13,0))-INDEX(Service_Level_Scenario!$D$5:$D$13,MATCH(0.95,Service_Level_Scenario!$A$5:$A$13,0))</f>
        <v>136802.328028083</v>
      </c>
      <c r="C26" s="77" t="s">
        <v>1380</v>
      </c>
    </row>
    <row r="27" customFormat="false" ht="15" hidden="false" customHeight="false" outlineLevel="0" collapsed="false">
      <c r="A27" s="73" t="s">
        <v>1382</v>
      </c>
      <c r="B27" s="78" t="n">
        <f aca="false">INDEX(Service_Level_Scenario!$D$25:$D$29,MATCH(2,Service_Level_Scenario!$A$25:$A$29,0))</f>
        <v>76200.2502367629</v>
      </c>
      <c r="C27" s="77" t="s">
        <v>1383</v>
      </c>
    </row>
    <row r="30" customFormat="false" ht="15" hidden="false" customHeight="false" outlineLevel="0" collapsed="false">
      <c r="A30" s="4" t="s">
        <v>1384</v>
      </c>
    </row>
    <row r="31" customFormat="false" ht="39.75" hidden="false" customHeight="true" outlineLevel="0" collapsed="false">
      <c r="A31" s="16" t="s">
        <v>162</v>
      </c>
      <c r="B31" s="16" t="s">
        <v>1385</v>
      </c>
      <c r="C31" s="16" t="s">
        <v>1254</v>
      </c>
      <c r="D31" s="16" t="s">
        <v>1386</v>
      </c>
      <c r="E31" s="16" t="s">
        <v>1268</v>
      </c>
      <c r="F31" s="16" t="s">
        <v>1387</v>
      </c>
      <c r="G31" s="16" t="s">
        <v>1388</v>
      </c>
    </row>
    <row r="32" customFormat="false" ht="15" hidden="false" customHeight="false" outlineLevel="0" collapsed="false">
      <c r="A32" s="73" t="s">
        <v>164</v>
      </c>
      <c r="B32" s="70" t="n">
        <f aca="false">COUNTIF(SKU_Policy!$B$5:$B$504,A32)</f>
        <v>52</v>
      </c>
      <c r="C32" s="71" t="n">
        <f aca="false">SUMIFS(SKU_Policy!$J$5:$J$504,SKU_Policy!$B$5:$B$504,A32)</f>
        <v>555395.148</v>
      </c>
      <c r="D32" s="71" t="n">
        <f aca="false">SUMIFS(SKU_Policy!$V$5:$V$504,SKU_Policy!$B$5:$B$504,A32)</f>
        <v>198262.452</v>
      </c>
      <c r="E32" s="71" t="n">
        <f aca="false">SUMIFS(SKU_Policy!$Z$5:$Z$504,SKU_Policy!$B$5:$B$504,A32)</f>
        <v>66278.4</v>
      </c>
      <c r="F32" s="28" t="n">
        <f aca="false">IFERROR(E32/D32,0)</f>
        <v>0.334296279156277</v>
      </c>
      <c r="G32" s="70" t="n">
        <f aca="false">COUNTIFS(SKU_Policy!$B$5:$B$504,A32,SKU_Policy!$AA$5:$AA$504,"Below Safety Stock")</f>
        <v>9</v>
      </c>
    </row>
    <row r="33" customFormat="false" ht="15" hidden="false" customHeight="false" outlineLevel="0" collapsed="false">
      <c r="A33" s="73" t="s">
        <v>167</v>
      </c>
      <c r="B33" s="70" t="n">
        <f aca="false">COUNTIF(SKU_Policy!$B$5:$B$504,A33)</f>
        <v>30</v>
      </c>
      <c r="C33" s="71" t="n">
        <f aca="false">SUMIFS(SKU_Policy!$J$5:$J$504,SKU_Policy!$B$5:$B$504,A33)</f>
        <v>324227.724</v>
      </c>
      <c r="D33" s="71" t="n">
        <f aca="false">SUMIFS(SKU_Policy!$V$5:$V$504,SKU_Policy!$B$5:$B$504,A33)</f>
        <v>82137.348</v>
      </c>
      <c r="E33" s="71" t="n">
        <f aca="false">SUMIFS(SKU_Policy!$Z$5:$Z$504,SKU_Policy!$B$5:$B$504,A33)</f>
        <v>15522.642</v>
      </c>
      <c r="F33" s="28" t="n">
        <f aca="false">IFERROR(E33/D33,0)</f>
        <v>0.188983968656987</v>
      </c>
      <c r="G33" s="70" t="n">
        <f aca="false">COUNTIFS(SKU_Policy!$B$5:$B$504,A33,SKU_Policy!$AA$5:$AA$504,"Below Safety Stock")</f>
        <v>7</v>
      </c>
    </row>
    <row r="34" customFormat="false" ht="15" hidden="false" customHeight="false" outlineLevel="0" collapsed="false">
      <c r="A34" s="73" t="s">
        <v>172</v>
      </c>
      <c r="B34" s="70" t="n">
        <f aca="false">COUNTIF(SKU_Policy!$B$5:$B$504,A34)</f>
        <v>46</v>
      </c>
      <c r="C34" s="71" t="n">
        <f aca="false">SUMIFS(SKU_Policy!$J$5:$J$504,SKU_Policy!$B$5:$B$504,A34)</f>
        <v>408656.754</v>
      </c>
      <c r="D34" s="71" t="n">
        <f aca="false">SUMIFS(SKU_Policy!$V$5:$V$504,SKU_Policy!$B$5:$B$504,A34)</f>
        <v>110792.412</v>
      </c>
      <c r="E34" s="71" t="n">
        <f aca="false">SUMIFS(SKU_Policy!$Z$5:$Z$504,SKU_Policy!$B$5:$B$504,A34)</f>
        <v>31770.996</v>
      </c>
      <c r="F34" s="28" t="n">
        <f aca="false">IFERROR(E34/D34,0)</f>
        <v>0.286761479658011</v>
      </c>
      <c r="G34" s="70" t="n">
        <f aca="false">COUNTIFS(SKU_Policy!$B$5:$B$504,A34,SKU_Policy!$AA$5:$AA$504,"Below Safety Stock")</f>
        <v>7</v>
      </c>
    </row>
    <row r="35" customFormat="false" ht="15" hidden="false" customHeight="false" outlineLevel="0" collapsed="false">
      <c r="A35" s="73" t="s">
        <v>180</v>
      </c>
      <c r="B35" s="70" t="n">
        <f aca="false">COUNTIF(SKU_Policy!$B$5:$B$504,A35)</f>
        <v>5</v>
      </c>
      <c r="C35" s="71" t="n">
        <f aca="false">SUMIFS(SKU_Policy!$J$5:$J$504,SKU_Policy!$B$5:$B$504,A35)</f>
        <v>44781.654</v>
      </c>
      <c r="D35" s="71" t="n">
        <f aca="false">SUMIFS(SKU_Policy!$V$5:$V$504,SKU_Policy!$B$5:$B$504,A35)</f>
        <v>10673.682</v>
      </c>
      <c r="E35" s="71" t="n">
        <f aca="false">SUMIFS(SKU_Policy!$Z$5:$Z$504,SKU_Policy!$B$5:$B$504,A35)</f>
        <v>1049.07</v>
      </c>
      <c r="F35" s="28" t="n">
        <f aca="false">IFERROR(E35/D35,0)</f>
        <v>0.0982856712425946</v>
      </c>
      <c r="G35" s="70" t="n">
        <f aca="false">COUNTIFS(SKU_Policy!$B$5:$B$504,A35,SKU_Policy!$AA$5:$AA$504,"Below Safety Stock")</f>
        <v>2</v>
      </c>
    </row>
    <row r="36" customFormat="false" ht="15" hidden="false" customHeight="false" outlineLevel="0" collapsed="false">
      <c r="A36" s="73" t="s">
        <v>1389</v>
      </c>
      <c r="B36" s="70" t="n">
        <f aca="false">COUNTIF(SKU_Policy!$B$5:$B$504,A36)</f>
        <v>367</v>
      </c>
      <c r="C36" s="71" t="n">
        <f aca="false">SUMIFS(SKU_Policy!$J$5:$J$504,SKU_Policy!$B$5:$B$504,A36)</f>
        <v>2531637.678</v>
      </c>
      <c r="D36" s="71" t="n">
        <f aca="false">SUMIFS(SKU_Policy!$V$5:$V$504,SKU_Policy!$B$5:$B$504,A36)</f>
        <v>807012.564</v>
      </c>
      <c r="E36" s="71" t="n">
        <f aca="false">SUMIFS(SKU_Policy!$Z$5:$Z$504,SKU_Policy!$B$5:$B$504,A36)</f>
        <v>225218.892</v>
      </c>
      <c r="F36" s="28" t="n">
        <f aca="false">IFERROR(E36/D36,0)</f>
        <v>0.279077305666334</v>
      </c>
      <c r="G36" s="70" t="n">
        <f aca="false">COUNTIFS(SKU_Policy!$B$5:$B$504,A36,SKU_Policy!$AA$5:$AA$504,"Below Safety Stock")</f>
        <v>83</v>
      </c>
    </row>
    <row r="37" customFormat="false" ht="15" hidden="false" customHeight="false" outlineLevel="0" collapsed="false">
      <c r="A37" s="73" t="s">
        <v>1284</v>
      </c>
      <c r="B37" s="86" t="n">
        <f aca="false">SUM(B32:B36)</f>
        <v>500</v>
      </c>
      <c r="C37" s="87" t="n">
        <f aca="false">SUM(C32:C36)</f>
        <v>3864698.958</v>
      </c>
      <c r="D37" s="87" t="n">
        <f aca="false">SUM(D32:D36)</f>
        <v>1208878.458</v>
      </c>
      <c r="E37" s="87" t="n">
        <f aca="false">SUM(E32:E36)</f>
        <v>339840</v>
      </c>
      <c r="F37" s="88" t="n">
        <f aca="false">IFERROR(E37/D37,0)</f>
        <v>0.281120072701304</v>
      </c>
      <c r="G37" s="86" t="n">
        <f aca="false">SUM(G32:G36)</f>
        <v>108</v>
      </c>
    </row>
    <row r="38" customFormat="false" ht="15" hidden="false" customHeight="false" outlineLevel="0" collapsed="false">
      <c r="A38" s="3" t="s">
        <v>1390</v>
      </c>
      <c r="B38" s="43" t="str">
        <f aca="false">IF(B37=B5,"OK","CHECK")</f>
        <v>OK</v>
      </c>
    </row>
  </sheetData>
  <conditionalFormatting sqref="B38">
    <cfRule type="cellIs" priority="2" operator="equal" aboveAverage="0" equalAverage="0" bottom="0" percent="0" rank="0" text="" dxfId="24">
      <formula>"OK"</formula>
    </cfRule>
    <cfRule type="cellIs" priority="3" operator="notEqual" aboveAverage="0" equalAverage="0" bottom="0" percent="0" rank="0" text="" dxfId="25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4"/>
  </cols>
  <sheetData>
    <row r="1" customFormat="false" ht="30" hidden="false" customHeight="true" outlineLevel="0" collapsed="false">
      <c r="A1" s="1" t="s">
        <v>1391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26" t="s">
        <v>1392</v>
      </c>
      <c r="B2" s="26"/>
      <c r="C2" s="26"/>
      <c r="D2" s="26"/>
      <c r="E2" s="26"/>
      <c r="F2" s="26"/>
      <c r="G2" s="26"/>
      <c r="H2" s="26"/>
      <c r="I2" s="26"/>
      <c r="J2" s="26"/>
    </row>
    <row r="4" customFormat="false" ht="15" hidden="false" customHeight="true" outlineLevel="0" collapsed="false">
      <c r="A4" s="89" t="s">
        <v>1393</v>
      </c>
      <c r="B4" s="90" t="s">
        <v>278</v>
      </c>
      <c r="C4" s="90"/>
      <c r="D4" s="90"/>
      <c r="E4" s="90" t="s">
        <v>802</v>
      </c>
      <c r="F4" s="90"/>
      <c r="G4" s="90"/>
      <c r="H4" s="90" t="s">
        <v>1014</v>
      </c>
      <c r="I4" s="90"/>
      <c r="J4" s="90"/>
    </row>
    <row r="5" customFormat="false" ht="30" hidden="false" customHeight="true" outlineLevel="0" collapsed="false">
      <c r="A5" s="16" t="s">
        <v>1394</v>
      </c>
      <c r="B5" s="16" t="s">
        <v>1395</v>
      </c>
      <c r="C5" s="16" t="s">
        <v>1396</v>
      </c>
      <c r="D5" s="16" t="s">
        <v>1397</v>
      </c>
      <c r="E5" s="16" t="s">
        <v>1395</v>
      </c>
      <c r="F5" s="16" t="s">
        <v>1396</v>
      </c>
      <c r="G5" s="16" t="s">
        <v>1397</v>
      </c>
      <c r="H5" s="16" t="s">
        <v>1395</v>
      </c>
      <c r="I5" s="16" t="s">
        <v>1396</v>
      </c>
      <c r="J5" s="16" t="s">
        <v>1397</v>
      </c>
    </row>
    <row r="6" customFormat="false" ht="30" hidden="false" customHeight="true" outlineLevel="0" collapsed="false">
      <c r="A6" s="73" t="s">
        <v>187</v>
      </c>
      <c r="B6" s="91" t="str">
        <f aca="false">INDEX(Weekly_Demand!$B$5:$B$504,B$7)</f>
        <v>LUNCH BAG RED RETROSPOT</v>
      </c>
      <c r="C6" s="91"/>
      <c r="D6" s="91"/>
      <c r="E6" s="91" t="str">
        <f aca="false">INDEX(Weekly_Demand!$B$5:$B$504,E$7)</f>
        <v>SWEETHEART RECIPE BOOK STAND</v>
      </c>
      <c r="F6" s="91"/>
      <c r="G6" s="91"/>
      <c r="H6" s="91" t="str">
        <f aca="false">INDEX(Weekly_Demand!$B$5:$B$504,H$7)</f>
        <v>VICTORIAN SEWING BOX MEDIUM</v>
      </c>
      <c r="I6" s="91"/>
      <c r="J6" s="91"/>
    </row>
    <row r="7" customFormat="false" ht="15" hidden="false" customHeight="false" outlineLevel="0" collapsed="false">
      <c r="A7" s="73" t="s">
        <v>1398</v>
      </c>
      <c r="B7" s="9" t="n">
        <f aca="false">MATCH(B$4,Weekly_Demand!$A$5:$A$504,0)</f>
        <v>17</v>
      </c>
      <c r="C7" s="9"/>
      <c r="D7" s="9"/>
      <c r="E7" s="9" t="n">
        <f aca="false">MATCH(E$4,Weekly_Demand!$A$5:$A$504,0)</f>
        <v>279</v>
      </c>
      <c r="F7" s="9"/>
      <c r="G7" s="9"/>
      <c r="H7" s="9" t="n">
        <f aca="false">MATCH(H$4,Weekly_Demand!$A$5:$A$504,0)</f>
        <v>385</v>
      </c>
      <c r="I7" s="9"/>
      <c r="J7" s="9"/>
    </row>
    <row r="8" customFormat="false" ht="15" hidden="false" customHeight="false" outlineLevel="0" collapsed="false">
      <c r="A8" s="73" t="s">
        <v>1399</v>
      </c>
      <c r="B8" s="9"/>
      <c r="C8" s="10" t="str">
        <f aca="false">INDEX(SKU_Policy!$O$5:$O$504,MATCH(B$4,SKU_Policy!$A$5:$A$504,0))</f>
        <v>AX</v>
      </c>
      <c r="D8" s="9"/>
      <c r="E8" s="9"/>
      <c r="F8" s="10" t="str">
        <f aca="false">INDEX(SKU_Policy!$O$5:$O$504,MATCH(E$4,SKU_Policy!$A$5:$A$504,0))</f>
        <v>BY</v>
      </c>
      <c r="G8" s="9"/>
      <c r="H8" s="9"/>
      <c r="I8" s="10" t="str">
        <f aca="false">INDEX(SKU_Policy!$O$5:$O$504,MATCH(H$4,SKU_Policy!$A$5:$A$504,0))</f>
        <v>CZ</v>
      </c>
      <c r="J8" s="9"/>
    </row>
    <row r="9" customFormat="false" ht="15" hidden="false" customHeight="false" outlineLevel="0" collapsed="false">
      <c r="A9" s="73" t="s">
        <v>1400</v>
      </c>
      <c r="B9" s="92" t="n">
        <f aca="false">INDEX(Weekly_Demand!$BG$5:$BG$504,B$7)*(1-Assumptions!$B$18)</f>
        <v>0.99</v>
      </c>
      <c r="C9" s="93" t="n">
        <f aca="false">INDEX(SKU_Policy!$C$5:$C$504,MATCH(B$4,SKU_Policy!$A$5:$A$504,0))</f>
        <v>0.99</v>
      </c>
      <c r="D9" s="94" t="n">
        <f aca="false">ROUND(B9-C9,6)</f>
        <v>0</v>
      </c>
      <c r="E9" s="92" t="n">
        <f aca="false">INDEX(Weekly_Demand!$BG$5:$BG$504,E$7)*(1-Assumptions!$B$18)</f>
        <v>4.05</v>
      </c>
      <c r="F9" s="93" t="n">
        <f aca="false">INDEX(SKU_Policy!$C$5:$C$504,MATCH(E$4,SKU_Policy!$A$5:$A$504,0))</f>
        <v>4.05</v>
      </c>
      <c r="G9" s="94" t="n">
        <f aca="false">ROUND(E9-F9,6)</f>
        <v>0</v>
      </c>
      <c r="H9" s="92" t="n">
        <f aca="false">INDEX(Weekly_Demand!$BG$5:$BG$504,H$7)*(1-Assumptions!$B$18)</f>
        <v>4.77</v>
      </c>
      <c r="I9" s="93" t="n">
        <f aca="false">INDEX(SKU_Policy!$C$5:$C$504,MATCH(H$4,SKU_Policy!$A$5:$A$504,0))</f>
        <v>4.77</v>
      </c>
      <c r="J9" s="94" t="n">
        <f aca="false">ROUND(H9-I9,6)</f>
        <v>0</v>
      </c>
    </row>
    <row r="10" customFormat="false" ht="15" hidden="false" customHeight="false" outlineLevel="0" collapsed="false">
      <c r="A10" s="73" t="s">
        <v>1401</v>
      </c>
      <c r="B10" s="74" t="n">
        <f aca="false">INDEX(Weekly_Demand!$E$5:$E$504,B$7)+Assumptions!$B$19</f>
        <v>4</v>
      </c>
      <c r="C10" s="70" t="n">
        <f aca="false">INDEX(SKU_Policy!$D$5:$D$504,MATCH(B$4,SKU_Policy!$A$5:$A$504,0))</f>
        <v>4</v>
      </c>
      <c r="D10" s="94" t="n">
        <f aca="false">ROUND(B10-C10,6)</f>
        <v>0</v>
      </c>
      <c r="E10" s="74" t="n">
        <f aca="false">INDEX(Weekly_Demand!$E$5:$E$504,E$7)+Assumptions!$B$19</f>
        <v>8</v>
      </c>
      <c r="F10" s="70" t="n">
        <f aca="false">INDEX(SKU_Policy!$D$5:$D$504,MATCH(E$4,SKU_Policy!$A$5:$A$504,0))</f>
        <v>8</v>
      </c>
      <c r="G10" s="94" t="n">
        <f aca="false">ROUND(E10-F10,6)</f>
        <v>0</v>
      </c>
      <c r="H10" s="74" t="n">
        <f aca="false">INDEX(Weekly_Demand!$E$5:$E$504,H$7)+Assumptions!$B$19</f>
        <v>4</v>
      </c>
      <c r="I10" s="70" t="n">
        <f aca="false">INDEX(SKU_Policy!$D$5:$D$504,MATCH(H$4,SKU_Policy!$A$5:$A$504,0))</f>
        <v>4</v>
      </c>
      <c r="J10" s="94" t="n">
        <f aca="false">ROUND(H10-I10,6)</f>
        <v>0</v>
      </c>
    </row>
    <row r="11" customFormat="false" ht="15" hidden="false" customHeight="false" outlineLevel="0" collapsed="false">
      <c r="A11" s="73" t="s">
        <v>1250</v>
      </c>
      <c r="B11" s="74" t="n">
        <f aca="false">INDEX(Weekly_Demand!$F$5:$F$504,B$7)</f>
        <v>19071</v>
      </c>
      <c r="C11" s="70" t="n">
        <f aca="false">INDEX(SKU_Policy!$E$5:$E$504,MATCH(B$4,SKU_Policy!$A$5:$A$504,0))</f>
        <v>19071</v>
      </c>
      <c r="D11" s="94" t="n">
        <f aca="false">ROUND(B11-C11,6)</f>
        <v>0</v>
      </c>
      <c r="E11" s="74" t="n">
        <f aca="false">INDEX(Weekly_Demand!$F$5:$F$504,E$7)</f>
        <v>220</v>
      </c>
      <c r="F11" s="70" t="n">
        <f aca="false">INDEX(SKU_Policy!$E$5:$E$504,MATCH(E$4,SKU_Policy!$A$5:$A$504,0))</f>
        <v>220</v>
      </c>
      <c r="G11" s="94" t="n">
        <f aca="false">ROUND(E11-F11,6)</f>
        <v>0</v>
      </c>
      <c r="H11" s="74" t="n">
        <f aca="false">INDEX(Weekly_Demand!$F$5:$F$504,H$7)</f>
        <v>185</v>
      </c>
      <c r="I11" s="70" t="n">
        <f aca="false">INDEX(SKU_Policy!$E$5:$E$504,MATCH(H$4,SKU_Policy!$A$5:$A$504,0))</f>
        <v>185</v>
      </c>
      <c r="J11" s="94" t="n">
        <f aca="false">ROUND(H11-I11,6)</f>
        <v>0</v>
      </c>
    </row>
    <row r="12" customFormat="false" ht="15" hidden="false" customHeight="false" outlineLevel="0" collapsed="false">
      <c r="A12" s="73" t="s">
        <v>1402</v>
      </c>
      <c r="B12" s="74" t="n">
        <f aca="false">SUM(INDEX(Weekly_Demand!$G$5:$BF$504,B$7,0))</f>
        <v>19071</v>
      </c>
      <c r="C12" s="70" t="n">
        <f aca="false">INDEX(SKU_Policy!$F$5:$F$504,MATCH(B$4,SKU_Policy!$A$5:$A$504,0))</f>
        <v>19071</v>
      </c>
      <c r="D12" s="94" t="n">
        <f aca="false">ROUND(B12-C12,6)</f>
        <v>0</v>
      </c>
      <c r="E12" s="74" t="n">
        <f aca="false">SUM(INDEX(Weekly_Demand!$G$5:$BF$504,E$7,0))</f>
        <v>1145</v>
      </c>
      <c r="F12" s="70" t="n">
        <f aca="false">INDEX(SKU_Policy!$F$5:$F$504,MATCH(E$4,SKU_Policy!$A$5:$A$504,0))</f>
        <v>1145</v>
      </c>
      <c r="G12" s="94" t="n">
        <f aca="false">ROUND(E12-F12,6)</f>
        <v>0</v>
      </c>
      <c r="H12" s="74" t="n">
        <f aca="false">SUM(INDEX(Weekly_Demand!$G$5:$BF$504,H$7,0))</f>
        <v>640</v>
      </c>
      <c r="I12" s="70" t="n">
        <f aca="false">INDEX(SKU_Policy!$F$5:$F$504,MATCH(H$4,SKU_Policy!$A$5:$A$504,0))</f>
        <v>640</v>
      </c>
      <c r="J12" s="94" t="n">
        <f aca="false">ROUND(H12-I12,6)</f>
        <v>0</v>
      </c>
    </row>
    <row r="13" customFormat="false" ht="15" hidden="false" customHeight="false" outlineLevel="0" collapsed="false">
      <c r="A13" s="73" t="s">
        <v>1403</v>
      </c>
      <c r="B13" s="95" t="n">
        <f aca="false">B12/Assumptions!$B$6</f>
        <v>366.75</v>
      </c>
      <c r="C13" s="96" t="n">
        <f aca="false">INDEX(SKU_Policy!$G$5:$G$504,MATCH(B$4,SKU_Policy!$A$5:$A$504,0))</f>
        <v>366.75</v>
      </c>
      <c r="D13" s="94" t="n">
        <f aca="false">ROUND(B13-C13,6)</f>
        <v>0</v>
      </c>
      <c r="E13" s="95" t="n">
        <f aca="false">E12/Assumptions!$B$6</f>
        <v>22.0192307692308</v>
      </c>
      <c r="F13" s="96" t="n">
        <f aca="false">INDEX(SKU_Policy!$G$5:$G$504,MATCH(E$4,SKU_Policy!$A$5:$A$504,0))</f>
        <v>22.0192307692308</v>
      </c>
      <c r="G13" s="94" t="n">
        <f aca="false">ROUND(E13-F13,6)</f>
        <v>0</v>
      </c>
      <c r="H13" s="95" t="n">
        <f aca="false">H12/Assumptions!$B$6</f>
        <v>12.3076923076923</v>
      </c>
      <c r="I13" s="96" t="n">
        <f aca="false">INDEX(SKU_Policy!$G$5:$G$504,MATCH(H$4,SKU_Policy!$A$5:$A$504,0))</f>
        <v>12.3076923076923</v>
      </c>
      <c r="J13" s="94" t="n">
        <f aca="false">ROUND(H13-I13,6)</f>
        <v>0</v>
      </c>
    </row>
    <row r="14" customFormat="false" ht="15" hidden="false" customHeight="false" outlineLevel="0" collapsed="false">
      <c r="A14" s="73" t="s">
        <v>1404</v>
      </c>
      <c r="B14" s="95" t="n">
        <f aca="false">STDEV(INDEX(Weekly_Demand!$G$5:$BF$504,B$7,0))</f>
        <v>180.008591842875</v>
      </c>
      <c r="C14" s="96" t="n">
        <f aca="false">INDEX(SKU_Policy!$H$5:$H$504,MATCH(B$4,SKU_Policy!$A$5:$A$504,0))</f>
        <v>180.008591842875</v>
      </c>
      <c r="D14" s="94" t="n">
        <f aca="false">ROUND(B14-C14,6)</f>
        <v>0</v>
      </c>
      <c r="E14" s="95" t="n">
        <f aca="false">STDEV(INDEX(Weekly_Demand!$G$5:$BF$504,E$7,0))</f>
        <v>21.6165245293968</v>
      </c>
      <c r="F14" s="96" t="n">
        <f aca="false">INDEX(SKU_Policy!$H$5:$H$504,MATCH(E$4,SKU_Policy!$A$5:$A$504,0))</f>
        <v>21.6165245293968</v>
      </c>
      <c r="G14" s="94" t="n">
        <f aca="false">ROUND(E14-F14,6)</f>
        <v>0</v>
      </c>
      <c r="H14" s="95" t="n">
        <f aca="false">STDEV(INDEX(Weekly_Demand!$G$5:$BF$504,H$7,0))</f>
        <v>15.8306459575369</v>
      </c>
      <c r="I14" s="96" t="n">
        <f aca="false">INDEX(SKU_Policy!$H$5:$H$504,MATCH(H$4,SKU_Policy!$A$5:$A$504,0))</f>
        <v>15.8306459575369</v>
      </c>
      <c r="J14" s="94" t="n">
        <f aca="false">ROUND(H14-I14,6)</f>
        <v>0</v>
      </c>
    </row>
    <row r="15" customFormat="false" ht="15" hidden="false" customHeight="false" outlineLevel="0" collapsed="false">
      <c r="A15" s="73" t="s">
        <v>1405</v>
      </c>
      <c r="B15" s="97" t="n">
        <f aca="false">B14/B13</f>
        <v>0.490820972986709</v>
      </c>
      <c r="C15" s="98" t="n">
        <f aca="false">INDEX(SKU_Policy!$I$5:$I$504,MATCH(B$4,SKU_Policy!$A$5:$A$504,0))</f>
        <v>0.490820972986709</v>
      </c>
      <c r="D15" s="94" t="n">
        <f aca="false">ROUND(B15-C15,6)</f>
        <v>0</v>
      </c>
      <c r="E15" s="97" t="n">
        <f aca="false">E14/E13</f>
        <v>0.98171115766693</v>
      </c>
      <c r="F15" s="98" t="n">
        <f aca="false">INDEX(SKU_Policy!$I$5:$I$504,MATCH(E$4,SKU_Policy!$A$5:$A$504,0))</f>
        <v>0.98171115766693</v>
      </c>
      <c r="G15" s="94" t="n">
        <f aca="false">ROUND(E15-F15,6)</f>
        <v>0</v>
      </c>
      <c r="H15" s="97" t="n">
        <f aca="false">H14/H13</f>
        <v>1.28623998404988</v>
      </c>
      <c r="I15" s="98" t="n">
        <f aca="false">INDEX(SKU_Policy!$I$5:$I$504,MATCH(H$4,SKU_Policy!$A$5:$A$504,0))</f>
        <v>1.28623998404988</v>
      </c>
      <c r="J15" s="94" t="n">
        <f aca="false">ROUND(H15-I15,6)</f>
        <v>0</v>
      </c>
    </row>
    <row r="16" customFormat="false" ht="15" hidden="false" customHeight="false" outlineLevel="0" collapsed="false">
      <c r="A16" s="73" t="s">
        <v>1406</v>
      </c>
      <c r="B16" s="99" t="n">
        <f aca="false">(SUMIF(SKU_Policy!$AF$5:$AF$504,"&gt;"&amp;ROUND(B12*B9,2),SKU_Policy!$J$5:$J$504)+B12*B9)/SUM(SKU_Policy!$J$5:$J$504)</f>
        <v>0.177990272327959</v>
      </c>
      <c r="C16" s="100" t="n">
        <f aca="false">INDEX(SKU_Policy!$L$5:$L$504,MATCH(B$4,SKU_Policy!$A$5:$A$504,0))</f>
        <v>0.177990272327959</v>
      </c>
      <c r="D16" s="94" t="n">
        <f aca="false">ROUND(B16-C16,6)</f>
        <v>0</v>
      </c>
      <c r="E16" s="99" t="n">
        <f aca="false">(SUMIF(SKU_Policy!$AF$5:$AF$504,"&gt;"&amp;ROUND(E12*E9,2),SKU_Policy!$J$5:$J$504)+E12*E9)/SUM(SKU_Policy!$J$5:$J$504)</f>
        <v>0.801054915698301</v>
      </c>
      <c r="F16" s="100" t="n">
        <f aca="false">INDEX(SKU_Policy!$L$5:$L$504,MATCH(E$4,SKU_Policy!$A$5:$A$504,0))</f>
        <v>0.801054915698301</v>
      </c>
      <c r="G16" s="94" t="n">
        <f aca="false">ROUND(E16-F16,6)</f>
        <v>0</v>
      </c>
      <c r="H16" s="99" t="n">
        <f aca="false">(SUMIF(SKU_Policy!$AF$5:$AF$504,"&gt;"&amp;ROUND(H12*H9,2),SKU_Policy!$J$5:$J$504)+H12*H9)/SUM(SKU_Policy!$J$5:$J$504)</f>
        <v>0.97600277097702</v>
      </c>
      <c r="I16" s="100" t="n">
        <f aca="false">INDEX(SKU_Policy!$L$5:$L$504,MATCH(H$4,SKU_Policy!$A$5:$A$504,0))</f>
        <v>0.97600277097702</v>
      </c>
      <c r="J16" s="94" t="n">
        <f aca="false">ROUND(H16-I16,6)</f>
        <v>0</v>
      </c>
    </row>
    <row r="17" customFormat="false" ht="15" hidden="false" customHeight="false" outlineLevel="0" collapsed="false">
      <c r="A17" s="73" t="s">
        <v>155</v>
      </c>
      <c r="B17" s="9" t="str">
        <f aca="false">IF(B16&lt;=Assumptions!$B$7,"A",IF(B16&lt;=Assumptions!$B$8,"B","C"))</f>
        <v>A</v>
      </c>
      <c r="C17" s="10" t="str">
        <f aca="false">INDEX(SKU_Policy!$M$5:$M$504,MATCH(B$4,SKU_Policy!$A$5:$A$504,0))</f>
        <v>A</v>
      </c>
      <c r="D17" s="101" t="str">
        <f aca="false">IF(B17=C17,"✓","✗")</f>
        <v>✓</v>
      </c>
      <c r="E17" s="9" t="str">
        <f aca="false">IF(E16&lt;=Assumptions!$B$7,"A",IF(E16&lt;=Assumptions!$B$8,"B","C"))</f>
        <v>B</v>
      </c>
      <c r="F17" s="10" t="str">
        <f aca="false">INDEX(SKU_Policy!$M$5:$M$504,MATCH(E$4,SKU_Policy!$A$5:$A$504,0))</f>
        <v>B</v>
      </c>
      <c r="G17" s="101" t="str">
        <f aca="false">IF(E17=F17,"✓","✗")</f>
        <v>✓</v>
      </c>
      <c r="H17" s="9" t="str">
        <f aca="false">IF(H16&lt;=Assumptions!$B$7,"A",IF(H16&lt;=Assumptions!$B$8,"B","C"))</f>
        <v>C</v>
      </c>
      <c r="I17" s="10" t="str">
        <f aca="false">INDEX(SKU_Policy!$M$5:$M$504,MATCH(H$4,SKU_Policy!$A$5:$A$504,0))</f>
        <v>C</v>
      </c>
      <c r="J17" s="101" t="str">
        <f aca="false">IF(H17=I17,"✓","✗")</f>
        <v>✓</v>
      </c>
    </row>
    <row r="18" customFormat="false" ht="15" hidden="false" customHeight="false" outlineLevel="0" collapsed="false">
      <c r="A18" s="73" t="s">
        <v>1257</v>
      </c>
      <c r="B18" s="9" t="str">
        <f aca="false">IF(B15&lt;=Assumptions!$B$9,"X",IF(B15&lt;=Assumptions!$B$10,"Y","Z"))</f>
        <v>X</v>
      </c>
      <c r="C18" s="10" t="str">
        <f aca="false">INDEX(SKU_Policy!$N$5:$N$504,MATCH(B$4,SKU_Policy!$A$5:$A$504,0))</f>
        <v>X</v>
      </c>
      <c r="D18" s="101" t="str">
        <f aca="false">IF(B18=C18,"✓","✗")</f>
        <v>✓</v>
      </c>
      <c r="E18" s="9" t="str">
        <f aca="false">IF(E15&lt;=Assumptions!$B$9,"X",IF(E15&lt;=Assumptions!$B$10,"Y","Z"))</f>
        <v>Y</v>
      </c>
      <c r="F18" s="10" t="str">
        <f aca="false">INDEX(SKU_Policy!$N$5:$N$504,MATCH(E$4,SKU_Policy!$A$5:$A$504,0))</f>
        <v>Y</v>
      </c>
      <c r="G18" s="101" t="str">
        <f aca="false">IF(E18=F18,"✓","✗")</f>
        <v>✓</v>
      </c>
      <c r="H18" s="9" t="str">
        <f aca="false">IF(H15&lt;=Assumptions!$B$9,"X",IF(H15&lt;=Assumptions!$B$10,"Y","Z"))</f>
        <v>Z</v>
      </c>
      <c r="I18" s="10" t="str">
        <f aca="false">INDEX(SKU_Policy!$N$5:$N$504,MATCH(H$4,SKU_Policy!$A$5:$A$504,0))</f>
        <v>Z</v>
      </c>
      <c r="J18" s="101" t="str">
        <f aca="false">IF(H18=I18,"✓","✗")</f>
        <v>✓</v>
      </c>
    </row>
    <row r="19" customFormat="false" ht="15" hidden="false" customHeight="false" outlineLevel="0" collapsed="false">
      <c r="A19" s="73" t="s">
        <v>156</v>
      </c>
      <c r="B19" s="28" t="n">
        <f aca="false">IF(B17="A",Assumptions!$B$11,IF(B17="B",Assumptions!$B$12,Assumptions!$B$13))</f>
        <v>0.98</v>
      </c>
      <c r="C19" s="102" t="n">
        <f aca="false">INDEX(SKU_Policy!$P$5:$P$504,MATCH(B$4,SKU_Policy!$A$5:$A$504,0))</f>
        <v>0.98</v>
      </c>
      <c r="D19" s="94" t="n">
        <f aca="false">ROUND(B19-C19,6)</f>
        <v>0</v>
      </c>
      <c r="E19" s="28" t="n">
        <f aca="false">IF(E17="A",Assumptions!$B$11,IF(E17="B",Assumptions!$B$12,Assumptions!$B$13))</f>
        <v>0.95</v>
      </c>
      <c r="F19" s="102" t="n">
        <f aca="false">INDEX(SKU_Policy!$P$5:$P$504,MATCH(E$4,SKU_Policy!$A$5:$A$504,0))</f>
        <v>0.95</v>
      </c>
      <c r="G19" s="94" t="n">
        <f aca="false">ROUND(E19-F19,6)</f>
        <v>0</v>
      </c>
      <c r="H19" s="28" t="n">
        <f aca="false">IF(H17="A",Assumptions!$B$11,IF(H17="B",Assumptions!$B$12,Assumptions!$B$13))</f>
        <v>0.9</v>
      </c>
      <c r="I19" s="102" t="n">
        <f aca="false">INDEX(SKU_Policy!$P$5:$P$504,MATCH(H$4,SKU_Policy!$A$5:$A$504,0))</f>
        <v>0.9</v>
      </c>
      <c r="J19" s="94" t="n">
        <f aca="false">ROUND(H19-I19,6)</f>
        <v>0</v>
      </c>
    </row>
    <row r="20" customFormat="false" ht="15" hidden="false" customHeight="false" outlineLevel="0" collapsed="false">
      <c r="A20" s="73" t="s">
        <v>1407</v>
      </c>
      <c r="B20" s="103" t="n">
        <f aca="false">NORMSINV(B19)</f>
        <v>2.05374891063182</v>
      </c>
      <c r="C20" s="104" t="n">
        <f aca="false">INDEX(SKU_Policy!$Q$5:$Q$504,MATCH(B$4,SKU_Policy!$A$5:$A$504,0))</f>
        <v>2.05374891063182</v>
      </c>
      <c r="D20" s="94" t="n">
        <f aca="false">ROUND(B20-C20,6)</f>
        <v>0</v>
      </c>
      <c r="E20" s="103" t="n">
        <f aca="false">NORMSINV(E19)</f>
        <v>1.64485362695147</v>
      </c>
      <c r="F20" s="104" t="n">
        <f aca="false">INDEX(SKU_Policy!$Q$5:$Q$504,MATCH(E$4,SKU_Policy!$A$5:$A$504,0))</f>
        <v>1.64485362695147</v>
      </c>
      <c r="G20" s="94" t="n">
        <f aca="false">ROUND(E20-F20,6)</f>
        <v>0</v>
      </c>
      <c r="H20" s="103" t="n">
        <f aca="false">NORMSINV(H19)</f>
        <v>1.2815515655446</v>
      </c>
      <c r="I20" s="104" t="n">
        <f aca="false">INDEX(SKU_Policy!$Q$5:$Q$504,MATCH(H$4,SKU_Policy!$A$5:$A$504,0))</f>
        <v>1.2815515655446</v>
      </c>
      <c r="J20" s="94" t="n">
        <f aca="false">ROUND(H20-I20,6)</f>
        <v>0</v>
      </c>
    </row>
    <row r="21" customFormat="false" ht="15" hidden="false" customHeight="false" outlineLevel="0" collapsed="false">
      <c r="A21" s="73" t="s">
        <v>1408</v>
      </c>
      <c r="B21" s="74" t="n">
        <f aca="false">ROUNDUP(B20*B14*SQRT(B10),0)</f>
        <v>740</v>
      </c>
      <c r="C21" s="70" t="n">
        <f aca="false">INDEX(SKU_Policy!$R$5:$R$504,MATCH(B$4,SKU_Policy!$A$5:$A$504,0))</f>
        <v>740</v>
      </c>
      <c r="D21" s="94" t="n">
        <f aca="false">ROUND(B21-C21,6)</f>
        <v>0</v>
      </c>
      <c r="E21" s="74" t="n">
        <f aca="false">ROUNDUP(E20*E14*SQRT(E10),0)</f>
        <v>101</v>
      </c>
      <c r="F21" s="70" t="n">
        <f aca="false">INDEX(SKU_Policy!$R$5:$R$504,MATCH(E$4,SKU_Policy!$A$5:$A$504,0))</f>
        <v>101</v>
      </c>
      <c r="G21" s="94" t="n">
        <f aca="false">ROUND(E21-F21,6)</f>
        <v>0</v>
      </c>
      <c r="H21" s="74" t="n">
        <f aca="false">ROUNDUP(H20*H14*SQRT(H10),0)</f>
        <v>41</v>
      </c>
      <c r="I21" s="70" t="n">
        <f aca="false">INDEX(SKU_Policy!$R$5:$R$504,MATCH(H$4,SKU_Policy!$A$5:$A$504,0))</f>
        <v>41</v>
      </c>
      <c r="J21" s="94" t="n">
        <f aca="false">ROUND(H21-I21,6)</f>
        <v>0</v>
      </c>
    </row>
    <row r="22" customFormat="false" ht="15" hidden="false" customHeight="false" outlineLevel="0" collapsed="false">
      <c r="A22" s="73" t="s">
        <v>1409</v>
      </c>
      <c r="B22" s="74" t="n">
        <f aca="false">ROUNDUP(B13*B10+B21,0)</f>
        <v>2207</v>
      </c>
      <c r="C22" s="70" t="n">
        <f aca="false">INDEX(SKU_Policy!$S$5:$S$504,MATCH(B$4,SKU_Policy!$A$5:$A$504,0))</f>
        <v>2207</v>
      </c>
      <c r="D22" s="94" t="n">
        <f aca="false">ROUND(B22-C22,6)</f>
        <v>0</v>
      </c>
      <c r="E22" s="74" t="n">
        <f aca="false">ROUNDUP(E13*E10+E21,0)</f>
        <v>278</v>
      </c>
      <c r="F22" s="70" t="n">
        <f aca="false">INDEX(SKU_Policy!$S$5:$S$504,MATCH(E$4,SKU_Policy!$A$5:$A$504,0))</f>
        <v>278</v>
      </c>
      <c r="G22" s="94" t="n">
        <f aca="false">ROUND(E22-F22,6)</f>
        <v>0</v>
      </c>
      <c r="H22" s="74" t="n">
        <f aca="false">ROUNDUP(H13*H10+H21,0)</f>
        <v>91</v>
      </c>
      <c r="I22" s="70" t="n">
        <f aca="false">INDEX(SKU_Policy!$S$5:$S$504,MATCH(H$4,SKU_Policy!$A$5:$A$504,0))</f>
        <v>91</v>
      </c>
      <c r="J22" s="94" t="n">
        <f aca="false">ROUND(H22-I22,6)</f>
        <v>0</v>
      </c>
    </row>
    <row r="23" customFormat="false" ht="15" hidden="false" customHeight="false" outlineLevel="0" collapsed="false">
      <c r="A23" s="73" t="s">
        <v>1410</v>
      </c>
      <c r="B23" s="74" t="n">
        <f aca="false">ROUND(SQRT(2*B12*Assumptions!$B$4/(Assumptions!$B$5*B9)),0)</f>
        <v>2776</v>
      </c>
      <c r="C23" s="70" t="n">
        <f aca="false">INDEX(SKU_Policy!$T$5:$T$504,MATCH(B$4,SKU_Policy!$A$5:$A$504,0))</f>
        <v>2776</v>
      </c>
      <c r="D23" s="94" t="n">
        <f aca="false">ROUND(B23-C23,6)</f>
        <v>0</v>
      </c>
      <c r="E23" s="74" t="n">
        <f aca="false">ROUND(SQRT(2*E12*Assumptions!$B$4/(Assumptions!$B$5*E9)),0)</f>
        <v>336</v>
      </c>
      <c r="F23" s="70" t="n">
        <f aca="false">INDEX(SKU_Policy!$T$5:$T$504,MATCH(E$4,SKU_Policy!$A$5:$A$504,0))</f>
        <v>336</v>
      </c>
      <c r="G23" s="94" t="n">
        <f aca="false">ROUND(E23-F23,6)</f>
        <v>0</v>
      </c>
      <c r="H23" s="74" t="n">
        <f aca="false">ROUND(SQRT(2*H12*Assumptions!$B$4/(Assumptions!$B$5*H9)),0)</f>
        <v>232</v>
      </c>
      <c r="I23" s="70" t="n">
        <f aca="false">INDEX(SKU_Policy!$T$5:$T$504,MATCH(H$4,SKU_Policy!$A$5:$A$504,0))</f>
        <v>232</v>
      </c>
      <c r="J23" s="94" t="n">
        <f aca="false">ROUND(H23-I23,6)</f>
        <v>0</v>
      </c>
    </row>
    <row r="24" customFormat="false" ht="15" hidden="false" customHeight="false" outlineLevel="0" collapsed="false">
      <c r="A24" s="73" t="s">
        <v>1411</v>
      </c>
      <c r="B24" s="74" t="n">
        <f aca="false">MAX(0,B11-(B22+B23))</f>
        <v>14088</v>
      </c>
      <c r="C24" s="70" t="n">
        <f aca="false">INDEX(SKU_Policy!$Y$5:$Y$504,MATCH(B$4,SKU_Policy!$A$5:$A$504,0))</f>
        <v>14088</v>
      </c>
      <c r="D24" s="94" t="n">
        <f aca="false">ROUND(B24-C24,6)</f>
        <v>0</v>
      </c>
      <c r="E24" s="74" t="n">
        <f aca="false">MAX(0,E11-(E22+E23))</f>
        <v>0</v>
      </c>
      <c r="F24" s="70" t="n">
        <f aca="false">INDEX(SKU_Policy!$Y$5:$Y$504,MATCH(E$4,SKU_Policy!$A$5:$A$504,0))</f>
        <v>0</v>
      </c>
      <c r="G24" s="94" t="n">
        <f aca="false">ROUND(E24-F24,6)</f>
        <v>0</v>
      </c>
      <c r="H24" s="74" t="n">
        <f aca="false">MAX(0,H11-(H22+H23))</f>
        <v>0</v>
      </c>
      <c r="I24" s="70" t="n">
        <f aca="false">INDEX(SKU_Policy!$Y$5:$Y$504,MATCH(H$4,SKU_Policy!$A$5:$A$504,0))</f>
        <v>0</v>
      </c>
      <c r="J24" s="94" t="n">
        <f aca="false">ROUND(H24-I24,6)</f>
        <v>0</v>
      </c>
    </row>
    <row r="25" customFormat="false" ht="15" hidden="false" customHeight="false" outlineLevel="0" collapsed="false">
      <c r="A25" s="73" t="s">
        <v>1269</v>
      </c>
      <c r="B25" s="9" t="str">
        <f aca="false">IF(B11&lt;=B21,"Below Safety Stock",IF(B11&lt;=B22,"Reorder Now",IF(B11&gt;B22+B23,"Excess","Healthy")))</f>
        <v>Excess</v>
      </c>
      <c r="C25" s="10" t="str">
        <f aca="false">INDEX(SKU_Policy!$AA$5:$AA$504,MATCH(B$4,SKU_Policy!$A$5:$A$504,0))</f>
        <v>Excess</v>
      </c>
      <c r="D25" s="101" t="str">
        <f aca="false">IF(B25=C25,"✓","✗")</f>
        <v>✓</v>
      </c>
      <c r="E25" s="9" t="str">
        <f aca="false">IF(E11&lt;=E21,"Below Safety Stock",IF(E11&lt;=E22,"Reorder Now",IF(E11&gt;E22+E23,"Excess","Healthy")))</f>
        <v>Reorder Now</v>
      </c>
      <c r="F25" s="10" t="str">
        <f aca="false">INDEX(SKU_Policy!$AA$5:$AA$504,MATCH(E$4,SKU_Policy!$A$5:$A$504,0))</f>
        <v>Reorder Now</v>
      </c>
      <c r="G25" s="101" t="str">
        <f aca="false">IF(E25=F25,"✓","✗")</f>
        <v>✓</v>
      </c>
      <c r="H25" s="9" t="str">
        <f aca="false">IF(H11&lt;=H21,"Below Safety Stock",IF(H11&lt;=H22,"Reorder Now",IF(H11&gt;H22+H23,"Excess","Healthy")))</f>
        <v>Healthy</v>
      </c>
      <c r="I25" s="10" t="str">
        <f aca="false">INDEX(SKU_Policy!$AA$5:$AA$504,MATCH(H$4,SKU_Policy!$A$5:$A$504,0))</f>
        <v>Healthy</v>
      </c>
      <c r="J25" s="101" t="str">
        <f aca="false">IF(H25=I25,"✓","✗")</f>
        <v>✓</v>
      </c>
    </row>
    <row r="27" customFormat="false" ht="15" hidden="false" customHeight="false" outlineLevel="0" collapsed="false">
      <c r="A27" s="4" t="s">
        <v>1412</v>
      </c>
    </row>
    <row r="28" customFormat="false" ht="15" hidden="false" customHeight="false" outlineLevel="0" collapsed="false">
      <c r="A28" s="89" t="str">
        <f aca="false">B4&amp;" — "&amp;C8&amp;" class — "&amp;B6</f>
        <v>20725 — AX class — LUNCH BAG RED RETROSPOT</v>
      </c>
    </row>
    <row r="29" customFormat="false" ht="15" hidden="false" customHeight="false" outlineLevel="0" collapsed="false">
      <c r="A29" s="43" t="str">
        <f aca="false">"Safety stock: "&amp;TEXT(B20,"0.000")&amp;" × "&amp;TEXT(B14,"0.00")&amp;" × √"&amp;B10&amp;" = "&amp;TEXT(B20*B14*SQRT(B10),"#,##0.00")&amp;" → round up = "&amp;TEXT(B21,"#,##0")</f>
        <v>Safety stock: 2.054 × 180.01 × √4 = 739.38 → round up = 740</v>
      </c>
    </row>
    <row r="30" customFormat="false" ht="15" hidden="false" customHeight="false" outlineLevel="0" collapsed="false">
      <c r="A30" s="43" t="str">
        <f aca="false">"Reorder point: "&amp;TEXT(B13,"0.00")&amp;" × "&amp;B10&amp;" + "&amp;TEXT(B21,"#,##0")&amp;" = "&amp;TEXT(B13*B10+B21,"#,##0.00")&amp;" → round up = "&amp;TEXT(B22,"#,##0")&amp;"   |   EOQ: √(2 × "&amp;TEXT(B12,"#,##0")&amp;" × "&amp;TEXT(Assumptions!$B$4,"0")&amp;" ÷ ("&amp;TEXT(Assumptions!$B$5,"0.00")&amp;" × "&amp;TEXT(B9,"0.000")&amp;")) = "&amp;TEXT(B23,"#,##0")</f>
        <v>Reorder point: 366.75 × 4 + 740 = 2,207.00 → round up = 2,207   |   EOQ: √(2 × 19,071 × 50 ÷ (0.25 × 0.990)) = 2,776</v>
      </c>
    </row>
    <row r="32" customFormat="false" ht="15" hidden="false" customHeight="false" outlineLevel="0" collapsed="false">
      <c r="A32" s="89" t="str">
        <f aca="false">E4&amp;" — "&amp;F8&amp;" class — "&amp;E6</f>
        <v>22795 — BY class — SWEETHEART RECIPE BOOK STAND</v>
      </c>
    </row>
    <row r="33" customFormat="false" ht="15" hidden="false" customHeight="false" outlineLevel="0" collapsed="false">
      <c r="A33" s="43" t="str">
        <f aca="false">"Safety stock: "&amp;TEXT(E20,"0.000")&amp;" × "&amp;TEXT(E14,"0.00")&amp;" × √"&amp;E10&amp;" = "&amp;TEXT(E20*E14*SQRT(E10),"#,##0.00")&amp;" → round up = "&amp;TEXT(E21,"#,##0")</f>
        <v>Safety stock: 1.645 × 21.62 × √8 = 100.57 → round up = 101</v>
      </c>
    </row>
    <row r="34" customFormat="false" ht="15" hidden="false" customHeight="false" outlineLevel="0" collapsed="false">
      <c r="A34" s="43" t="str">
        <f aca="false">"Reorder point: "&amp;TEXT(E13,"0.00")&amp;" × "&amp;E10&amp;" + "&amp;TEXT(E21,"#,##0")&amp;" = "&amp;TEXT(E13*E10+E21,"#,##0.00")&amp;" → round up = "&amp;TEXT(E22,"#,##0")&amp;"   |   EOQ: √(2 × "&amp;TEXT(E12,"#,##0")&amp;" × "&amp;TEXT(Assumptions!$B$4,"0")&amp;" ÷ ("&amp;TEXT(Assumptions!$B$5,"0.00")&amp;" × "&amp;TEXT(E9,"0.000")&amp;")) = "&amp;TEXT(E23,"#,##0")</f>
        <v>Reorder point: 22.02 × 8 + 101 = 277.15 → round up = 278   |   EOQ: √(2 × 1,145 × 50 ÷ (0.25 × 4.050)) = 336</v>
      </c>
    </row>
    <row r="36" customFormat="false" ht="15" hidden="false" customHeight="false" outlineLevel="0" collapsed="false">
      <c r="A36" s="89" t="str">
        <f aca="false">H4&amp;" — "&amp;I8&amp;" class — "&amp;H6</f>
        <v>21257 — CZ class — VICTORIAN SEWING BOX MEDIUM</v>
      </c>
    </row>
    <row r="37" customFormat="false" ht="15" hidden="false" customHeight="false" outlineLevel="0" collapsed="false">
      <c r="A37" s="43" t="str">
        <f aca="false">"Safety stock: "&amp;TEXT(H20,"0.000")&amp;" × "&amp;TEXT(H14,"0.00")&amp;" × √"&amp;H10&amp;" = "&amp;TEXT(H20*H14*SQRT(H10),"#,##0.00")&amp;" → round up = "&amp;TEXT(H21,"#,##0")</f>
        <v>Safety stock: 1.282 × 15.83 × √4 = 40.58 → round up = 41</v>
      </c>
    </row>
    <row r="38" customFormat="false" ht="15" hidden="false" customHeight="false" outlineLevel="0" collapsed="false">
      <c r="A38" s="43" t="str">
        <f aca="false">"Reorder point: "&amp;TEXT(H13,"0.00")&amp;" × "&amp;H10&amp;" + "&amp;TEXT(H21,"#,##0")&amp;" = "&amp;TEXT(H13*H10+H21,"#,##0.00")&amp;" → round up = "&amp;TEXT(H22,"#,##0")&amp;"   |   EOQ: √(2 × "&amp;TEXT(H12,"#,##0")&amp;" × "&amp;TEXT(Assumptions!$B$4,"0")&amp;" ÷ ("&amp;TEXT(Assumptions!$B$5,"0.00")&amp;" × "&amp;TEXT(H9,"0.000")&amp;")) = "&amp;TEXT(H23,"#,##0")</f>
        <v>Reorder point: 12.31 × 4 + 41 = 90.23 → round up = 91   |   EOQ: √(2 × 640 × 50 ÷ (0.25 × 4.770)) = 232</v>
      </c>
    </row>
  </sheetData>
  <mergeCells count="7">
    <mergeCell ref="A2:J2"/>
    <mergeCell ref="B4:D4"/>
    <mergeCell ref="E4:G4"/>
    <mergeCell ref="H4:J4"/>
    <mergeCell ref="B6:D6"/>
    <mergeCell ref="E6:G6"/>
    <mergeCell ref="H6:J6"/>
  </mergeCells>
  <conditionalFormatting sqref="D6:J25">
    <cfRule type="expression" priority="2" aboveAverage="0" equalAverage="0" bottom="0" percent="0" rank="0" text="" dxfId="25">
      <formula>D6="✗"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62"/>
  </cols>
  <sheetData>
    <row r="1" customFormat="false" ht="30" hidden="false" customHeight="true" outlineLevel="0" collapsed="false">
      <c r="A1" s="1" t="s">
        <v>1413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26" t="s">
        <v>1414</v>
      </c>
      <c r="B2" s="26"/>
      <c r="C2" s="26"/>
      <c r="D2" s="26"/>
      <c r="E2" s="26"/>
      <c r="F2" s="26"/>
    </row>
    <row r="4" customFormat="false" ht="24.75" hidden="false" customHeight="true" outlineLevel="0" collapsed="false">
      <c r="A4" s="16" t="s">
        <v>1415</v>
      </c>
      <c r="B4" s="16" t="s">
        <v>1416</v>
      </c>
      <c r="C4" s="16" t="s">
        <v>1417</v>
      </c>
      <c r="D4" s="16" t="s">
        <v>1418</v>
      </c>
      <c r="E4" s="16" t="s">
        <v>1419</v>
      </c>
      <c r="F4" s="16" t="s">
        <v>1420</v>
      </c>
    </row>
    <row r="5" customFormat="false" ht="15" hidden="false" customHeight="false" outlineLevel="0" collapsed="false">
      <c r="A5" s="105" t="s">
        <v>1421</v>
      </c>
      <c r="B5" s="105"/>
      <c r="C5" s="105"/>
      <c r="D5" s="105"/>
      <c r="E5" s="105"/>
      <c r="F5" s="105"/>
    </row>
    <row r="6" customFormat="false" ht="30" hidden="false" customHeight="true" outlineLevel="0" collapsed="false">
      <c r="A6" s="27" t="n">
        <v>1</v>
      </c>
      <c r="B6" s="18" t="s">
        <v>1422</v>
      </c>
      <c r="C6" s="18" t="s">
        <v>1423</v>
      </c>
      <c r="D6" s="106" t="s">
        <v>1424</v>
      </c>
      <c r="E6" s="107" t="n">
        <v>525461</v>
      </c>
      <c r="F6" s="18" t="s">
        <v>1425</v>
      </c>
    </row>
    <row r="7" customFormat="false" ht="75" hidden="false" customHeight="true" outlineLevel="0" collapsed="false">
      <c r="A7" s="27" t="n">
        <v>2</v>
      </c>
      <c r="B7" s="18" t="s">
        <v>1422</v>
      </c>
      <c r="C7" s="18" t="s">
        <v>1426</v>
      </c>
      <c r="D7" s="106" t="s">
        <v>1427</v>
      </c>
      <c r="E7" s="107" t="n">
        <v>525461</v>
      </c>
      <c r="F7" s="18" t="s">
        <v>1428</v>
      </c>
    </row>
    <row r="8" customFormat="false" ht="45" hidden="false" customHeight="true" outlineLevel="0" collapsed="false">
      <c r="A8" s="27" t="n">
        <v>3</v>
      </c>
      <c r="B8" s="18" t="s">
        <v>1422</v>
      </c>
      <c r="C8" s="18" t="s">
        <v>1429</v>
      </c>
      <c r="D8" s="106" t="s">
        <v>1430</v>
      </c>
      <c r="E8" s="107" t="n">
        <v>502938</v>
      </c>
      <c r="F8" s="18" t="s">
        <v>1431</v>
      </c>
    </row>
    <row r="9" customFormat="false" ht="30" hidden="false" customHeight="true" outlineLevel="0" collapsed="false">
      <c r="A9" s="27" t="n">
        <v>4</v>
      </c>
      <c r="B9" s="18" t="s">
        <v>1422</v>
      </c>
      <c r="C9" s="18" t="s">
        <v>1432</v>
      </c>
      <c r="D9" s="106" t="s">
        <v>1424</v>
      </c>
      <c r="E9" s="107" t="s">
        <v>1424</v>
      </c>
      <c r="F9" s="18" t="s">
        <v>1433</v>
      </c>
    </row>
    <row r="10" customFormat="false" ht="15" hidden="false" customHeight="false" outlineLevel="0" collapsed="false">
      <c r="A10" s="105" t="s">
        <v>1434</v>
      </c>
      <c r="B10" s="105"/>
      <c r="C10" s="105"/>
      <c r="D10" s="105"/>
      <c r="E10" s="105"/>
      <c r="F10" s="105"/>
    </row>
    <row r="11" customFormat="false" ht="30" hidden="false" customHeight="true" outlineLevel="0" collapsed="false">
      <c r="A11" s="27" t="n">
        <v>5</v>
      </c>
      <c r="B11" s="18" t="s">
        <v>1435</v>
      </c>
      <c r="C11" s="18" t="s">
        <v>1436</v>
      </c>
      <c r="D11" s="106" t="s">
        <v>1437</v>
      </c>
      <c r="E11" s="107" t="n">
        <v>541910</v>
      </c>
      <c r="F11" s="18" t="s">
        <v>1438</v>
      </c>
    </row>
    <row r="12" customFormat="false" ht="15" hidden="false" customHeight="false" outlineLevel="0" collapsed="false">
      <c r="A12" s="105" t="s">
        <v>1439</v>
      </c>
      <c r="B12" s="105"/>
      <c r="C12" s="105"/>
      <c r="D12" s="105"/>
      <c r="E12" s="105"/>
      <c r="F12" s="105"/>
    </row>
    <row r="13" customFormat="false" ht="30" hidden="false" customHeight="true" outlineLevel="0" collapsed="false">
      <c r="A13" s="27" t="n">
        <v>6</v>
      </c>
      <c r="B13" s="18" t="s">
        <v>1440</v>
      </c>
      <c r="C13" s="18" t="s">
        <v>1441</v>
      </c>
      <c r="D13" s="106" t="s">
        <v>1442</v>
      </c>
      <c r="E13" s="107" t="n">
        <v>1044848</v>
      </c>
      <c r="F13" s="18" t="s">
        <v>1443</v>
      </c>
    </row>
    <row r="14" customFormat="false" ht="30" hidden="false" customHeight="true" outlineLevel="0" collapsed="false">
      <c r="A14" s="27" t="n">
        <v>7</v>
      </c>
      <c r="B14" s="18" t="s">
        <v>1440</v>
      </c>
      <c r="C14" s="18" t="s">
        <v>1444</v>
      </c>
      <c r="D14" s="106" t="s">
        <v>159</v>
      </c>
      <c r="E14" s="107" t="n">
        <v>1025683</v>
      </c>
      <c r="F14" s="18" t="s">
        <v>1445</v>
      </c>
    </row>
    <row r="15" customFormat="false" ht="30" hidden="false" customHeight="true" outlineLevel="0" collapsed="false">
      <c r="A15" s="27" t="n">
        <v>8</v>
      </c>
      <c r="B15" s="18" t="s">
        <v>1440</v>
      </c>
      <c r="C15" s="18" t="s">
        <v>1446</v>
      </c>
      <c r="D15" s="106" t="s">
        <v>1447</v>
      </c>
      <c r="E15" s="107" t="n">
        <v>1022290</v>
      </c>
      <c r="F15" s="18" t="s">
        <v>1448</v>
      </c>
    </row>
    <row r="16" customFormat="false" ht="30" hidden="false" customHeight="true" outlineLevel="0" collapsed="false">
      <c r="A16" s="27" t="n">
        <v>9</v>
      </c>
      <c r="B16" s="18" t="s">
        <v>1440</v>
      </c>
      <c r="C16" s="18" t="s">
        <v>1449</v>
      </c>
      <c r="D16" s="106" t="s">
        <v>1447</v>
      </c>
      <c r="E16" s="107" t="n">
        <v>1019654</v>
      </c>
      <c r="F16" s="18" t="s">
        <v>1450</v>
      </c>
    </row>
    <row r="17" customFormat="false" ht="30" hidden="false" customHeight="true" outlineLevel="0" collapsed="false">
      <c r="A17" s="27" t="n">
        <v>10</v>
      </c>
      <c r="B17" s="18" t="s">
        <v>1440</v>
      </c>
      <c r="C17" s="18" t="s">
        <v>1451</v>
      </c>
      <c r="D17" s="106" t="s">
        <v>1424</v>
      </c>
      <c r="E17" s="107" t="n">
        <v>1019654</v>
      </c>
      <c r="F17" s="18" t="s">
        <v>1452</v>
      </c>
    </row>
    <row r="18" customFormat="false" ht="45" hidden="false" customHeight="true" outlineLevel="0" collapsed="false">
      <c r="A18" s="27" t="n">
        <v>11</v>
      </c>
      <c r="B18" s="18" t="s">
        <v>1440</v>
      </c>
      <c r="C18" s="18" t="s">
        <v>1453</v>
      </c>
      <c r="D18" s="106" t="s">
        <v>1454</v>
      </c>
      <c r="E18" s="107" t="n">
        <v>1014945</v>
      </c>
      <c r="F18" s="18" t="s">
        <v>1455</v>
      </c>
    </row>
    <row r="19" customFormat="false" ht="45" hidden="false" customHeight="true" outlineLevel="0" collapsed="false">
      <c r="A19" s="27" t="n">
        <v>12</v>
      </c>
      <c r="B19" s="18" t="s">
        <v>1440</v>
      </c>
      <c r="C19" s="18" t="s">
        <v>1456</v>
      </c>
      <c r="D19" s="106" t="s">
        <v>1457</v>
      </c>
      <c r="E19" s="107" t="n">
        <v>1014944</v>
      </c>
      <c r="F19" s="18" t="s">
        <v>1458</v>
      </c>
    </row>
    <row r="20" customFormat="false" ht="30" hidden="false" customHeight="true" outlineLevel="0" collapsed="false">
      <c r="A20" s="27" t="n">
        <v>13</v>
      </c>
      <c r="B20" s="18" t="s">
        <v>1440</v>
      </c>
      <c r="C20" s="18" t="s">
        <v>1459</v>
      </c>
      <c r="D20" s="106" t="s">
        <v>1460</v>
      </c>
      <c r="E20" s="107" t="n">
        <v>1014944</v>
      </c>
      <c r="F20" s="18" t="s">
        <v>1461</v>
      </c>
    </row>
    <row r="21" customFormat="false" ht="45" hidden="false" customHeight="true" outlineLevel="0" collapsed="false">
      <c r="A21" s="27" t="n">
        <v>14</v>
      </c>
      <c r="B21" s="18" t="s">
        <v>1440</v>
      </c>
      <c r="C21" s="18" t="s">
        <v>1462</v>
      </c>
      <c r="D21" s="106" t="s">
        <v>1463</v>
      </c>
      <c r="E21" s="107" t="n">
        <v>500376</v>
      </c>
      <c r="F21" s="18" t="s">
        <v>1464</v>
      </c>
    </row>
    <row r="22" customFormat="false" ht="30" hidden="false" customHeight="true" outlineLevel="0" collapsed="false">
      <c r="A22" s="27" t="n">
        <v>15</v>
      </c>
      <c r="B22" s="18" t="s">
        <v>1440</v>
      </c>
      <c r="C22" s="18" t="s">
        <v>1465</v>
      </c>
      <c r="D22" s="106" t="s">
        <v>1424</v>
      </c>
      <c r="E22" s="107" t="n">
        <v>500376</v>
      </c>
      <c r="F22" s="18" t="s">
        <v>1466</v>
      </c>
    </row>
    <row r="23" customFormat="false" ht="15" hidden="false" customHeight="false" outlineLevel="0" collapsed="false">
      <c r="A23" s="105" t="s">
        <v>1467</v>
      </c>
      <c r="B23" s="105"/>
      <c r="C23" s="105"/>
      <c r="D23" s="105"/>
      <c r="E23" s="105"/>
      <c r="F23" s="105"/>
    </row>
    <row r="24" customFormat="false" ht="45" hidden="false" customHeight="true" outlineLevel="0" collapsed="false">
      <c r="A24" s="27" t="n">
        <v>16</v>
      </c>
      <c r="B24" s="18" t="s">
        <v>1468</v>
      </c>
      <c r="C24" s="18" t="s">
        <v>1469</v>
      </c>
      <c r="D24" s="106" t="s">
        <v>1470</v>
      </c>
      <c r="E24" s="107" t="n">
        <v>96033</v>
      </c>
      <c r="F24" s="18" t="s">
        <v>1471</v>
      </c>
    </row>
    <row r="25" customFormat="false" ht="15" hidden="false" customHeight="false" outlineLevel="0" collapsed="false">
      <c r="A25" s="105" t="s">
        <v>1472</v>
      </c>
      <c r="B25" s="105"/>
      <c r="C25" s="105"/>
      <c r="D25" s="105"/>
      <c r="E25" s="105"/>
      <c r="F25" s="105"/>
    </row>
    <row r="26" customFormat="false" ht="30" hidden="false" customHeight="true" outlineLevel="0" collapsed="false">
      <c r="A26" s="27" t="n">
        <v>17</v>
      </c>
      <c r="B26" s="18" t="s">
        <v>1473</v>
      </c>
      <c r="C26" s="18" t="s">
        <v>1474</v>
      </c>
      <c r="D26" s="106" t="s">
        <v>1475</v>
      </c>
      <c r="E26" s="107" t="n">
        <v>3775</v>
      </c>
      <c r="F26" s="18" t="s">
        <v>1476</v>
      </c>
    </row>
    <row r="27" customFormat="false" ht="30" hidden="false" customHeight="true" outlineLevel="0" collapsed="false">
      <c r="A27" s="27" t="n">
        <v>18</v>
      </c>
      <c r="B27" s="18" t="s">
        <v>1473</v>
      </c>
      <c r="C27" s="18" t="s">
        <v>1477</v>
      </c>
      <c r="D27" s="106" t="s">
        <v>1478</v>
      </c>
      <c r="E27" s="107" t="n">
        <v>500</v>
      </c>
      <c r="F27" s="18" t="s">
        <v>1479</v>
      </c>
    </row>
    <row r="28" customFormat="false" ht="15" hidden="false" customHeight="false" outlineLevel="0" collapsed="false">
      <c r="A28" s="105" t="s">
        <v>1480</v>
      </c>
      <c r="B28" s="105"/>
      <c r="C28" s="105"/>
      <c r="D28" s="105"/>
      <c r="E28" s="105"/>
      <c r="F28" s="105"/>
    </row>
    <row r="29" customFormat="false" ht="30" hidden="false" customHeight="true" outlineLevel="0" collapsed="false">
      <c r="A29" s="27" t="n">
        <v>19</v>
      </c>
      <c r="B29" s="18" t="s">
        <v>1481</v>
      </c>
      <c r="C29" s="18" t="s">
        <v>1482</v>
      </c>
      <c r="D29" s="106" t="s">
        <v>1483</v>
      </c>
      <c r="E29" s="107" t="s">
        <v>1424</v>
      </c>
      <c r="F29" s="18" t="s">
        <v>1484</v>
      </c>
    </row>
    <row r="30" customFormat="false" ht="60" hidden="false" customHeight="true" outlineLevel="0" collapsed="false">
      <c r="A30" s="27" t="n">
        <v>20</v>
      </c>
      <c r="B30" s="18" t="s">
        <v>1485</v>
      </c>
      <c r="C30" s="18" t="s">
        <v>1486</v>
      </c>
      <c r="D30" s="106" t="s">
        <v>1424</v>
      </c>
      <c r="E30" s="107" t="n">
        <v>3775</v>
      </c>
      <c r="F30" s="18" t="s">
        <v>1487</v>
      </c>
    </row>
    <row r="31" customFormat="false" ht="30" hidden="false" customHeight="true" outlineLevel="0" collapsed="false">
      <c r="A31" s="27" t="n">
        <v>21</v>
      </c>
      <c r="B31" s="18" t="s">
        <v>1488</v>
      </c>
      <c r="C31" s="18" t="s">
        <v>1489</v>
      </c>
      <c r="D31" s="106" t="s">
        <v>1490</v>
      </c>
      <c r="E31" s="107" t="n">
        <v>3775</v>
      </c>
      <c r="F31" s="18" t="s">
        <v>1491</v>
      </c>
    </row>
    <row r="32" customFormat="false" ht="30" hidden="false" customHeight="true" outlineLevel="0" collapsed="false">
      <c r="A32" s="27" t="n">
        <v>22</v>
      </c>
      <c r="B32" s="18" t="s">
        <v>1488</v>
      </c>
      <c r="C32" s="18" t="s">
        <v>1492</v>
      </c>
      <c r="D32" s="106" t="s">
        <v>1424</v>
      </c>
      <c r="E32" s="107" t="n">
        <v>3775</v>
      </c>
      <c r="F32" s="18"/>
    </row>
    <row r="33" customFormat="false" ht="15" hidden="false" customHeight="false" outlineLevel="0" collapsed="false">
      <c r="A33" s="105" t="s">
        <v>1493</v>
      </c>
      <c r="B33" s="105"/>
      <c r="C33" s="105"/>
      <c r="D33" s="105"/>
      <c r="E33" s="105"/>
      <c r="F33" s="105"/>
    </row>
    <row r="34" customFormat="false" ht="30" hidden="false" customHeight="true" outlineLevel="0" collapsed="false">
      <c r="A34" s="27" t="n">
        <v>23</v>
      </c>
      <c r="B34" s="18" t="s">
        <v>1494</v>
      </c>
      <c r="C34" s="18" t="s">
        <v>1495</v>
      </c>
      <c r="D34" s="106" t="s">
        <v>1496</v>
      </c>
      <c r="E34" s="107" t="s">
        <v>1424</v>
      </c>
      <c r="F34" s="18" t="s">
        <v>1497</v>
      </c>
    </row>
    <row r="35" customFormat="false" ht="45" hidden="false" customHeight="true" outlineLevel="0" collapsed="false">
      <c r="A35" s="27" t="n">
        <v>24</v>
      </c>
      <c r="B35" s="18" t="s">
        <v>1494</v>
      </c>
      <c r="C35" s="18" t="s">
        <v>1498</v>
      </c>
      <c r="D35" s="106" t="s">
        <v>1499</v>
      </c>
      <c r="E35" s="107" t="n">
        <v>500</v>
      </c>
      <c r="F35" s="18" t="s">
        <v>1500</v>
      </c>
    </row>
    <row r="36" customFormat="false" ht="45" hidden="false" customHeight="true" outlineLevel="0" collapsed="false">
      <c r="A36" s="27" t="n">
        <v>25</v>
      </c>
      <c r="B36" s="18" t="s">
        <v>1494</v>
      </c>
      <c r="C36" s="18" t="s">
        <v>1501</v>
      </c>
      <c r="D36" s="106" t="s">
        <v>1502</v>
      </c>
      <c r="E36" s="107" t="n">
        <v>500</v>
      </c>
      <c r="F36" s="18" t="s">
        <v>1503</v>
      </c>
    </row>
    <row r="37" customFormat="false" ht="45" hidden="false" customHeight="true" outlineLevel="0" collapsed="false">
      <c r="A37" s="27" t="n">
        <v>26</v>
      </c>
      <c r="B37" s="18" t="s">
        <v>1494</v>
      </c>
      <c r="C37" s="18" t="s">
        <v>1504</v>
      </c>
      <c r="D37" s="106" t="s">
        <v>1505</v>
      </c>
      <c r="E37" s="107" t="n">
        <v>500</v>
      </c>
      <c r="F37" s="18" t="s">
        <v>1506</v>
      </c>
    </row>
    <row r="38" customFormat="false" ht="30" hidden="false" customHeight="true" outlineLevel="0" collapsed="false">
      <c r="A38" s="27" t="n">
        <v>27</v>
      </c>
      <c r="B38" s="18" t="s">
        <v>1494</v>
      </c>
      <c r="C38" s="18" t="s">
        <v>1507</v>
      </c>
      <c r="D38" s="106" t="s">
        <v>1508</v>
      </c>
      <c r="E38" s="107" t="n">
        <v>500</v>
      </c>
      <c r="F38" s="18" t="s">
        <v>1509</v>
      </c>
    </row>
    <row r="40" customFormat="false" ht="15" hidden="false" customHeight="false" outlineLevel="0" collapsed="false">
      <c r="A40" s="4" t="s">
        <v>1510</v>
      </c>
    </row>
    <row r="41" customFormat="false" ht="15" hidden="false" customHeight="false" outlineLevel="0" collapsed="false">
      <c r="A41" s="108" t="s">
        <v>1511</v>
      </c>
      <c r="B41" s="108"/>
      <c r="C41" s="108"/>
      <c r="D41" s="108"/>
      <c r="E41" s="108"/>
      <c r="F41" s="108"/>
    </row>
    <row r="42" customFormat="false" ht="15" hidden="false" customHeight="false" outlineLevel="0" collapsed="false">
      <c r="A42" s="108" t="s">
        <v>1512</v>
      </c>
      <c r="B42" s="108"/>
      <c r="C42" s="108"/>
      <c r="D42" s="108"/>
      <c r="E42" s="108"/>
      <c r="F42" s="108"/>
    </row>
    <row r="43" customFormat="false" ht="15" hidden="false" customHeight="false" outlineLevel="0" collapsed="false">
      <c r="A43" s="108" t="s">
        <v>1513</v>
      </c>
      <c r="B43" s="108"/>
      <c r="C43" s="108"/>
      <c r="D43" s="108"/>
      <c r="E43" s="108"/>
      <c r="F43" s="108"/>
    </row>
  </sheetData>
  <mergeCells count="11">
    <mergeCell ref="A2:F2"/>
    <mergeCell ref="A5:F5"/>
    <mergeCell ref="A10:F10"/>
    <mergeCell ref="A12:F12"/>
    <mergeCell ref="A23:F23"/>
    <mergeCell ref="A25:F25"/>
    <mergeCell ref="A28:F28"/>
    <mergeCell ref="A33:F33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2026-09-16T23:30:54Z</dcterms:created>
  <dc:creator>Dhaval</dc:creator>
  <dc:description/>
  <dc:language>en-US</dc:language>
  <cp:lastModifiedBy>Dhaval</cp:lastModifiedBy>
  <dcterms:modified xsi:type="dcterms:W3CDTF">2026-09-16T19:30:57Z</dcterms:modified>
  <cp:revision>1</cp:revision>
  <dc:subject/>
  <dc:title>Inventory Policy Calculator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